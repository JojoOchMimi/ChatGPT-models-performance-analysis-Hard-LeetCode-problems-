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queryTables/queryTable5.xml" ContentType="application/vnd.openxmlformats-officedocument.spreadsheetml.queryTable+xml"/>
  <Override PartName="/xl/tables/table19.xml" ContentType="application/vnd.openxmlformats-officedocument.spreadsheetml.table+xml"/>
  <Override PartName="/xl/queryTables/queryTable6.xml" ContentType="application/vnd.openxmlformats-officedocument.spreadsheetml.queryTable+xml"/>
  <Override PartName="/xl/tables/table20.xml" ContentType="application/vnd.openxmlformats-officedocument.spreadsheetml.table+xml"/>
  <Override PartName="/xl/queryTables/queryTable7.xml" ContentType="application/vnd.openxmlformats-officedocument.spreadsheetml.queryTable+xml"/>
  <Override PartName="/xl/tables/table21.xml" ContentType="application/vnd.openxmlformats-officedocument.spreadsheetml.table+xml"/>
  <Override PartName="/xl/queryTables/queryTable8.xml" ContentType="application/vnd.openxmlformats-officedocument.spreadsheetml.queryTable+xml"/>
  <Override PartName="/xl/tables/table22.xml" ContentType="application/vnd.openxmlformats-officedocument.spreadsheetml.table+xml"/>
  <Override PartName="/xl/queryTables/queryTable9.xml" ContentType="application/vnd.openxmlformats-officedocument.spreadsheetml.queryTable+xml"/>
  <Override PartName="/xl/tables/table23.xml" ContentType="application/vnd.openxmlformats-officedocument.spreadsheetml.table+xml"/>
  <Override PartName="/xl/queryTables/queryTable10.xml" ContentType="application/vnd.openxmlformats-officedocument.spreadsheetml.queryTable+xml"/>
  <Override PartName="/xl/tables/table24.xml" ContentType="application/vnd.openxmlformats-officedocument.spreadsheetml.table+xml"/>
  <Override PartName="/xl/queryTables/queryTable11.xml" ContentType="application/vnd.openxmlformats-officedocument.spreadsheetml.queryTable+xml"/>
  <Override PartName="/xl/tables/table25.xml" ContentType="application/vnd.openxmlformats-officedocument.spreadsheetml.table+xml"/>
  <Override PartName="/xl/queryTables/queryTable12.xml" ContentType="application/vnd.openxmlformats-officedocument.spreadsheetml.queryTable+xml"/>
  <Override PartName="/xl/tables/table26.xml" ContentType="application/vnd.openxmlformats-officedocument.spreadsheetml.table+xml"/>
  <Override PartName="/xl/queryTables/queryTable13.xml" ContentType="application/vnd.openxmlformats-officedocument.spreadsheetml.queryTable+xml"/>
  <Override PartName="/xl/tables/table27.xml" ContentType="application/vnd.openxmlformats-officedocument.spreadsheetml.table+xml"/>
  <Override PartName="/xl/queryTables/queryTable14.xml" ContentType="application/vnd.openxmlformats-officedocument.spreadsheetml.queryTable+xml"/>
  <Override PartName="/xl/tables/table28.xml" ContentType="application/vnd.openxmlformats-officedocument.spreadsheetml.table+xml"/>
  <Override PartName="/xl/queryTables/queryTable15.xml" ContentType="application/vnd.openxmlformats-officedocument.spreadsheetml.queryTable+xml"/>
  <Override PartName="/xl/tables/table29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GU0002\Desktop\Thesis\"/>
    </mc:Choice>
  </mc:AlternateContent>
  <xr:revisionPtr revIDLastSave="0" documentId="13_ncr:1_{1B2C755B-C7A3-4B31-BABD-C75AD633BCFF}" xr6:coauthVersionLast="47" xr6:coauthVersionMax="47" xr10:uidLastSave="{00000000-0000-0000-0000-000000000000}"/>
  <bookViews>
    <workbookView xWindow="-110" yWindow="-110" windowWidth="19420" windowHeight="10300" tabRatio="676" xr2:uid="{96D86FB5-FC3B-41A0-AFDF-2BB0320F6D3D}"/>
  </bookViews>
  <sheets>
    <sheet name="Overview" sheetId="34" r:id="rId1"/>
    <sheet name="p-value" sheetId="36" r:id="rId2"/>
    <sheet name="Interval" sheetId="35" r:id="rId3"/>
    <sheet name="Post-experiment unsolved " sheetId="33" r:id="rId4"/>
    <sheet name="Main experiment Unsolved " sheetId="25" r:id="rId5"/>
    <sheet name="Dataset1 Only hard check " sheetId="31" state="hidden" r:id="rId6"/>
    <sheet name="Experiment o1" sheetId="24" r:id="rId7"/>
    <sheet name="Experiment 4o" sheetId="20" r:id="rId8"/>
    <sheet name="Kuhail's experiment 3.5" sheetId="26" r:id="rId9"/>
    <sheet name="Post-experiment o1" sheetId="27" r:id="rId10"/>
    <sheet name="Post-experiment 4o" sheetId="28" r:id="rId11"/>
    <sheet name="https___leetcode com_problemse" sheetId="2" state="hidden" r:id="rId12"/>
    <sheet name="https___leetcode com_problemse " sheetId="4" state="hidden" r:id="rId13"/>
    <sheet name="https___leetcode com_proble (2)" sheetId="5" state="hidden" r:id="rId14"/>
    <sheet name="https___leetcode com_proble (3)" sheetId="7" state="hidden" r:id="rId15"/>
    <sheet name="https___leetcode com_proble (4)" sheetId="8" state="hidden" r:id="rId16"/>
    <sheet name="https___leetcode com_proble (5)" sheetId="9" state="hidden" r:id="rId17"/>
    <sheet name="Append4" sheetId="17" state="hidden" r:id="rId18"/>
    <sheet name="Append3" sheetId="16" state="hidden" r:id="rId19"/>
    <sheet name="https___leetcode com_proble (9)" sheetId="15" state="hidden" r:id="rId20"/>
    <sheet name="https___leetcode com_proble (8)" sheetId="14" state="hidden" r:id="rId21"/>
    <sheet name="Found" sheetId="1" state="hidden" r:id="rId22"/>
    <sheet name="Append2" sheetId="13" state="hidden" r:id="rId23"/>
    <sheet name="Append1" sheetId="12" state="hidden" r:id="rId24"/>
    <sheet name="https___leetcode com_proble (6)" sheetId="10" state="hidden" r:id="rId25"/>
    <sheet name="https___leetcode com_proble (7)" sheetId="11" state="hidden" r:id="rId26"/>
    <sheet name="Sheet2" sheetId="6" state="hidden" r:id="rId27"/>
  </sheets>
  <externalReferences>
    <externalReference r:id="rId28"/>
  </externalReferences>
  <definedNames>
    <definedName name="_xleta.AVERAGE" hidden="1" xlm="1">#NAME?</definedName>
    <definedName name="_xleta.COUNTA" hidden="1" xlm="1">#NAME?</definedName>
    <definedName name="_xleta.MEDIAN" hidden="1" xlm="1">#NAME?</definedName>
    <definedName name="_xleta.SUM" hidden="1" xlm="1">#NAME?</definedName>
    <definedName name="_xleta.TIME" hidden="1" xlm="1">#NAME?</definedName>
    <definedName name="ExternalData_1" localSheetId="13" hidden="1">'https___leetcode com_proble (2)'!$A$1:$H$101</definedName>
    <definedName name="ExternalData_1" localSheetId="14" hidden="1">'https___leetcode com_proble (3)'!$A$1:$H$101</definedName>
    <definedName name="ExternalData_1" localSheetId="15" hidden="1">'https___leetcode com_proble (4)'!$A$1:$H$101</definedName>
    <definedName name="ExternalData_1" localSheetId="16" hidden="1">'https___leetcode com_proble (5)'!$A$1:$H$101</definedName>
    <definedName name="ExternalData_1" localSheetId="24" hidden="1">'https___leetcode com_proble (6)'!$A$1:$G$101</definedName>
    <definedName name="ExternalData_1" localSheetId="25" hidden="1">'https___leetcode com_proble (7)'!$A$1:$G$99</definedName>
    <definedName name="ExternalData_1" localSheetId="20" hidden="1">'https___leetcode com_proble (8)'!$A$1:$G$70</definedName>
    <definedName name="ExternalData_1" localSheetId="11" hidden="1">'https___leetcode com_problemse'!$A$1:$I$101</definedName>
    <definedName name="ExternalData_1" localSheetId="12" hidden="1">'https___leetcode com_problemse '!$A$1:$H$101</definedName>
    <definedName name="ExternalData_2" localSheetId="23" hidden="1">Append1!$A$1:$M$203</definedName>
    <definedName name="ExternalData_2" localSheetId="19" hidden="1">'https___leetcode com_proble (9)'!$A$1:$I$102</definedName>
    <definedName name="ExternalData_3" localSheetId="22" hidden="1">Append2!$A$1:$J$800</definedName>
    <definedName name="ExternalData_3" localSheetId="18" hidden="1">Append3!$A$1:$J$171</definedName>
    <definedName name="ExternalData_4" localSheetId="17" hidden="1">Append4!$A$1:$I$970</definedName>
    <definedName name="ExternalData_5" localSheetId="10" hidden="1">'Post-experiment 4o'!$A$2:$D$32</definedName>
    <definedName name="ExternalData_5" localSheetId="9" hidden="1">'Post-experiment o1'!$A$2:$F$32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36" l="1"/>
  <c r="D14" i="36" s="1"/>
  <c r="E14" i="36" s="1"/>
  <c r="F14" i="36" s="1"/>
  <c r="H14" i="36" s="1"/>
  <c r="C13" i="36"/>
  <c r="D13" i="36" s="1"/>
  <c r="E13" i="36" s="1"/>
  <c r="F13" i="36" s="1"/>
  <c r="H13" i="36" s="1"/>
  <c r="C12" i="36"/>
  <c r="D12" i="36" s="1"/>
  <c r="E12" i="36" s="1"/>
  <c r="F12" i="36" s="1"/>
  <c r="H12" i="36" s="1"/>
  <c r="C11" i="36"/>
  <c r="D11" i="36" s="1"/>
  <c r="E11" i="36" s="1"/>
  <c r="F11" i="36" s="1"/>
  <c r="H11" i="36" s="1"/>
  <c r="C6" i="36"/>
  <c r="D6" i="36" s="1"/>
  <c r="E6" i="36" s="1"/>
  <c r="F6" i="36" s="1"/>
  <c r="H6" i="36" s="1"/>
  <c r="C5" i="36"/>
  <c r="D5" i="36" s="1"/>
  <c r="E5" i="36" s="1"/>
  <c r="F5" i="36" s="1"/>
  <c r="H5" i="36" s="1"/>
  <c r="C4" i="36"/>
  <c r="D4" i="36" s="1"/>
  <c r="E4" i="36" s="1"/>
  <c r="F4" i="36" s="1"/>
  <c r="H4" i="36" s="1"/>
  <c r="C3" i="36"/>
  <c r="D3" i="36" s="1"/>
  <c r="E3" i="36" s="1"/>
  <c r="F3" i="36" s="1"/>
  <c r="H3" i="36" s="1"/>
  <c r="E16" i="35"/>
  <c r="E15" i="35"/>
  <c r="F15" i="35" s="1"/>
  <c r="G15" i="35" s="1"/>
  <c r="H15" i="35" s="1"/>
  <c r="E14" i="35"/>
  <c r="E13" i="35"/>
  <c r="E12" i="35"/>
  <c r="C7" i="35"/>
  <c r="E7" i="35" s="1"/>
  <c r="C6" i="35"/>
  <c r="E6" i="35" s="1"/>
  <c r="E5" i="35"/>
  <c r="F5" i="35" s="1"/>
  <c r="G5" i="35" s="1"/>
  <c r="H5" i="35" s="1"/>
  <c r="E4" i="35"/>
  <c r="E3" i="35"/>
  <c r="F6" i="35" l="1"/>
  <c r="G6" i="35" s="1"/>
  <c r="H6" i="35" s="1"/>
  <c r="I5" i="35"/>
  <c r="J5" i="35"/>
  <c r="I15" i="35"/>
  <c r="J15" i="35"/>
  <c r="F7" i="35"/>
  <c r="G7" i="35" s="1"/>
  <c r="H7" i="35" s="1"/>
  <c r="F13" i="35"/>
  <c r="G13" i="35" s="1"/>
  <c r="H13" i="35" s="1"/>
  <c r="J13" i="35" s="1"/>
  <c r="F14" i="35"/>
  <c r="G14" i="35" s="1"/>
  <c r="H14" i="35" s="1"/>
  <c r="I14" i="35" s="1"/>
  <c r="F4" i="35"/>
  <c r="G4" i="35" s="1"/>
  <c r="H4" i="35" s="1"/>
  <c r="F12" i="35"/>
  <c r="G12" i="35" s="1"/>
  <c r="H12" i="35" s="1"/>
  <c r="F16" i="35"/>
  <c r="G16" i="35" s="1"/>
  <c r="H16" i="35" s="1"/>
  <c r="F3" i="35"/>
  <c r="G3" i="35" s="1"/>
  <c r="H3" i="35" s="1"/>
  <c r="I3" i="35" s="1"/>
  <c r="I13" i="35" l="1"/>
  <c r="J4" i="35"/>
  <c r="I4" i="35"/>
  <c r="J7" i="35"/>
  <c r="I7" i="35"/>
  <c r="J16" i="35"/>
  <c r="I16" i="35"/>
  <c r="I6" i="35"/>
  <c r="J6" i="35"/>
  <c r="J3" i="35"/>
  <c r="I12" i="35"/>
  <c r="J12" i="35"/>
  <c r="J14" i="35"/>
  <c r="AA4" i="26" l="1" a="1"/>
  <c r="AA4" i="26" s="1"/>
  <c r="AA5" i="26" a="1"/>
  <c r="AA5" i="26" s="1"/>
  <c r="AA6" i="26" a="1"/>
  <c r="AA6" i="26" s="1"/>
  <c r="AA7" i="26" a="1"/>
  <c r="AA7" i="26" s="1"/>
  <c r="AA8" i="26" a="1"/>
  <c r="AA8" i="26" s="1"/>
  <c r="AA9" i="26" a="1"/>
  <c r="AA9" i="26" s="1"/>
  <c r="AA10" i="26" a="1"/>
  <c r="AA10" i="26" s="1"/>
  <c r="AA11" i="26" a="1"/>
  <c r="AA11" i="26" s="1"/>
  <c r="AA12" i="26" a="1"/>
  <c r="AA12" i="26" s="1"/>
  <c r="AA13" i="26" a="1"/>
  <c r="AA13" i="26" s="1"/>
  <c r="AA14" i="26" a="1"/>
  <c r="AA14" i="26" s="1"/>
  <c r="AA15" i="26" a="1"/>
  <c r="AA15" i="26" s="1"/>
  <c r="AA16" i="26" a="1"/>
  <c r="AA16" i="26" s="1"/>
  <c r="AA17" i="26" a="1"/>
  <c r="AA17" i="26" s="1"/>
  <c r="AA18" i="26" a="1"/>
  <c r="AA18" i="26" s="1"/>
  <c r="AA19" i="26" a="1"/>
  <c r="AA19" i="26" s="1"/>
  <c r="AA20" i="26" a="1"/>
  <c r="AA20" i="26"/>
  <c r="AA21" i="26" a="1"/>
  <c r="AA21" i="26" s="1"/>
  <c r="AA22" i="26" a="1"/>
  <c r="AA22" i="26" s="1"/>
  <c r="AA23" i="26" a="1"/>
  <c r="AA23" i="26" s="1"/>
  <c r="AA24" i="26" a="1"/>
  <c r="AA24" i="26" s="1"/>
  <c r="AA25" i="26" a="1"/>
  <c r="AA25" i="26" s="1"/>
  <c r="AA26" i="26" a="1"/>
  <c r="AA26" i="26" s="1"/>
  <c r="AA27" i="26" a="1"/>
  <c r="AA27" i="26" s="1"/>
  <c r="AA28" i="26" a="1"/>
  <c r="AA28" i="26" s="1"/>
  <c r="AA29" i="26" a="1"/>
  <c r="AA29" i="26" s="1"/>
  <c r="AA30" i="26" a="1"/>
  <c r="AA30" i="26" s="1"/>
  <c r="AA31" i="26" a="1"/>
  <c r="AA31" i="26" s="1"/>
  <c r="AA32" i="26" a="1"/>
  <c r="AA32" i="26" s="1"/>
  <c r="AA33" i="26" a="1"/>
  <c r="AA33" i="26" s="1"/>
  <c r="AA34" i="26" a="1"/>
  <c r="AA34" i="26" s="1"/>
  <c r="AA35" i="26" a="1"/>
  <c r="AA35" i="26" s="1"/>
  <c r="AA36" i="26" a="1"/>
  <c r="AA36" i="26" s="1"/>
  <c r="AA37" i="26" a="1"/>
  <c r="AA37" i="26" s="1"/>
  <c r="AA38" i="26" a="1"/>
  <c r="AA38" i="26" s="1"/>
  <c r="AA39" i="26" a="1"/>
  <c r="AA39" i="26" s="1"/>
  <c r="AA40" i="26" a="1"/>
  <c r="AA40" i="26" s="1"/>
  <c r="AA41" i="26" a="1"/>
  <c r="AA41" i="26" s="1"/>
  <c r="AA42" i="26" a="1"/>
  <c r="AA42" i="26" s="1"/>
  <c r="AA43" i="26" a="1"/>
  <c r="AA43" i="26" s="1"/>
  <c r="AA44" i="26" a="1"/>
  <c r="AA44" i="26" s="1"/>
  <c r="AA45" i="26" a="1"/>
  <c r="AA45" i="26" s="1"/>
  <c r="AA46" i="26" a="1"/>
  <c r="AA46" i="26" s="1"/>
  <c r="AA47" i="26" a="1"/>
  <c r="AA47" i="26" s="1"/>
  <c r="AA48" i="26" a="1"/>
  <c r="AA48" i="26" s="1"/>
  <c r="AA49" i="26" a="1"/>
  <c r="AA49" i="26" s="1"/>
  <c r="AA50" i="26" a="1"/>
  <c r="AA50" i="26" s="1"/>
  <c r="AA51" i="26" a="1"/>
  <c r="AA51" i="26" s="1"/>
  <c r="AA52" i="26" a="1"/>
  <c r="AA52" i="26" s="1"/>
  <c r="AA53" i="26" a="1"/>
  <c r="AA53" i="26" s="1"/>
  <c r="AA54" i="26" a="1"/>
  <c r="AA54" i="26" s="1"/>
  <c r="AA55" i="26" a="1"/>
  <c r="AA55" i="26" s="1"/>
  <c r="AA56" i="26" a="1"/>
  <c r="AA56" i="26" s="1"/>
  <c r="AA57" i="26" a="1"/>
  <c r="AA57" i="26"/>
  <c r="AA58" i="26" a="1"/>
  <c r="AA58" i="26" s="1"/>
  <c r="AA59" i="26" a="1"/>
  <c r="AA59" i="26" s="1"/>
  <c r="AA60" i="26" a="1"/>
  <c r="AA60" i="26" s="1"/>
  <c r="AA61" i="26" a="1"/>
  <c r="AA61" i="26"/>
  <c r="AA62" i="26" a="1"/>
  <c r="AA62" i="26" s="1"/>
  <c r="AA3" i="26" a="1"/>
  <c r="AA3" i="26" s="1"/>
  <c r="AA66" i="26" l="1"/>
  <c r="AA64" i="26"/>
  <c r="O3" i="28" a="1"/>
  <c r="O3" i="28" s="1"/>
  <c r="O4" i="28" a="1"/>
  <c r="O4" i="28" s="1"/>
  <c r="O5" i="28" a="1"/>
  <c r="O5" i="28" s="1"/>
  <c r="O6" i="28" a="1"/>
  <c r="O6" i="28" s="1"/>
  <c r="O7" i="28" a="1"/>
  <c r="O7" i="28" s="1"/>
  <c r="O8" i="28" a="1"/>
  <c r="O8" i="28" s="1"/>
  <c r="O9" i="28" a="1"/>
  <c r="O9" i="28" s="1"/>
  <c r="O10" i="28" a="1"/>
  <c r="O10" i="28" s="1"/>
  <c r="O11" i="28" a="1"/>
  <c r="O11" i="28" s="1"/>
  <c r="O12" i="28" a="1"/>
  <c r="O12" i="28" s="1"/>
  <c r="O13" i="28" a="1"/>
  <c r="O13" i="28" s="1"/>
  <c r="O14" i="28" a="1"/>
  <c r="O14" i="28" s="1"/>
  <c r="O15" i="28" a="1"/>
  <c r="O15" i="28" s="1"/>
  <c r="O16" i="28" a="1"/>
  <c r="O16" i="28" s="1"/>
  <c r="O17" i="28" a="1"/>
  <c r="O17" i="28" s="1"/>
  <c r="O18" i="28" a="1"/>
  <c r="O18" i="28" s="1"/>
  <c r="O19" i="28" a="1"/>
  <c r="O19" i="28" s="1"/>
  <c r="O20" i="28" a="1"/>
  <c r="O20" i="28" s="1"/>
  <c r="O21" i="28" a="1"/>
  <c r="O21" i="28" s="1"/>
  <c r="O22" i="28" a="1"/>
  <c r="O22" i="28"/>
  <c r="O23" i="28" a="1"/>
  <c r="O23" i="28" s="1"/>
  <c r="O24" i="28" a="1"/>
  <c r="O24" i="28" s="1"/>
  <c r="O25" i="28" a="1"/>
  <c r="O25" i="28" s="1"/>
  <c r="O26" i="28" a="1"/>
  <c r="O26" i="28" s="1"/>
  <c r="O27" i="28" a="1"/>
  <c r="O27" i="28" s="1"/>
  <c r="O28" i="28" a="1"/>
  <c r="O28" i="28" s="1"/>
  <c r="O29" i="28" a="1"/>
  <c r="O29" i="28" s="1"/>
  <c r="O30" i="28" a="1"/>
  <c r="O30" i="28" s="1"/>
  <c r="O31" i="28" a="1"/>
  <c r="O31" i="28" s="1"/>
  <c r="O32" i="28" a="1"/>
  <c r="O32" i="28" s="1"/>
  <c r="R3" i="27" a="1"/>
  <c r="R3" i="27" s="1"/>
  <c r="R4" i="27" a="1"/>
  <c r="R4" i="27" s="1"/>
  <c r="R5" i="27" a="1"/>
  <c r="R5" i="27" s="1"/>
  <c r="R6" i="27" a="1"/>
  <c r="R6" i="27" s="1"/>
  <c r="R7" i="27" a="1"/>
  <c r="R7" i="27" s="1"/>
  <c r="R8" i="27" a="1"/>
  <c r="R8" i="27" s="1"/>
  <c r="R9" i="27" a="1"/>
  <c r="R9" i="27" s="1"/>
  <c r="R10" i="27" a="1"/>
  <c r="R10" i="27" s="1"/>
  <c r="R11" i="27" a="1"/>
  <c r="R11" i="27" s="1"/>
  <c r="R12" i="27" a="1"/>
  <c r="R12" i="27" s="1"/>
  <c r="R13" i="27" a="1"/>
  <c r="R13" i="27" s="1"/>
  <c r="R14" i="27" a="1"/>
  <c r="R14" i="27" s="1"/>
  <c r="R15" i="27" a="1"/>
  <c r="R15" i="27" s="1"/>
  <c r="R16" i="27" a="1"/>
  <c r="R16" i="27" s="1"/>
  <c r="R17" i="27" a="1"/>
  <c r="R17" i="27" s="1"/>
  <c r="R18" i="27" a="1"/>
  <c r="R18" i="27"/>
  <c r="R19" i="27" a="1"/>
  <c r="R19" i="27" s="1"/>
  <c r="R20" i="27" a="1"/>
  <c r="R20" i="27" s="1"/>
  <c r="R21" i="27" a="1"/>
  <c r="R21" i="27" s="1"/>
  <c r="R22" i="27" a="1"/>
  <c r="R22" i="27" s="1"/>
  <c r="R23" i="27" a="1"/>
  <c r="R23" i="27" s="1"/>
  <c r="R24" i="27" a="1"/>
  <c r="R24" i="27" s="1"/>
  <c r="R25" i="27" a="1"/>
  <c r="R25" i="27" s="1"/>
  <c r="R26" i="27" a="1"/>
  <c r="R26" i="27" s="1"/>
  <c r="R27" i="27" a="1"/>
  <c r="R27" i="27" s="1"/>
  <c r="R28" i="27" a="1"/>
  <c r="R28" i="27" s="1"/>
  <c r="R29" i="27" a="1"/>
  <c r="R29" i="27" s="1"/>
  <c r="R30" i="27" a="1"/>
  <c r="R30" i="27" s="1"/>
  <c r="R31" i="27" a="1"/>
  <c r="R31" i="27" s="1"/>
  <c r="R32" i="27" a="1"/>
  <c r="R32" i="27" s="1"/>
  <c r="Q3" i="20" a="1"/>
  <c r="Q3" i="20" s="1"/>
  <c r="Q4" i="20" a="1"/>
  <c r="Q4" i="20" s="1"/>
  <c r="Q5" i="20" a="1"/>
  <c r="Q5" i="20" s="1"/>
  <c r="Q6" i="20" a="1"/>
  <c r="Q6" i="20" s="1"/>
  <c r="Q7" i="20" a="1"/>
  <c r="Q7" i="20" s="1"/>
  <c r="Q8" i="20" a="1"/>
  <c r="Q8" i="20" s="1"/>
  <c r="Q9" i="20" a="1"/>
  <c r="Q9" i="20" s="1"/>
  <c r="Q10" i="20" a="1"/>
  <c r="Q10" i="20" s="1"/>
  <c r="Q11" i="20" a="1"/>
  <c r="Q11" i="20" s="1"/>
  <c r="Q12" i="20" a="1"/>
  <c r="Q12" i="20" s="1"/>
  <c r="Q13" i="20" a="1"/>
  <c r="Q13" i="20" s="1"/>
  <c r="Q14" i="20" a="1"/>
  <c r="Q14" i="20" s="1"/>
  <c r="Q15" i="20" a="1"/>
  <c r="Q15" i="20" s="1"/>
  <c r="Q16" i="20" a="1"/>
  <c r="Q16" i="20" s="1"/>
  <c r="Q17" i="20" a="1"/>
  <c r="Q17" i="20" s="1"/>
  <c r="Q18" i="20" a="1"/>
  <c r="Q18" i="20" s="1"/>
  <c r="Q19" i="20" a="1"/>
  <c r="Q19" i="20" s="1"/>
  <c r="Q20" i="20" a="1"/>
  <c r="Q20" i="20"/>
  <c r="Q21" i="20" a="1"/>
  <c r="Q21" i="20" s="1"/>
  <c r="Q22" i="20" a="1"/>
  <c r="Q22" i="20" s="1"/>
  <c r="Q23" i="20" a="1"/>
  <c r="Q23" i="20" s="1"/>
  <c r="Q24" i="20" a="1"/>
  <c r="Q24" i="20" s="1"/>
  <c r="Q25" i="20" a="1"/>
  <c r="Q25" i="20" s="1"/>
  <c r="Q26" i="20" a="1"/>
  <c r="Q26" i="20" s="1"/>
  <c r="Q27" i="20" a="1"/>
  <c r="Q27" i="20" s="1"/>
  <c r="Q28" i="20" a="1"/>
  <c r="Q28" i="20" s="1"/>
  <c r="Q29" i="20" a="1"/>
  <c r="Q29" i="20" s="1"/>
  <c r="Q30" i="20" a="1"/>
  <c r="Q30" i="20" s="1"/>
  <c r="Q31" i="20" a="1"/>
  <c r="Q31" i="20" s="1"/>
  <c r="Q32" i="20" a="1"/>
  <c r="Q32" i="20" s="1"/>
  <c r="Q33" i="20" a="1"/>
  <c r="Q33" i="20" s="1"/>
  <c r="Q34" i="20" a="1"/>
  <c r="Q34" i="20" s="1"/>
  <c r="Q35" i="20" a="1"/>
  <c r="Q35" i="20" s="1"/>
  <c r="Q36" i="20" a="1"/>
  <c r="Q36" i="20" s="1"/>
  <c r="Q37" i="20" a="1"/>
  <c r="Q37" i="20" s="1"/>
  <c r="Q38" i="20" a="1"/>
  <c r="Q38" i="20" s="1"/>
  <c r="Q39" i="20" a="1"/>
  <c r="Q39" i="20" s="1"/>
  <c r="Q40" i="20" a="1"/>
  <c r="Q40" i="20" s="1"/>
  <c r="Q41" i="20" a="1"/>
  <c r="Q41" i="20" s="1"/>
  <c r="Q42" i="20" a="1"/>
  <c r="Q42" i="20" s="1"/>
  <c r="Q43" i="20" a="1"/>
  <c r="Q43" i="20" s="1"/>
  <c r="Q44" i="20" a="1"/>
  <c r="Q44" i="20" s="1"/>
  <c r="Q45" i="20" a="1"/>
  <c r="Q45" i="20" s="1"/>
  <c r="Q46" i="20" a="1"/>
  <c r="Q46" i="20" s="1"/>
  <c r="Q47" i="20" a="1"/>
  <c r="Q47" i="20" s="1"/>
  <c r="Q48" i="20" a="1"/>
  <c r="Q48" i="20" s="1"/>
  <c r="Q49" i="20" a="1"/>
  <c r="Q49" i="20" s="1"/>
  <c r="Q50" i="20" a="1"/>
  <c r="Q50" i="20" s="1"/>
  <c r="Q51" i="20" a="1"/>
  <c r="Q51" i="20" s="1"/>
  <c r="Q52" i="20" a="1"/>
  <c r="Q52" i="20" s="1"/>
  <c r="Q53" i="20" a="1"/>
  <c r="Q53" i="20" s="1"/>
  <c r="Q54" i="20" a="1"/>
  <c r="Q54" i="20" s="1"/>
  <c r="Q55" i="20" a="1"/>
  <c r="Q55" i="20" s="1"/>
  <c r="Q56" i="20" a="1"/>
  <c r="Q56" i="20" s="1"/>
  <c r="Q57" i="20" a="1"/>
  <c r="Q57" i="20" s="1"/>
  <c r="Q58" i="20" a="1"/>
  <c r="Q58" i="20" s="1"/>
  <c r="Q59" i="20" a="1"/>
  <c r="Q59" i="20" s="1"/>
  <c r="Q60" i="20" a="1"/>
  <c r="Q60" i="20" s="1"/>
  <c r="Q61" i="20" a="1"/>
  <c r="Q61" i="20" s="1"/>
  <c r="Q62" i="20" a="1"/>
  <c r="Q62" i="20" s="1"/>
  <c r="Q16" i="24" a="1"/>
  <c r="Q16" i="24" s="1"/>
  <c r="Q17" i="24" a="1"/>
  <c r="Q17" i="24" s="1"/>
  <c r="Q18" i="24" a="1"/>
  <c r="Q18" i="24" s="1"/>
  <c r="Q19" i="24" a="1"/>
  <c r="Q19" i="24" s="1"/>
  <c r="Q20" i="24" a="1"/>
  <c r="Q20" i="24" s="1"/>
  <c r="Q21" i="24" a="1"/>
  <c r="Q21" i="24" s="1"/>
  <c r="Q22" i="24" a="1"/>
  <c r="Q22" i="24" s="1"/>
  <c r="Q23" i="24" a="1"/>
  <c r="Q23" i="24" s="1"/>
  <c r="Q24" i="24" a="1"/>
  <c r="Q24" i="24" s="1"/>
  <c r="Q25" i="24" a="1"/>
  <c r="Q25" i="24" s="1"/>
  <c r="Q26" i="24" a="1"/>
  <c r="Q26" i="24" s="1"/>
  <c r="Q27" i="24" a="1"/>
  <c r="Q27" i="24" s="1"/>
  <c r="Q28" i="24" a="1"/>
  <c r="Q28" i="24" s="1"/>
  <c r="Q29" i="24" a="1"/>
  <c r="Q29" i="24" s="1"/>
  <c r="Q30" i="24" a="1"/>
  <c r="Q30" i="24" s="1"/>
  <c r="Q31" i="24" a="1"/>
  <c r="Q31" i="24" s="1"/>
  <c r="Q32" i="24" a="1"/>
  <c r="Q32" i="24" s="1"/>
  <c r="Q33" i="24" a="1"/>
  <c r="Q33" i="24" s="1"/>
  <c r="Q34" i="24" a="1"/>
  <c r="Q34" i="24" s="1"/>
  <c r="Q35" i="24" a="1"/>
  <c r="Q35" i="24" s="1"/>
  <c r="Q36" i="24" a="1"/>
  <c r="Q36" i="24" s="1"/>
  <c r="Q37" i="24" a="1"/>
  <c r="Q37" i="24" s="1"/>
  <c r="Q38" i="24" a="1"/>
  <c r="Q38" i="24" s="1"/>
  <c r="Q39" i="24" a="1"/>
  <c r="Q39" i="24" s="1"/>
  <c r="Q40" i="24" a="1"/>
  <c r="Q40" i="24" s="1"/>
  <c r="Q41" i="24" a="1"/>
  <c r="Q41" i="24" s="1"/>
  <c r="Q42" i="24" a="1"/>
  <c r="Q42" i="24" s="1"/>
  <c r="Q43" i="24" a="1"/>
  <c r="Q43" i="24" s="1"/>
  <c r="Q44" i="24" a="1"/>
  <c r="Q44" i="24" s="1"/>
  <c r="Q45" i="24" a="1"/>
  <c r="Q45" i="24" s="1"/>
  <c r="Q46" i="24" a="1"/>
  <c r="Q46" i="24" s="1"/>
  <c r="Q47" i="24" a="1"/>
  <c r="Q47" i="24" s="1"/>
  <c r="Q48" i="24" a="1"/>
  <c r="Q48" i="24" s="1"/>
  <c r="Q49" i="24" a="1"/>
  <c r="Q49" i="24" s="1"/>
  <c r="Q50" i="24" a="1"/>
  <c r="Q50" i="24" s="1"/>
  <c r="Q51" i="24" a="1"/>
  <c r="Q51" i="24" s="1"/>
  <c r="Q52" i="24" a="1"/>
  <c r="Q52" i="24" s="1"/>
  <c r="Q53" i="24" a="1"/>
  <c r="Q53" i="24" s="1"/>
  <c r="Q54" i="24" a="1"/>
  <c r="Q54" i="24" s="1"/>
  <c r="Q55" i="24" a="1"/>
  <c r="Q55" i="24" s="1"/>
  <c r="Q56" i="24" a="1"/>
  <c r="Q56" i="24" s="1"/>
  <c r="Q57" i="24" a="1"/>
  <c r="Q57" i="24" s="1"/>
  <c r="Q58" i="24" a="1"/>
  <c r="Q58" i="24" s="1"/>
  <c r="Q59" i="24" a="1"/>
  <c r="Q59" i="24" s="1"/>
  <c r="Q60" i="24" a="1"/>
  <c r="Q60" i="24" s="1"/>
  <c r="Q61" i="24" a="1"/>
  <c r="Q61" i="24" s="1"/>
  <c r="Q62" i="24" a="1"/>
  <c r="Q62" i="24" s="1"/>
  <c r="Q4" i="24" a="1"/>
  <c r="Q4" i="24" s="1"/>
  <c r="Q5" i="24" a="1"/>
  <c r="Q5" i="24" s="1"/>
  <c r="Q6" i="24" a="1"/>
  <c r="Q6" i="24" s="1"/>
  <c r="Q7" i="24" a="1"/>
  <c r="Q7" i="24" s="1"/>
  <c r="Q8" i="24" a="1"/>
  <c r="Q8" i="24" s="1"/>
  <c r="Q9" i="24" a="1"/>
  <c r="Q9" i="24" s="1"/>
  <c r="Q10" i="24" a="1"/>
  <c r="Q10" i="24" s="1"/>
  <c r="Q11" i="24" a="1"/>
  <c r="Q11" i="24" s="1"/>
  <c r="Q12" i="24" a="1"/>
  <c r="Q12" i="24" s="1"/>
  <c r="Q13" i="24" a="1"/>
  <c r="Q13" i="24" s="1"/>
  <c r="Q14" i="24" a="1"/>
  <c r="Q14" i="24" s="1"/>
  <c r="Q15" i="24" a="1"/>
  <c r="Q15" i="24" s="1"/>
  <c r="Q3" i="24" a="1"/>
  <c r="Q3" i="24" s="1"/>
  <c r="G61" i="25"/>
  <c r="G60" i="25"/>
  <c r="G59" i="25"/>
  <c r="G28" i="25"/>
  <c r="G58" i="25"/>
  <c r="G57" i="25"/>
  <c r="G56" i="25"/>
  <c r="G55" i="25"/>
  <c r="G26" i="25"/>
  <c r="G24" i="25"/>
  <c r="G54" i="25"/>
  <c r="G53" i="25"/>
  <c r="G22" i="25"/>
  <c r="G52" i="25"/>
  <c r="G51" i="25"/>
  <c r="G50" i="25"/>
  <c r="G49" i="25"/>
  <c r="G48" i="25"/>
  <c r="G47" i="25"/>
  <c r="G20" i="25"/>
  <c r="G46" i="25"/>
  <c r="G45" i="25"/>
  <c r="G44" i="25"/>
  <c r="G43" i="25"/>
  <c r="G42" i="25"/>
  <c r="G41" i="25"/>
  <c r="G40" i="25"/>
  <c r="G18" i="25"/>
  <c r="G16" i="25"/>
  <c r="G39" i="25"/>
  <c r="G14" i="25"/>
  <c r="G38" i="25"/>
  <c r="G37" i="25"/>
  <c r="G11" i="25"/>
  <c r="G9" i="25"/>
  <c r="G36" i="25"/>
  <c r="G35" i="25"/>
  <c r="G7" i="25"/>
  <c r="G34" i="25"/>
  <c r="G33" i="25"/>
  <c r="G4" i="25"/>
  <c r="G32" i="25"/>
  <c r="G31" i="25"/>
  <c r="G30" i="25"/>
  <c r="D63" i="31"/>
  <c r="G61" i="31"/>
  <c r="G45" i="31"/>
  <c r="G44" i="31"/>
  <c r="G43" i="31"/>
  <c r="G42" i="31"/>
  <c r="G41" i="31"/>
  <c r="G40" i="31"/>
  <c r="G60" i="31"/>
  <c r="G59" i="31"/>
  <c r="G58" i="31"/>
  <c r="G39" i="31"/>
  <c r="G38" i="31"/>
  <c r="G57" i="31"/>
  <c r="G56" i="31"/>
  <c r="G37" i="31"/>
  <c r="G55" i="31"/>
  <c r="G36" i="31"/>
  <c r="G35" i="31"/>
  <c r="G34" i="31"/>
  <c r="G33" i="31"/>
  <c r="G32" i="31"/>
  <c r="G31" i="31"/>
  <c r="G54" i="31"/>
  <c r="G30" i="31"/>
  <c r="G29" i="31"/>
  <c r="G28" i="31"/>
  <c r="G27" i="31"/>
  <c r="G53" i="31"/>
  <c r="G26" i="31"/>
  <c r="G52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51" i="31"/>
  <c r="G10" i="31"/>
  <c r="G9" i="31"/>
  <c r="G50" i="31"/>
  <c r="G8" i="31"/>
  <c r="G7" i="31"/>
  <c r="G6" i="31"/>
  <c r="G5" i="31"/>
  <c r="G4" i="31"/>
  <c r="G3" i="31"/>
  <c r="G2" i="31"/>
  <c r="G49" i="31"/>
  <c r="G48" i="31"/>
  <c r="G47" i="31"/>
  <c r="G46" i="31"/>
  <c r="M3" i="20"/>
  <c r="K34" i="27"/>
  <c r="R35" i="27" l="1"/>
  <c r="R33" i="27"/>
  <c r="G63" i="31"/>
  <c r="J33" i="27"/>
  <c r="J64" i="26"/>
  <c r="E33" i="27"/>
  <c r="M3" i="27"/>
  <c r="M11" i="27"/>
  <c r="M10" i="27"/>
  <c r="M9" i="27"/>
  <c r="M8" i="27"/>
  <c r="M7" i="27"/>
  <c r="M6" i="27"/>
  <c r="M5" i="27"/>
  <c r="M15" i="27"/>
  <c r="M14" i="27"/>
  <c r="M13" i="27"/>
  <c r="M12" i="27"/>
  <c r="M16" i="27"/>
  <c r="D17" i="27"/>
  <c r="D25" i="27"/>
  <c r="M45" i="20"/>
  <c r="B22" i="28"/>
  <c r="B23" i="28"/>
  <c r="B25" i="28"/>
  <c r="B26" i="28"/>
  <c r="B27" i="28"/>
  <c r="B29" i="28"/>
  <c r="B30" i="28"/>
  <c r="B31" i="28"/>
  <c r="B32" i="28"/>
  <c r="B17" i="28"/>
  <c r="B16" i="28"/>
  <c r="B15" i="28"/>
  <c r="B14" i="28"/>
  <c r="B13" i="28"/>
  <c r="B12" i="28"/>
  <c r="B10" i="28"/>
  <c r="B9" i="28"/>
  <c r="B8" i="28"/>
  <c r="B7" i="28"/>
  <c r="B6" i="28"/>
  <c r="B5" i="28"/>
  <c r="D4" i="27"/>
  <c r="K4" i="28"/>
  <c r="K17" i="28"/>
  <c r="K16" i="28"/>
  <c r="K15" i="28"/>
  <c r="K14" i="28"/>
  <c r="K13" i="28"/>
  <c r="K12" i="28"/>
  <c r="K11" i="28"/>
  <c r="K10" i="28"/>
  <c r="K9" i="28"/>
  <c r="K8" i="28"/>
  <c r="K7" i="28"/>
  <c r="K6" i="28"/>
  <c r="K5" i="28"/>
  <c r="K3" i="28"/>
  <c r="D16" i="27"/>
  <c r="D15" i="27"/>
  <c r="D14" i="27"/>
  <c r="D13" i="27"/>
  <c r="D12" i="27"/>
  <c r="D11" i="27"/>
  <c r="D10" i="27"/>
  <c r="D9" i="27"/>
  <c r="D8" i="27"/>
  <c r="D7" i="27"/>
  <c r="D6" i="27"/>
  <c r="D5" i="27"/>
  <c r="M4" i="27"/>
  <c r="M17" i="27"/>
  <c r="M19" i="27"/>
  <c r="D20" i="27"/>
  <c r="D21" i="27"/>
  <c r="D22" i="27"/>
  <c r="D23" i="27"/>
  <c r="D24" i="27"/>
  <c r="D26" i="27"/>
  <c r="D27" i="27"/>
  <c r="D28" i="27"/>
  <c r="D29" i="27"/>
  <c r="D30" i="27"/>
  <c r="D31" i="27"/>
  <c r="D32" i="27"/>
  <c r="K32" i="28"/>
  <c r="K31" i="28"/>
  <c r="K30" i="28"/>
  <c r="K29" i="28"/>
  <c r="K28" i="28"/>
  <c r="K27" i="28"/>
  <c r="K26" i="28"/>
  <c r="K25" i="28"/>
  <c r="K24" i="28"/>
  <c r="K23" i="28"/>
  <c r="K22" i="28"/>
  <c r="K21" i="28"/>
  <c r="K20" i="28"/>
  <c r="K19" i="28"/>
  <c r="K18" i="28"/>
  <c r="M20" i="27"/>
  <c r="M21" i="27"/>
  <c r="M22" i="27"/>
  <c r="M23" i="27"/>
  <c r="M24" i="27"/>
  <c r="M18" i="27"/>
  <c r="M25" i="27"/>
  <c r="M26" i="27"/>
  <c r="M27" i="27"/>
  <c r="M28" i="27"/>
  <c r="M29" i="27"/>
  <c r="M30" i="27"/>
  <c r="M31" i="27"/>
  <c r="M32" i="27"/>
  <c r="Z8" i="26"/>
  <c r="Z9" i="26"/>
  <c r="Z10" i="26"/>
  <c r="Z11" i="26"/>
  <c r="Z12" i="26"/>
  <c r="Z13" i="26"/>
  <c r="Z14" i="26"/>
  <c r="Z15" i="26"/>
  <c r="Z16" i="26"/>
  <c r="Z17" i="26"/>
  <c r="Z18" i="26"/>
  <c r="Z19" i="26"/>
  <c r="Z20" i="26"/>
  <c r="Z21" i="26"/>
  <c r="Z22" i="26"/>
  <c r="Z23" i="26"/>
  <c r="Z24" i="26"/>
  <c r="Z25" i="26"/>
  <c r="Z26" i="26"/>
  <c r="Z27" i="26"/>
  <c r="Z28" i="26"/>
  <c r="Z29" i="26"/>
  <c r="Z30" i="26"/>
  <c r="Z31" i="26"/>
  <c r="Z32" i="26"/>
  <c r="Z33" i="26"/>
  <c r="Z34" i="26"/>
  <c r="Z35" i="26"/>
  <c r="Z36" i="26"/>
  <c r="Z37" i="26"/>
  <c r="Z38" i="26"/>
  <c r="Z39" i="26"/>
  <c r="Z40" i="26"/>
  <c r="Z41" i="26"/>
  <c r="Z42" i="26"/>
  <c r="Z43" i="26"/>
  <c r="Z44" i="26"/>
  <c r="Z45" i="26"/>
  <c r="Z46" i="26"/>
  <c r="Z47" i="26"/>
  <c r="Z48" i="26"/>
  <c r="Z49" i="26"/>
  <c r="Z50" i="26"/>
  <c r="Z51" i="26"/>
  <c r="Z52" i="26"/>
  <c r="Z53" i="26"/>
  <c r="Z54" i="26"/>
  <c r="Z55" i="26"/>
  <c r="Z56" i="26"/>
  <c r="Z57" i="26"/>
  <c r="Z58" i="26"/>
  <c r="Z59" i="26"/>
  <c r="Z60" i="26"/>
  <c r="Z61" i="26"/>
  <c r="Z62" i="26"/>
  <c r="Z7" i="26"/>
  <c r="Z4" i="26"/>
  <c r="Z5" i="26"/>
  <c r="Z6" i="26"/>
  <c r="Z3" i="26"/>
  <c r="M10" i="20"/>
  <c r="M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3" i="24"/>
  <c r="M4" i="20"/>
  <c r="M5" i="20"/>
  <c r="M6" i="20"/>
  <c r="M7" i="20"/>
  <c r="M8" i="20"/>
  <c r="M9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C2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3" i="1"/>
  <c r="C4" i="1"/>
  <c r="C5" i="1"/>
  <c r="M33" i="27" l="1"/>
  <c r="Z64" i="26"/>
  <c r="B4" i="28"/>
  <c r="B18" i="28" l="1"/>
  <c r="B28" i="28"/>
  <c r="B11" i="28" l="1"/>
  <c r="B21" i="28"/>
  <c r="B20" i="28"/>
  <c r="D19" i="27" l="1"/>
  <c r="B19" i="27"/>
  <c r="B19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C1B14A-CA95-4B1B-B459-0E6936D13146}" keepAlive="1" name="Fråga - Append417" description="Anslutning till Append417-frågan i arbetsboken." type="5" refreshedVersion="0" background="1" saveData="1">
    <dbPr connection="Provider=Microsoft.Mashup.OleDb.1;Data Source=$Workbook$;Location=Append417;Extended Properties=&quot;&quot;" command="SELECT * FROM [Append417]"/>
  </connection>
  <connection id="2" xr16:uid="{69CDE3EB-8094-4D32-B223-9053D5916BB8}" keepAlive="1" name="Fråga - https___leetcode com_problemse (12)" description="Anslutning till https___leetcode com_problemse (12)-frågan i arbetsboken." type="5" refreshedVersion="8" background="1" saveData="1">
    <dbPr connection="Provider=Microsoft.Mashup.OleDb.1;Data Source=$Workbook$;Location=&quot;https___leetcode com_problemse (12)&quot;;Extended Properties=&quot;&quot;" command="SELECT * FROM [https___leetcode com_problemse (12)]"/>
  </connection>
  <connection id="3" xr16:uid="{780E14E9-0CDA-4DAC-92AE-15C276264853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4" xr16:uid="{62E26682-954F-473A-853D-697E21B73662}" keepAlive="1" name="Query - Append2" description="Connection to the 'Append2' query in the workbook." type="5" refreshedVersion="8" background="1" saveData="1">
    <dbPr connection="Provider=Microsoft.Mashup.OleDb.1;Data Source=$Workbook$;Location=Append2;Extended Properties=&quot;&quot;" command="SELECT * FROM [Append2]"/>
  </connection>
  <connection id="5" xr16:uid="{F2B6EE75-FA42-4920-A35A-08FEA5140120}" keepAlive="1" name="Query - Append3" description="Connection to the 'Append3' query in the workbook." type="5" refreshedVersion="8" background="1" saveData="1">
    <dbPr connection="Provider=Microsoft.Mashup.OleDb.1;Data Source=$Workbook$;Location=Append3;Extended Properties=&quot;&quot;" command="SELECT * FROM [Append3]"/>
  </connection>
  <connection id="6" xr16:uid="{C5A8B252-F57B-4610-A85E-E2505B7E44AA}" keepAlive="1" name="Query - Append4" description="Connection to the 'Append4' query in the workbook." type="5" refreshedVersion="8" background="1" saveData="1">
    <dbPr connection="Provider=Microsoft.Mashup.OleDb.1;Data Source=$Workbook$;Location=Append4;Extended Properties=&quot;&quot;" command="SELECT * FROM [Append4]"/>
  </connection>
  <connection id="7" xr16:uid="{2B52C59C-AD89-4784-A11A-D381815FBFC8}" keepAlive="1" name="Query - Append4 (2)" description="Connection to the 'Append4 (2)' query in the workbook." type="5" refreshedVersion="8" background="1" saveData="1">
    <dbPr connection="Provider=Microsoft.Mashup.OleDb.1;Data Source=$Workbook$;Location=&quot;Append4 (2)&quot;;Extended Properties=&quot;&quot;" command="SELECT * FROM [Append4 (2)]"/>
  </connection>
  <connection id="8" xr16:uid="{9700A54C-D8E3-4264-9724-6E9396276273}" keepAlive="1" name="Query - https___leetcode com_problemse" description="Connection to the 'https___leetcode com_problemse' query in the workbook." type="5" refreshedVersion="8" background="1" saveData="1">
    <dbPr connection="Provider=Microsoft.Mashup.OleDb.1;Data Source=$Workbook$;Location=&quot;https___leetcode com_problemse&quot;;Extended Properties=&quot;&quot;" command="SELECT * FROM [https___leetcode com_problemse]"/>
  </connection>
  <connection id="9" xr16:uid="{25DA59ED-6948-48B2-9E16-4179E7442CB4}" keepAlive="1" name="Query - https___leetcode com_problemse (1)" description="Connection to the 'https___leetcode com_problemse (1)' query in the workbook." type="5" refreshedVersion="0" background="1">
    <dbPr connection="Provider=Microsoft.Mashup.OleDb.1;Data Source=$Workbook$;Location=&quot;https___leetcode com_problemse (1)&quot;;Extended Properties=&quot;&quot;" command="SELECT * FROM [https___leetcode com_problemse (1)]"/>
  </connection>
  <connection id="10" xr16:uid="{17711597-97EF-4D4C-A9D1-7E9061E2107E}" keepAlive="1" name="Query - https___leetcode com_problemse (10)" description="Connection to the 'https___leetcode com_problemse (10)' query in the workbook." type="5" refreshedVersion="8" background="1" saveData="1">
    <dbPr connection="Provider=Microsoft.Mashup.OleDb.1;Data Source=$Workbook$;Location=&quot;https___leetcode com_problemse (10)&quot;;Extended Properties=&quot;&quot;" command="SELECT * FROM [https___leetcode com_problemse (10)]"/>
  </connection>
  <connection id="11" xr16:uid="{5B202CBE-6C32-418F-951F-23430C5536AA}" keepAlive="1" name="Query - https___leetcode com_problemse (11)" description="Connection to the 'https___leetcode com_problemse (11)' query in the workbook." type="5" refreshedVersion="8" background="1" saveData="1">
    <dbPr connection="Provider=Microsoft.Mashup.OleDb.1;Data Source=$Workbook$;Location=&quot;https___leetcode com_problemse (11)&quot;;Extended Properties=&quot;&quot;" command="SELECT * FROM [https___leetcode com_problemse (11)]"/>
  </connection>
  <connection id="12" xr16:uid="{094737EF-D80E-47E0-BD3F-80C37DCF5165}" keepAlive="1" name="Query - https___leetcode com_problemse (13)" description="Connection to the 'https___leetcode com_problemse (13)' query in the workbook." type="5" refreshedVersion="0" background="1" saveData="1">
    <dbPr connection="Provider=Microsoft.Mashup.OleDb.1;Data Source=$Workbook$;Location=&quot;https___leetcode com_problemse (13)&quot;;Extended Properties=&quot;&quot;" command="SELECT * FROM [https___leetcode com_problemse (13)]"/>
  </connection>
  <connection id="13" xr16:uid="{00A0C7FC-BB32-462C-8C25-786B3E04FBBF}" keepAlive="1" name="Query - https___leetcode com_problemse (14)" description="Connection to the 'https___leetcode com_problemse (14)' query in the workbook." type="5" refreshedVersion="8" background="1" saveData="1">
    <dbPr connection="Provider=Microsoft.Mashup.OleDb.1;Data Source=$Workbook$;Location=&quot;https___leetcode com_problemse (14)&quot;;Extended Properties=&quot;&quot;" command="SELECT * FROM [https___leetcode com_problemse (14)]"/>
  </connection>
  <connection id="14" xr16:uid="{79F02F7A-B0CA-47F7-82A9-30A6DF805645}" keepAlive="1" name="Query - https___leetcode com_problemse (2)" description="Connection to the 'https___leetcode com_problemse (2)' query in the workbook." type="5" refreshedVersion="8" background="1" saveData="1">
    <dbPr connection="Provider=Microsoft.Mashup.OleDb.1;Data Source=$Workbook$;Location=&quot;https___leetcode com_problemse (2)&quot;;Extended Properties=&quot;&quot;" command="SELECT * FROM [https___leetcode com_problemse (2)]"/>
  </connection>
  <connection id="15" xr16:uid="{E0DE3C59-0C94-4C4D-98A5-D8EDBDD29218}" keepAlive="1" name="Query - https___leetcode com_problemse (3)" description="Connection to the 'https___leetcode com_problemse (3)' query in the workbook." type="5" refreshedVersion="8" background="1" saveData="1">
    <dbPr connection="Provider=Microsoft.Mashup.OleDb.1;Data Source=$Workbook$;Location=&quot;https___leetcode com_problemse (3)&quot;;Extended Properties=&quot;&quot;" command="SELECT * FROM [https___leetcode com_problemse (3)]"/>
  </connection>
  <connection id="16" xr16:uid="{4DC483EF-42C5-4F49-80F8-4042CDD87EF8}" keepAlive="1" name="Query - https___leetcode com_problemse (4)" description="Connection to the 'https___leetcode com_problemse (4)' query in the workbook." type="5" refreshedVersion="8" background="1" saveData="1">
    <dbPr connection="Provider=Microsoft.Mashup.OleDb.1;Data Source=$Workbook$;Location=&quot;https___leetcode com_problemse (4)&quot;;Extended Properties=&quot;&quot;" command="SELECT * FROM [https___leetcode com_problemse (4)]"/>
  </connection>
  <connection id="17" xr16:uid="{B79327DE-EE51-4B7D-B101-D3B9846C13A2}" keepAlive="1" name="Query - https___leetcode com_problemse (5)" description="Connection to the 'https___leetcode com_problemse (5)' query in the workbook." type="5" refreshedVersion="8" background="1" saveData="1">
    <dbPr connection="Provider=Microsoft.Mashup.OleDb.1;Data Source=$Workbook$;Location=&quot;https___leetcode com_problemse (5)&quot;;Extended Properties=&quot;&quot;" command="SELECT * FROM [https___leetcode com_problemse (5)]"/>
  </connection>
  <connection id="18" xr16:uid="{3BBCB5BB-A60D-4554-9148-BE91D32375A0}" keepAlive="1" name="Query - https___leetcode com_problemse (6)" description="Connection to the 'https___leetcode com_problemse (6)' query in the workbook." type="5" refreshedVersion="8" background="1" saveData="1">
    <dbPr connection="Provider=Microsoft.Mashup.OleDb.1;Data Source=$Workbook$;Location=&quot;https___leetcode com_problemse (6)&quot;;Extended Properties=&quot;&quot;" command="SELECT * FROM [https___leetcode com_problemse (6)]"/>
  </connection>
  <connection id="19" xr16:uid="{36787A61-1A4C-4EA4-BDA9-C64B4F261EB0}" keepAlive="1" name="Query - https___leetcode com_problemse (7)" description="Connection to the 'https___leetcode com_problemse (7)' query in the workbook." type="5" refreshedVersion="8" background="1" saveData="1">
    <dbPr connection="Provider=Microsoft.Mashup.OleDb.1;Data Source=$Workbook$;Location=&quot;https___leetcode com_problemse (7)&quot;;Extended Properties=&quot;&quot;" command="SELECT * FROM [https___leetcode com_problemse (7)]"/>
  </connection>
  <connection id="20" xr16:uid="{A49FDF54-4CFC-47AD-989F-3C400C2A507C}" keepAlive="1" name="Query - https___leetcode com_problemse (8)" description="Connection to the 'https___leetcode com_problemse (8)' query in the workbook." type="5" refreshedVersion="8" background="1" saveData="1">
    <dbPr connection="Provider=Microsoft.Mashup.OleDb.1;Data Source=$Workbook$;Location=&quot;https___leetcode com_problemse (8)&quot;;Extended Properties=&quot;&quot;" command="SELECT * FROM [https___leetcode com_problemse (8)]"/>
  </connection>
  <connection id="21" xr16:uid="{7691DE56-4CE5-421E-A71E-AD903BFCAD14}" keepAlive="1" name="Query - https___leetcode com_problemse (9)" description="Connection to the 'https___leetcode com_problemse (9)' query in the workbook." type="5" refreshedVersion="8" background="1" saveData="1">
    <dbPr connection="Provider=Microsoft.Mashup.OleDb.1;Data Source=$Workbook$;Location=&quot;https___leetcode com_problemse (9)&quot;;Extended Properties=&quot;&quot;" command="SELECT * FROM [https___leetcode com_problemse (9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<sst xmlns="http://schemas.openxmlformats.org/spreadsheetml/2006/main" count="23031" uniqueCount="3452">
  <si>
    <t>No.</t>
  </si>
  <si>
    <t>Problem Link</t>
  </si>
  <si>
    <t>Problem Topic</t>
  </si>
  <si>
    <t>Difficulty (Percentage)</t>
  </si>
  <si>
    <t>Problem Popularity</t>
  </si>
  <si>
    <t>Timestamp1</t>
  </si>
  <si>
    <t>Timestamp2</t>
  </si>
  <si>
    <t>Timestamp3</t>
  </si>
  <si>
    <t>Difficulty</t>
  </si>
  <si>
    <t>Passed1</t>
  </si>
  <si>
    <t>Passed2</t>
  </si>
  <si>
    <t>Passed3</t>
  </si>
  <si>
    <t>Runtime3</t>
  </si>
  <si>
    <t>Runtime2</t>
  </si>
  <si>
    <t>Runtime1</t>
  </si>
  <si>
    <t>Time_beats3</t>
  </si>
  <si>
    <t>Time_beats2</t>
  </si>
  <si>
    <t>Time_beats1</t>
  </si>
  <si>
    <t>Memory3</t>
  </si>
  <si>
    <t>Memory2</t>
  </si>
  <si>
    <t>Memory1</t>
  </si>
  <si>
    <t>Memory_beats3</t>
  </si>
  <si>
    <t>Memory_beats2</t>
  </si>
  <si>
    <t>Memory_beats1</t>
  </si>
  <si>
    <t>Medium</t>
  </si>
  <si>
    <t>Bus Routes</t>
  </si>
  <si>
    <t>Hash Tables</t>
  </si>
  <si>
    <t>Hard</t>
  </si>
  <si>
    <t>Max Points on a Line</t>
  </si>
  <si>
    <t>Word Ladder II</t>
  </si>
  <si>
    <t>Substring with Concatenation of All Words</t>
  </si>
  <si>
    <t>Add Edges to Make Degrees of All Nodes Even</t>
  </si>
  <si>
    <t>Count Anagrams</t>
  </si>
  <si>
    <t>Grid Illumination</t>
  </si>
  <si>
    <t>Recover the Original Array</t>
  </si>
  <si>
    <t>Encrypt and Decrypt Strings</t>
  </si>
  <si>
    <t>LFU Cache</t>
  </si>
  <si>
    <t>Parse Lisp Expression</t>
  </si>
  <si>
    <t>Number of Atoms</t>
  </si>
  <si>
    <t>Prefix and Suffix Search</t>
  </si>
  <si>
    <t>Number of Excellent Pairs</t>
  </si>
  <si>
    <t>Total Appeal of A String</t>
  </si>
  <si>
    <t>Dynamic Programming</t>
  </si>
  <si>
    <t>Linked List</t>
  </si>
  <si>
    <t>Backtracking</t>
  </si>
  <si>
    <t>Maximum Employees to Be Invited to a Meeting</t>
  </si>
  <si>
    <t>Topological Sort</t>
  </si>
  <si>
    <t>Cat and Mouse</t>
  </si>
  <si>
    <t>Count Ways to Build Rooms in an Ant Colony</t>
  </si>
  <si>
    <t>Parallel Courses III</t>
  </si>
  <si>
    <t>Merge BSTs to Create Single BST</t>
  </si>
  <si>
    <t>Binary Trees</t>
  </si>
  <si>
    <t>Largest Color Value in a Directed Graph</t>
  </si>
  <si>
    <t>Sort Items by Groups Respecting Dependencies</t>
  </si>
  <si>
    <t>Rank Transform of a Matrix</t>
  </si>
  <si>
    <t>Cat and Mouse II</t>
  </si>
  <si>
    <t>Strange Printer II</t>
  </si>
  <si>
    <t>Count the Number of Ideal Arrays</t>
  </si>
  <si>
    <t>Number Theory</t>
  </si>
  <si>
    <t>Count Array Pairs Divisible by K</t>
  </si>
  <si>
    <t>Replace Non-Coprime Numbers in Array</t>
  </si>
  <si>
    <t>Number of Different Subsequences GCDs</t>
  </si>
  <si>
    <t>Count Ways to Make Array With Product</t>
  </si>
  <si>
    <t>Greedy</t>
  </si>
  <si>
    <t>23/01/2023</t>
  </si>
  <si>
    <t>Matrix</t>
  </si>
  <si>
    <t>K-th Smallest in Lexicographical Order</t>
  </si>
  <si>
    <t>Trie</t>
  </si>
  <si>
    <t>Palindrome Pairs</t>
  </si>
  <si>
    <t>Word Search II</t>
  </si>
  <si>
    <t>Maximum Genetic Difference Query</t>
  </si>
  <si>
    <t>2/13//2024 18:35</t>
  </si>
  <si>
    <t>Maximum XOR With an Element From Array</t>
  </si>
  <si>
    <t>Word Break II</t>
  </si>
  <si>
    <t>Concatenated Words</t>
  </si>
  <si>
    <t>Number of Valid Words for Each Puzzle</t>
  </si>
  <si>
    <t>Count Pairs With XOR in a Range</t>
  </si>
  <si>
    <t>Distinct Echo Substrings</t>
  </si>
  <si>
    <t>Stream of Characters</t>
  </si>
  <si>
    <t>Delete Duplicate Folders in System</t>
  </si>
  <si>
    <t>Maximum Gap</t>
  </si>
  <si>
    <t>Bucket Sort</t>
  </si>
  <si>
    <t>Bit Manipulation</t>
  </si>
  <si>
    <t>Shortest Path</t>
  </si>
  <si>
    <t>Recursion</t>
  </si>
  <si>
    <t>Partition Array Into Two Arrays to Minimize Sum Difference</t>
  </si>
  <si>
    <t>Ordered Set</t>
  </si>
  <si>
    <t>Contains Duplicate III</t>
  </si>
  <si>
    <t>Reverse Pairs</t>
  </si>
  <si>
    <t>Longest Substring of One Repeating Character</t>
  </si>
  <si>
    <t>Count Integers in Intervals</t>
  </si>
  <si>
    <t>Finding MK Average</t>
  </si>
  <si>
    <t>Count of Range Sum</t>
  </si>
  <si>
    <t>Create Sorted Array through Instructions</t>
  </si>
  <si>
    <t>Count Good Triplets in an Array</t>
  </si>
  <si>
    <t>Odd Even Jump</t>
  </si>
  <si>
    <t>Design Movie Rental System</t>
  </si>
  <si>
    <t>The Skyline Problem</t>
  </si>
  <si>
    <t>Count of Smaller Numbers After Self</t>
  </si>
  <si>
    <t>Number of Pairs Satisfying Inequality</t>
  </si>
  <si>
    <t>Max Sum of Rectangle No Larger Than K</t>
  </si>
  <si>
    <t>h-5</t>
  </si>
  <si>
    <t>h-6</t>
  </si>
  <si>
    <t>h-5 href</t>
  </si>
  <si>
    <t>inline-flex</t>
  </si>
  <si>
    <t>inline-flex 2</t>
  </si>
  <si>
    <t>inline-flex 3</t>
  </si>
  <si>
    <t>truncate href</t>
  </si>
  <si>
    <t>Column1</t>
  </si>
  <si>
    <t>text-pink</t>
  </si>
  <si>
    <t>inline-flex 4</t>
  </si>
  <si>
    <t xml:space="preserve"> Unique Paths III</t>
  </si>
  <si>
    <t>https://leetcode.com/problems/unique-paths-iii</t>
  </si>
  <si>
    <t>Array</t>
  </si>
  <si>
    <t>https://leetcode.com/problems/unique-paths-iii/solution</t>
  </si>
  <si>
    <t xml:space="preserve"> Maximum Score Words Formed by Letters</t>
  </si>
  <si>
    <t>https://leetcode.com/problems/maximum-score-words-formed-by-letters</t>
  </si>
  <si>
    <t>String</t>
  </si>
  <si>
    <t>https://leetcode.com/problems/maximum-score-words-formed-by-letters/solution</t>
  </si>
  <si>
    <t xml:space="preserve"> Build a Matrix With Conditions</t>
  </si>
  <si>
    <t>https://leetcode.com/problems/build-a-matrix-with-conditions</t>
  </si>
  <si>
    <t>Graph</t>
  </si>
  <si>
    <t>https://leetcode.com/problems/build-a-matrix-with-conditions/solution</t>
  </si>
  <si>
    <t xml:space="preserve"> First Letter Capitalization II</t>
  </si>
  <si>
    <t>https://leetcode.com/problems/first-letter-capitalization-ii</t>
  </si>
  <si>
    <t>Database</t>
  </si>
  <si>
    <t/>
  </si>
  <si>
    <t xml:space="preserve"> Reducing Dishes</t>
  </si>
  <si>
    <t>https://leetcode.com/problems/reducing-dishes</t>
  </si>
  <si>
    <t>https://leetcode.com/problems/reducing-dishes/solution</t>
  </si>
  <si>
    <t xml:space="preserve"> N-Queens II</t>
  </si>
  <si>
    <t>https://leetcode.com/problems/n-queens-ii</t>
  </si>
  <si>
    <t>https://leetcode.com/problems/n-queens-ii/solution</t>
  </si>
  <si>
    <t xml:space="preserve"> Recover a Tree From Preorder Traversal</t>
  </si>
  <si>
    <t>https://leetcode.com/problems/recover-a-tree-from-preorder-traversal</t>
  </si>
  <si>
    <t>Tree</t>
  </si>
  <si>
    <t>Depth-First Search</t>
  </si>
  <si>
    <t xml:space="preserve"> Number of Submatrices That Sum to Target</t>
  </si>
  <si>
    <t>https://leetcode.com/problems/number-of-submatrices-that-sum-to-target</t>
  </si>
  <si>
    <t>Hash Table</t>
  </si>
  <si>
    <t>https://leetcode.com/problems/number-of-submatrices-that-sum-to-target/solution</t>
  </si>
  <si>
    <t xml:space="preserve"> Minimum One Bit Operations to Make Integers Zero</t>
  </si>
  <si>
    <t>https://leetcode.com/problems/minimum-one-bit-operations-to-make-integers-zero</t>
  </si>
  <si>
    <t>1+</t>
  </si>
  <si>
    <t>https://leetcode.com/problems/minimum-one-bit-operations-to-make-integers-zero/solution</t>
  </si>
  <si>
    <t xml:space="preserve"> Sliding Puzzle</t>
  </si>
  <si>
    <t>https://leetcode.com/problems/sliding-puzzle</t>
  </si>
  <si>
    <t>4+</t>
  </si>
  <si>
    <t>https://leetcode.com/problems/sliding-puzzle/solution</t>
  </si>
  <si>
    <t xml:space="preserve"> Minimum Number of Flips to Convert Binary Matrix to Zero Matrix</t>
  </si>
  <si>
    <t>https://leetcode.com/problems/minimum-number-of-flips-to-convert-binary-matrix-to-zero-matrix</t>
  </si>
  <si>
    <t>https://leetcode.com/problems/minimum-number-of-flips-to-convert-binary-matrix-to-zero-matrix/solution</t>
  </si>
  <si>
    <t xml:space="preserve"> My Calendar III</t>
  </si>
  <si>
    <t>https://leetcode.com/problems/my-calendar-iii</t>
  </si>
  <si>
    <t>Binary Search</t>
  </si>
  <si>
    <t>Design</t>
  </si>
  <si>
    <t>Segment Tree</t>
  </si>
  <si>
    <t>https://leetcode.com/problems/my-calendar-iii/solution</t>
  </si>
  <si>
    <t xml:space="preserve"> Minimum Number of Increments on Subarrays to Form a Target Array</t>
  </si>
  <si>
    <t>https://leetcode.com/problems/minimum-number-of-increments-on-subarrays-to-form-a-target-array</t>
  </si>
  <si>
    <t>Stack</t>
  </si>
  <si>
    <t xml:space="preserve"> Minimum Insertion Steps to Make a String Palindrome</t>
  </si>
  <si>
    <t>https://leetcode.com/problems/minimum-insertion-steps-to-make-a-string-palindrome</t>
  </si>
  <si>
    <t>https://leetcode.com/problems/minimum-insertion-steps-to-make-a-string-palindrome/solution</t>
  </si>
  <si>
    <t xml:space="preserve"> Cherry Pickup II</t>
  </si>
  <si>
    <t>https://leetcode.com/problems/cherry-pickup-ii</t>
  </si>
  <si>
    <t>https://leetcode.com/problems/cherry-pickup-ii/solution</t>
  </si>
  <si>
    <t xml:space="preserve"> N-Queens</t>
  </si>
  <si>
    <t>https://leetcode.com/problems/n-queens</t>
  </si>
  <si>
    <t>https://leetcode.com/problems/n-queens/solution</t>
  </si>
  <si>
    <t xml:space="preserve"> Earliest Possible Day of Full Bloom</t>
  </si>
  <si>
    <t>https://leetcode.com/problems/earliest-possible-day-of-full-bloom</t>
  </si>
  <si>
    <t>Sorting</t>
  </si>
  <si>
    <t>https://leetcode.com/problems/earliest-possible-day-of-full-bloom/solution</t>
  </si>
  <si>
    <t xml:space="preserve"> Minimum Cost to Make at Least One Valid Path in a Grid</t>
  </si>
  <si>
    <t>https://leetcode.com/problems/minimum-cost-to-make-at-least-one-valid-path-in-a-grid</t>
  </si>
  <si>
    <t>Breadth-First Search</t>
  </si>
  <si>
    <t>https://leetcode.com/problems/minimum-cost-to-make-at-least-one-valid-path-in-a-grid/solution</t>
  </si>
  <si>
    <t xml:space="preserve"> Remove Max Number of Edges to Keep Graph Fully Traversable</t>
  </si>
  <si>
    <t>https://leetcode.com/problems/remove-max-number-of-edges-to-keep-graph-fully-traversable</t>
  </si>
  <si>
    <t>Union Find</t>
  </si>
  <si>
    <t>https://leetcode.com/problems/remove-max-number-of-edges-to-keep-graph-fully-traversable/solution</t>
  </si>
  <si>
    <t xml:space="preserve"> Design Graph With Shortest Path Calculator</t>
  </si>
  <si>
    <t>https://leetcode.com/problems/design-graph-with-shortest-path-calculator</t>
  </si>
  <si>
    <t>Heap (Priority Queue)</t>
  </si>
  <si>
    <t>https://leetcode.com/problems/design-graph-with-shortest-path-calculator/solution</t>
  </si>
  <si>
    <t xml:space="preserve"> Parsing A Boolean Expression</t>
  </si>
  <si>
    <t>https://leetcode.com/problems/parsing-a-boolean-expression</t>
  </si>
  <si>
    <t>https://leetcode.com/problems/parsing-a-boolean-expression/solution</t>
  </si>
  <si>
    <t xml:space="preserve"> Number of Visible People in a Queue</t>
  </si>
  <si>
    <t>https://leetcode.com/problems/number-of-visible-people-in-a-queue</t>
  </si>
  <si>
    <t>Monotonic Stack</t>
  </si>
  <si>
    <t xml:space="preserve"> Maximum Number of K-Divisible Components</t>
  </si>
  <si>
    <t>https://leetcode.com/problems/maximum-number-of-k-divisible-components</t>
  </si>
  <si>
    <t xml:space="preserve"> Minimum Obstacle Removal to Reach Corner</t>
  </si>
  <si>
    <t>https://leetcode.com/problems/minimum-obstacle-removal-to-reach-corner</t>
  </si>
  <si>
    <t>https://leetcode.com/problems/minimum-obstacle-removal-to-reach-corner/solution</t>
  </si>
  <si>
    <t xml:space="preserve"> Smallest Range Covering Elements from K Lists</t>
  </si>
  <si>
    <t>https://leetcode.com/problems/smallest-range-covering-elements-from-k-lists</t>
  </si>
  <si>
    <t>https://leetcode.com/problems/smallest-range-covering-elements-from-k-lists/solution</t>
  </si>
  <si>
    <t xml:space="preserve"> Shortest Impossible Sequence of Rolls</t>
  </si>
  <si>
    <t>https://leetcode.com/problems/shortest-impossible-sequence-of-rolls</t>
  </si>
  <si>
    <t xml:space="preserve"> Divide Nodes Into the Maximum Number of Groups</t>
  </si>
  <si>
    <t>https://leetcode.com/problems/divide-nodes-into-the-maximum-number-of-groups</t>
  </si>
  <si>
    <t>2+</t>
  </si>
  <si>
    <t>https://leetcode.com/problems/divide-nodes-into-the-maximum-number-of-groups/solution</t>
  </si>
  <si>
    <t xml:space="preserve"> Count Subarrays With Fixed Bounds</t>
  </si>
  <si>
    <t>https://leetcode.com/problems/count-subarrays-with-fixed-bounds</t>
  </si>
  <si>
    <t>Queue</t>
  </si>
  <si>
    <t>Sliding Window</t>
  </si>
  <si>
    <t>https://leetcode.com/problems/count-subarrays-with-fixed-bounds/solution</t>
  </si>
  <si>
    <t xml:space="preserve"> Build Array Where You Can Find The Maximum Exactly K Comparisons</t>
  </si>
  <si>
    <t>https://leetcode.com/problems/build-array-where-you-can-find-the-maximum-exactly-k-comparisons</t>
  </si>
  <si>
    <t>Prefix Sum</t>
  </si>
  <si>
    <t>https://leetcode.com/problems/build-array-where-you-can-find-the-maximum-exactly-k-comparisons/solution</t>
  </si>
  <si>
    <t xml:space="preserve"> Count Subtrees With Max Distance Between Cities</t>
  </si>
  <si>
    <t>https://leetcode.com/problems/count-subtrees-with-max-distance-between-cities</t>
  </si>
  <si>
    <t>3+</t>
  </si>
  <si>
    <t xml:space="preserve"> Parallel Courses III</t>
  </si>
  <si>
    <t>https://leetcode.com/problems/parallel-courses-iii</t>
  </si>
  <si>
    <t>https://leetcode.com/problems/parallel-courses-iii/solution</t>
  </si>
  <si>
    <t xml:space="preserve"> Find Critical and Pseudo-Critical Edges in Minimum Spanning Tree</t>
  </si>
  <si>
    <t>https://leetcode.com/problems/find-critical-and-pseudo-critical-edges-in-minimum-spanning-tree</t>
  </si>
  <si>
    <t>https://leetcode.com/problems/find-critical-and-pseudo-critical-edges-in-minimum-spanning-tree/solution</t>
  </si>
  <si>
    <t xml:space="preserve"> Maximum Frequency Stack</t>
  </si>
  <si>
    <t>https://leetcode.com/problems/maximum-frequency-stack</t>
  </si>
  <si>
    <t>https://leetcode.com/problems/maximum-frequency-stack/solution</t>
  </si>
  <si>
    <t xml:space="preserve"> Valid Arrangement of Pairs</t>
  </si>
  <si>
    <t>https://leetcode.com/problems/valid-arrangement-of-pairs</t>
  </si>
  <si>
    <t>Eulerian Circuit</t>
  </si>
  <si>
    <t>https://leetcode.com/problems/valid-arrangement-of-pairs/solution</t>
  </si>
  <si>
    <t xml:space="preserve"> Orderly Queue</t>
  </si>
  <si>
    <t>https://leetcode.com/problems/orderly-queue</t>
  </si>
  <si>
    <t>Math</t>
  </si>
  <si>
    <t>https://leetcode.com/problems/orderly-queue/solution</t>
  </si>
  <si>
    <t xml:space="preserve"> Put Marbles in Bags</t>
  </si>
  <si>
    <t>https://leetcode.com/problems/put-marbles-in-bags</t>
  </si>
  <si>
    <t>https://leetcode.com/problems/put-marbles-in-bags/solution</t>
  </si>
  <si>
    <t xml:space="preserve"> Sort Items by Groups Respecting Dependencies</t>
  </si>
  <si>
    <t>https://leetcode.com/problems/sort-items-by-groups-respecting-dependencies</t>
  </si>
  <si>
    <t>https://leetcode.com/problems/sort-items-by-groups-respecting-dependencies/solution</t>
  </si>
  <si>
    <t xml:space="preserve"> Find the Maximum Sum of Node Values</t>
  </si>
  <si>
    <t>https://leetcode.com/problems/find-the-maximum-sum-of-node-values</t>
  </si>
  <si>
    <t xml:space="preserve"> Shortest Path Visiting All Nodes</t>
  </si>
  <si>
    <t>https://leetcode.com/problems/shortest-path-visiting-all-nodes</t>
  </si>
  <si>
    <t>https://leetcode.com/problems/shortest-path-visiting-all-nodes/solution</t>
  </si>
  <si>
    <t xml:space="preserve"> Sum of Distances in Tree</t>
  </si>
  <si>
    <t>https://leetcode.com/problems/sum-of-distances-in-tree</t>
  </si>
  <si>
    <t>https://leetcode.com/problems/sum-of-distances-in-tree/solution</t>
  </si>
  <si>
    <t xml:space="preserve"> Count Fertile Pyramids in a Land</t>
  </si>
  <si>
    <t>https://leetcode.com/problems/count-fertile-pyramids-in-a-land</t>
  </si>
  <si>
    <t xml:space="preserve"> Number of Atoms</t>
  </si>
  <si>
    <t>https://leetcode.com/problems/number-of-atoms</t>
  </si>
  <si>
    <t>https://leetcode.com/problems/number-of-atoms/solution</t>
  </si>
  <si>
    <t xml:space="preserve"> Count All Possible Routes</t>
  </si>
  <si>
    <t>https://leetcode.com/problems/count-all-possible-routes</t>
  </si>
  <si>
    <t>Memoization</t>
  </si>
  <si>
    <t>https://leetcode.com/problems/count-all-possible-routes/solution</t>
  </si>
  <si>
    <t xml:space="preserve"> Subarrays with K Different Integers</t>
  </si>
  <si>
    <t>https://leetcode.com/problems/subarrays-with-k-different-integers</t>
  </si>
  <si>
    <t>https://leetcode.com/problems/subarrays-with-k-different-integers/solution</t>
  </si>
  <si>
    <t xml:space="preserve"> Count All Valid Pickup and Delivery Options</t>
  </si>
  <si>
    <t>https://leetcode.com/problems/count-all-valid-pickup-and-delivery-options</t>
  </si>
  <si>
    <t>Combinatorics</t>
  </si>
  <si>
    <t>https://leetcode.com/problems/count-all-valid-pickup-and-delivery-options/solution</t>
  </si>
  <si>
    <t xml:space="preserve"> Sequentially Ordinal Rank Tracker</t>
  </si>
  <si>
    <t>https://leetcode.com/problems/sequentially-ordinal-rank-tracker</t>
  </si>
  <si>
    <t xml:space="preserve"> Maximum Number of Achievable Transfer Requests</t>
  </si>
  <si>
    <t>https://leetcode.com/problems/maximum-number-of-achievable-transfer-requests</t>
  </si>
  <si>
    <t>https://leetcode.com/problems/maximum-number-of-achievable-transfer-requests/solution</t>
  </si>
  <si>
    <t xml:space="preserve"> Maximum Score of a Good Subarray</t>
  </si>
  <si>
    <t>https://leetcode.com/problems/maximum-score-of-a-good-subarray</t>
  </si>
  <si>
    <t>Two Pointers</t>
  </si>
  <si>
    <t>https://leetcode.com/problems/maximum-score-of-a-good-subarray/solution</t>
  </si>
  <si>
    <t xml:space="preserve"> Trapping Rain Water</t>
  </si>
  <si>
    <t>https://leetcode.com/problems/trapping-rain-water</t>
  </si>
  <si>
    <t>https://leetcode.com/problems/trapping-rain-water/solution</t>
  </si>
  <si>
    <t xml:space="preserve"> Minimum Falling Path Sum II</t>
  </si>
  <si>
    <t>https://leetcode.com/problems/minimum-falling-path-sum-ii</t>
  </si>
  <si>
    <t>https://leetcode.com/problems/minimum-falling-path-sum-ii/solution</t>
  </si>
  <si>
    <t xml:space="preserve"> Number of Ways to Paint N × 3 Grid</t>
  </si>
  <si>
    <t>https://leetcode.com/problems/number-of-ways-to-paint-n-3-grid</t>
  </si>
  <si>
    <t xml:space="preserve"> Jump Game V</t>
  </si>
  <si>
    <t>https://leetcode.com/problems/jump-game-v</t>
  </si>
  <si>
    <t xml:space="preserve"> Sudoku Solver</t>
  </si>
  <si>
    <t>https://leetcode.com/problems/sudoku-solver</t>
  </si>
  <si>
    <t>https://leetcode.com/problems/sudoku-solver/solution</t>
  </si>
  <si>
    <t xml:space="preserve"> Minimum Cost to Hire K Workers</t>
  </si>
  <si>
    <t>https://leetcode.com/problems/minimum-cost-to-hire-k-workers</t>
  </si>
  <si>
    <t>https://leetcode.com/problems/minimum-cost-to-hire-k-workers/solution</t>
  </si>
  <si>
    <t xml:space="preserve"> Brace Expansion II</t>
  </si>
  <si>
    <t>https://leetcode.com/problems/brace-expansion-ii</t>
  </si>
  <si>
    <t xml:space="preserve"> Stone Game III</t>
  </si>
  <si>
    <t>https://leetcode.com/problems/stone-game-iii</t>
  </si>
  <si>
    <t>https://leetcode.com/problems/stone-game-iii/solution</t>
  </si>
  <si>
    <t xml:space="preserve"> Special Binary String</t>
  </si>
  <si>
    <t>https://leetcode.com/problems/special-binary-string</t>
  </si>
  <si>
    <t>https://leetcode.com/problems/special-binary-string/solution</t>
  </si>
  <si>
    <t xml:space="preserve"> Find the Longest Valid Obstacle Course at Each Position</t>
  </si>
  <si>
    <t>https://leetcode.com/problems/find-the-longest-valid-obstacle-course-at-each-position</t>
  </si>
  <si>
    <t>Binary Indexed Tree</t>
  </si>
  <si>
    <t>https://leetcode.com/problems/find-the-longest-valid-obstacle-course-at-each-position/solution</t>
  </si>
  <si>
    <t xml:space="preserve"> Second Minimum Time to Reach Destination</t>
  </si>
  <si>
    <t>https://leetcode.com/problems/second-minimum-time-to-reach-destination</t>
  </si>
  <si>
    <t>https://leetcode.com/problems/second-minimum-time-to-reach-destination/solution</t>
  </si>
  <si>
    <t xml:space="preserve"> Minimum Number of K Consecutive Bit Flips</t>
  </si>
  <si>
    <t>https://leetcode.com/problems/minimum-number-of-k-consecutive-bit-flips</t>
  </si>
  <si>
    <t>https://leetcode.com/problems/minimum-number-of-k-consecutive-bit-flips/solution</t>
  </si>
  <si>
    <t xml:space="preserve"> Checking Existence of Edge Length Limited Paths</t>
  </si>
  <si>
    <t>https://leetcode.com/problems/checking-existence-of-edge-length-limited-paths</t>
  </si>
  <si>
    <t>https://leetcode.com/problems/checking-existence-of-edge-length-limited-paths/solution</t>
  </si>
  <si>
    <t xml:space="preserve"> Maximum Employees to Be Invited to a Meeting</t>
  </si>
  <si>
    <t>https://leetcode.com/problems/maximum-employees-to-be-invited-to-a-meeting</t>
  </si>
  <si>
    <t>https://leetcode.com/problems/maximum-employees-to-be-invited-to-a-meeting/solution</t>
  </si>
  <si>
    <t xml:space="preserve"> Stamping The Sequence</t>
  </si>
  <si>
    <t>https://leetcode.com/problems/stamping-the-sequence</t>
  </si>
  <si>
    <t>https://leetcode.com/problems/stamping-the-sequence/solution</t>
  </si>
  <si>
    <t xml:space="preserve"> Max Dot Product of Two Subsequences</t>
  </si>
  <si>
    <t>https://leetcode.com/problems/max-dot-product-of-two-subsequences</t>
  </si>
  <si>
    <t>https://leetcode.com/problems/max-dot-product-of-two-subsequences/solution</t>
  </si>
  <si>
    <t xml:space="preserve"> Swim in Rising Water</t>
  </si>
  <si>
    <t>https://leetcode.com/problems/swim-in-rising-water</t>
  </si>
  <si>
    <t>https://leetcode.com/problems/swim-in-rising-water/solution</t>
  </si>
  <si>
    <t xml:space="preserve"> Last Day Where You Can Still Cross</t>
  </si>
  <si>
    <t>https://leetcode.com/problems/last-day-where-you-can-still-cross</t>
  </si>
  <si>
    <t>https://leetcode.com/problems/last-day-where-you-can-still-cross/solution</t>
  </si>
  <si>
    <t xml:space="preserve"> Chalkboard XOR Game</t>
  </si>
  <si>
    <t>https://leetcode.com/problems/chalkboard-xor-game</t>
  </si>
  <si>
    <t>https://leetcode.com/problems/chalkboard-xor-game/solution</t>
  </si>
  <si>
    <t xml:space="preserve"> Find the Kth Smallest Sum of a Matrix With Sorted Rows</t>
  </si>
  <si>
    <t>https://leetcode.com/problems/find-the-kth-smallest-sum-of-a-matrix-with-sorted-rows</t>
  </si>
  <si>
    <t xml:space="preserve"> Design Skiplist</t>
  </si>
  <si>
    <t>https://leetcode.com/problems/design-skiplist</t>
  </si>
  <si>
    <t xml:space="preserve"> Reverse Nodes in k-Group</t>
  </si>
  <si>
    <t>https://leetcode.com/problems/reverse-nodes-in-k-group</t>
  </si>
  <si>
    <t>https://leetcode.com/problems/reverse-nodes-in-k-group/solution</t>
  </si>
  <si>
    <t xml:space="preserve"> Number of Ways of Cutting a Pizza</t>
  </si>
  <si>
    <t>https://leetcode.com/problems/number-of-ways-of-cutting-a-pizza</t>
  </si>
  <si>
    <t>https://leetcode.com/problems/number-of-ways-of-cutting-a-pizza/solution</t>
  </si>
  <si>
    <t xml:space="preserve"> Minimum Cost to Cut a Stick</t>
  </si>
  <si>
    <t>https://leetcode.com/problems/minimum-cost-to-cut-a-stick</t>
  </si>
  <si>
    <t>https://leetcode.com/problems/minimum-cost-to-cut-a-stick/solution</t>
  </si>
  <si>
    <t xml:space="preserve"> Count Vowels Permutation</t>
  </si>
  <si>
    <t>https://leetcode.com/problems/count-vowels-permutation</t>
  </si>
  <si>
    <t>https://leetcode.com/problems/count-vowels-permutation/solution</t>
  </si>
  <si>
    <t xml:space="preserve"> Palindrome Partitioning III</t>
  </si>
  <si>
    <t>https://leetcode.com/problems/palindrome-partitioning-iii</t>
  </si>
  <si>
    <t xml:space="preserve"> Find XOR Sum of All Pairs Bitwise AND</t>
  </si>
  <si>
    <t>https://leetcode.com/problems/find-xor-sum-of-all-pairs-bitwise-and</t>
  </si>
  <si>
    <t xml:space="preserve"> Minimum Number of Operations to Make Arrays Similar</t>
  </si>
  <si>
    <t>https://leetcode.com/problems/minimum-number-of-operations-to-make-arrays-similar</t>
  </si>
  <si>
    <t xml:space="preserve"> Maximum Spending After Buying Items</t>
  </si>
  <si>
    <t>https://leetcode.com/problems/maximum-spending-after-buying-items</t>
  </si>
  <si>
    <t xml:space="preserve"> Maximum Number of Events That Can Be Attended II</t>
  </si>
  <si>
    <t>https://leetcode.com/problems/maximum-number-of-events-that-can-be-attended-ii</t>
  </si>
  <si>
    <t>https://leetcode.com/problems/maximum-number-of-events-that-can-be-attended-ii/solution</t>
  </si>
  <si>
    <t xml:space="preserve"> Paint House III</t>
  </si>
  <si>
    <t>https://leetcode.com/problems/paint-house-iii</t>
  </si>
  <si>
    <t>https://leetcode.com/problems/paint-house-iii/solution</t>
  </si>
  <si>
    <t xml:space="preserve"> Strange Printer</t>
  </si>
  <si>
    <t>https://leetcode.com/problems/strange-printer</t>
  </si>
  <si>
    <t>https://leetcode.com/problems/strange-printer/solution</t>
  </si>
  <si>
    <t xml:space="preserve"> Check If It Is a Good Array</t>
  </si>
  <si>
    <t>https://leetcode.com/problems/check-if-it-is-a-good-array</t>
  </si>
  <si>
    <t xml:space="preserve"> Sum of Prefix Scores of Strings</t>
  </si>
  <si>
    <t>https://leetcode.com/problems/sum-of-prefix-scores-of-strings</t>
  </si>
  <si>
    <t>https://leetcode.com/problems/sum-of-prefix-scores-of-strings/solution</t>
  </si>
  <si>
    <t xml:space="preserve"> Burst Balloons</t>
  </si>
  <si>
    <t>https://leetcode.com/problems/burst-balloons</t>
  </si>
  <si>
    <t>https://leetcode.com/problems/burst-balloons/solution</t>
  </si>
  <si>
    <t xml:space="preserve"> Maximum Value of K Coins From Piles</t>
  </si>
  <si>
    <t>https://leetcode.com/problems/maximum-value-of-k-coins-from-piles</t>
  </si>
  <si>
    <t>https://leetcode.com/problems/maximum-value-of-k-coins-from-piles/solution</t>
  </si>
  <si>
    <t xml:space="preserve"> Data Stream as Disjoint Intervals</t>
  </si>
  <si>
    <t>https://leetcode.com/problems/data-stream-as-disjoint-intervals</t>
  </si>
  <si>
    <t>https://leetcode.com/problems/data-stream-as-disjoint-intervals/solution</t>
  </si>
  <si>
    <t xml:space="preserve"> Probability of a Two Boxes Having The Same Number of Distinct Balls</t>
  </si>
  <si>
    <t>https://leetcode.com/problems/probability-of-a-two-boxes-having-the-same-number-of-distinct-balls</t>
  </si>
  <si>
    <t xml:space="preserve"> Number of Music Playlists</t>
  </si>
  <si>
    <t>https://leetcode.com/problems/number-of-music-playlists</t>
  </si>
  <si>
    <t>https://leetcode.com/problems/number-of-music-playlists/solution</t>
  </si>
  <si>
    <t xml:space="preserve"> Shortest Common Supersequence</t>
  </si>
  <si>
    <t>https://leetcode.com/problems/shortest-common-supersequence</t>
  </si>
  <si>
    <t xml:space="preserve"> Strange Printer II</t>
  </si>
  <si>
    <t>https://leetcode.com/problems/strange-printer-ii</t>
  </si>
  <si>
    <t xml:space="preserve"> Minimum Difficulty of a Job Schedule</t>
  </si>
  <si>
    <t>https://leetcode.com/problems/minimum-difficulty-of-a-job-schedule</t>
  </si>
  <si>
    <t>https://leetcode.com/problems/minimum-difficulty-of-a-job-schedule/solution</t>
  </si>
  <si>
    <t xml:space="preserve"> Stone Game IV</t>
  </si>
  <si>
    <t>https://leetcode.com/problems/stone-game-iv</t>
  </si>
  <si>
    <t>Game Theory</t>
  </si>
  <si>
    <t>https://leetcode.com/problems/stone-game-iv/solution</t>
  </si>
  <si>
    <t xml:space="preserve"> Minimum Number of Days to Disconnect Island</t>
  </si>
  <si>
    <t>https://leetcode.com/problems/minimum-number-of-days-to-disconnect-island</t>
  </si>
  <si>
    <t>https://leetcode.com/problems/minimum-number-of-days-to-disconnect-island/solution</t>
  </si>
  <si>
    <t xml:space="preserve"> Maximum Path Quality of a Graph</t>
  </si>
  <si>
    <t>https://leetcode.com/problems/maximum-path-quality-of-a-graph</t>
  </si>
  <si>
    <t xml:space="preserve"> Maximum Sum of 3 Non-Overlapping Subarrays</t>
  </si>
  <si>
    <t>https://leetcode.com/problems/maximum-sum-of-3-non-overlapping-subarrays</t>
  </si>
  <si>
    <t>https://leetcode.com/problems/maximum-sum-of-3-non-overlapping-subarrays/solution</t>
  </si>
  <si>
    <t xml:space="preserve"> Poor Pigs</t>
  </si>
  <si>
    <t>https://leetcode.com/problems/poor-pigs</t>
  </si>
  <si>
    <t>https://leetcode.com/problems/poor-pigs/solution</t>
  </si>
  <si>
    <t xml:space="preserve"> Maximum Height by Stacking Cuboids</t>
  </si>
  <si>
    <t>https://leetcode.com/problems/maximum-height-by-stacking-cuboids</t>
  </si>
  <si>
    <t xml:space="preserve"> Minimum Distance to Type a Word Using Two Fingers</t>
  </si>
  <si>
    <t>https://leetcode.com/problems/minimum-distance-to-type-a-word-using-two-fingers</t>
  </si>
  <si>
    <t xml:space="preserve"> Minimum Total Distance Traveled</t>
  </si>
  <si>
    <t>https://leetcode.com/problems/minimum-total-distance-traveled</t>
  </si>
  <si>
    <t>https://leetcode.com/problems/minimum-total-distance-traveled/solution</t>
  </si>
  <si>
    <t xml:space="preserve"> Triples with Bitwise AND Equal To Zero</t>
  </si>
  <si>
    <t>https://leetcode.com/problems/triples-with-bitwise-and-equal-to-zero</t>
  </si>
  <si>
    <t xml:space="preserve"> Freedom Trail</t>
  </si>
  <si>
    <t>https://leetcode.com/problems/freedom-trail</t>
  </si>
  <si>
    <t>https://leetcode.com/problems/freedom-trail/solution</t>
  </si>
  <si>
    <t xml:space="preserve"> Longest Chunked Palindrome Decomposition</t>
  </si>
  <si>
    <t>https://leetcode.com/problems/longest-chunked-palindrome-decomposition</t>
  </si>
  <si>
    <t xml:space="preserve"> Minimum Initial Energy to Finish Tasks</t>
  </si>
  <si>
    <t>https://leetcode.com/problems/minimum-initial-energy-to-finish-tasks</t>
  </si>
  <si>
    <t xml:space="preserve"> Trapping Rain Water II</t>
  </si>
  <si>
    <t>https://leetcode.com/problems/trapping-rain-water-ii</t>
  </si>
  <si>
    <t>https://leetcode.com/problems/trapping-rain-water-ii/solution</t>
  </si>
  <si>
    <t xml:space="preserve"> Delete Columns to Make Sorted III</t>
  </si>
  <si>
    <t>https://leetcode.com/problems/delete-columns-to-make-sorted-iii</t>
  </si>
  <si>
    <t>https://leetcode.com/problems/delete-columns-to-make-sorted-iii/solution</t>
  </si>
  <si>
    <t xml:space="preserve"> Number of Ways to Rearrange Sticks With K Sticks Visible</t>
  </si>
  <si>
    <t>https://leetcode.com/problems/number-of-ways-to-rearrange-sticks-with-k-sticks-visible</t>
  </si>
  <si>
    <t xml:space="preserve"> Serialize and Deserialize Binary Tree</t>
  </si>
  <si>
    <t>https://leetcode.com/problems/serialize-and-deserialize-binary-tree</t>
  </si>
  <si>
    <t>https://leetcode.com/problems/serialize-and-deserialize-binary-tree/solution</t>
  </si>
  <si>
    <t xml:space="preserve"> Couples Holding Hands</t>
  </si>
  <si>
    <t>https://leetcode.com/problems/couples-holding-hands</t>
  </si>
  <si>
    <t>https://leetcode.com/problems/couples-holding-hands/solution</t>
  </si>
  <si>
    <t xml:space="preserve"> Painting a Grid With Three Different Colors</t>
  </si>
  <si>
    <t>https://leetcode.com/problems/painting-a-grid-with-three-different-colors</t>
  </si>
  <si>
    <t xml:space="preserve"> Number of Ways to Earn Points</t>
  </si>
  <si>
    <t>https://leetcode.com/problems/number-of-ways-to-earn-points</t>
  </si>
  <si>
    <t xml:space="preserve"> Find Minimum Diameter After Merging Two Trees</t>
  </si>
  <si>
    <t>https://leetcode.com/problems/find-minimum-diameter-after-merging-two-trees</t>
  </si>
  <si>
    <t xml:space="preserve"> Count Substrings That Can Be Rearranged to Contain a String II</t>
  </si>
  <si>
    <t>https://leetcode.com/problems/count-substrings-that-can-be-rearranged-to-contain-a-string-ii</t>
  </si>
  <si>
    <t xml:space="preserve"> Make Array Strictly Increasing</t>
  </si>
  <si>
    <t>https://leetcode.com/problems/make-array-strictly-increasing</t>
  </si>
  <si>
    <t>https://leetcode.com/problems/make-array-strictly-increasing/solution</t>
  </si>
  <si>
    <t xml:space="preserve"> Maximize the Number of Target Nodes After Connecting Trees II</t>
  </si>
  <si>
    <t>https://leetcode.com/problems/maximize-the-number-of-target-nodes-after-connecting-trees-ii</t>
  </si>
  <si>
    <t xml:space="preserve"> Maximize Score After N Operations</t>
  </si>
  <si>
    <t>https://leetcode.com/problems/maximize-score-after-n-operations</t>
  </si>
  <si>
    <t>https://leetcode.com/problems/maximize-score-after-n-operations/solution</t>
  </si>
  <si>
    <t xml:space="preserve"> Number of Increasing Paths in a Grid</t>
  </si>
  <si>
    <t>https://leetcode.com/problems/number-of-increasing-paths-in-a-grid</t>
  </si>
  <si>
    <t>6+</t>
  </si>
  <si>
    <t>https://leetcode.com/problems/number-of-increasing-paths-in-a-grid/solution</t>
  </si>
  <si>
    <t xml:space="preserve"> Maximum Candies You Can Get from Boxes</t>
  </si>
  <si>
    <t>https://leetcode.com/problems/maximum-candies-you-can-get-from-boxes</t>
  </si>
  <si>
    <t xml:space="preserve"> Cracking the Safe</t>
  </si>
  <si>
    <t>https://leetcode.com/problems/cracking-the-safe</t>
  </si>
  <si>
    <t>https://leetcode.com/problems/cracking-the-safe/solution</t>
  </si>
  <si>
    <t xml:space="preserve"> Cycle Length Queries in a Tree</t>
  </si>
  <si>
    <t>https://leetcode.com/problems/cycle-length-queries-in-a-tree</t>
  </si>
  <si>
    <t>Binary Tree</t>
  </si>
  <si>
    <t xml:space="preserve"> Minimum Edge Reversals So Every Node Is Reachable</t>
  </si>
  <si>
    <t>https://leetcode.com/problems/minimum-edge-reversals-so-every-node-is-reachable</t>
  </si>
  <si>
    <t xml:space="preserve"> Number of Ways to Form a Target String Given a Dictionary</t>
  </si>
  <si>
    <t>https://leetcode.com/problems/number-of-ways-to-form-a-target-string-given-a-dictionary</t>
  </si>
  <si>
    <t>https://leetcode.com/problems/number-of-ways-to-form-a-target-string-given-a-dictionary/solution</t>
  </si>
  <si>
    <t xml:space="preserve"> Split Array Largest Sum</t>
  </si>
  <si>
    <t>https://leetcode.com/problems/split-array-largest-sum</t>
  </si>
  <si>
    <t>https://leetcode.com/problems/split-array-largest-sum/solution</t>
  </si>
  <si>
    <t xml:space="preserve"> Number of Distinct Roll Sequences</t>
  </si>
  <si>
    <t>https://leetcode.com/problems/number-of-distinct-roll-sequences</t>
  </si>
  <si>
    <t xml:space="preserve"> Maximum Score Of Spliced Array</t>
  </si>
  <si>
    <t>https://leetcode.com/problems/maximum-score-of-spliced-array</t>
  </si>
  <si>
    <t xml:space="preserve"> Minimum Time to Visit a Cell In a Grid</t>
  </si>
  <si>
    <t>https://leetcode.com/problems/minimum-time-to-visit-a-cell-in-a-grid</t>
  </si>
  <si>
    <t>https://leetcode.com/problems/minimum-time-to-visit-a-cell-in-a-grid/solution</t>
  </si>
  <si>
    <t xml:space="preserve"> Critical Connections in a Network</t>
  </si>
  <si>
    <t>https://leetcode.com/problems/critical-connections-in-a-network</t>
  </si>
  <si>
    <t>https://leetcode.com/problems/critical-connections-in-a-network/solution</t>
  </si>
  <si>
    <t xml:space="preserve"> Valid Permutations for DI Sequence</t>
  </si>
  <si>
    <t>https://leetcode.com/problems/valid-permutations-for-di-sequence</t>
  </si>
  <si>
    <t>https://leetcode.com/problems/valid-permutations-for-di-sequence/solution</t>
  </si>
  <si>
    <t xml:space="preserve"> Number of Flowers in Full Bloom</t>
  </si>
  <si>
    <t>https://leetcode.com/problems/number-of-flowers-in-full-bloom</t>
  </si>
  <si>
    <t>https://leetcode.com/problems/number-of-flowers-in-full-bloom/solution</t>
  </si>
  <si>
    <t xml:space="preserve"> Robot Collisions</t>
  </si>
  <si>
    <t>https://leetcode.com/problems/robot-collisions</t>
  </si>
  <si>
    <t xml:space="preserve"> Department Top Three Salaries</t>
  </si>
  <si>
    <t>https://leetcode.com/problems/department-top-three-salaries</t>
  </si>
  <si>
    <t>https://leetcode.com/problems/department-top-three-salaries/solution</t>
  </si>
  <si>
    <t xml:space="preserve"> Modify Graph Edge Weights</t>
  </si>
  <si>
    <t>https://leetcode.com/problems/modify-graph-edge-weights</t>
  </si>
  <si>
    <t>https://leetcode.com/problems/modify-graph-edge-weights/solution</t>
  </si>
  <si>
    <t xml:space="preserve"> Constrained Subsequence Sum</t>
  </si>
  <si>
    <t>https://leetcode.com/problems/constrained-subsequence-sum</t>
  </si>
  <si>
    <t>https://leetcode.com/problems/constrained-subsequence-sum/solution</t>
  </si>
  <si>
    <t xml:space="preserve"> Process Restricted Friend Requests</t>
  </si>
  <si>
    <t>https://leetcode.com/problems/process-restricted-friend-requests</t>
  </si>
  <si>
    <t xml:space="preserve"> Minimum Deletions to Make Array Divisible</t>
  </si>
  <si>
    <t>https://leetcode.com/problems/minimum-deletions-to-make-array-divisible</t>
  </si>
  <si>
    <t xml:space="preserve"> Number of Good Paths</t>
  </si>
  <si>
    <t>https://leetcode.com/problems/number-of-good-paths</t>
  </si>
  <si>
    <t>https://leetcode.com/problems/number-of-good-paths/solution</t>
  </si>
  <si>
    <t xml:space="preserve"> Car Fleet II</t>
  </si>
  <si>
    <t>https://leetcode.com/problems/car-fleet-ii</t>
  </si>
  <si>
    <t xml:space="preserve"> Total Appeal of A String</t>
  </si>
  <si>
    <t>https://leetcode.com/problems/total-appeal-of-a-string</t>
  </si>
  <si>
    <t xml:space="preserve"> Allocate Mailboxes</t>
  </si>
  <si>
    <t>https://leetcode.com/problems/allocate-mailboxes</t>
  </si>
  <si>
    <t xml:space="preserve"> Merge k Sorted Lists</t>
  </si>
  <si>
    <t>https://leetcode.com/problems/merge-k-sorted-lists</t>
  </si>
  <si>
    <t>Divide and Conquer</t>
  </si>
  <si>
    <t>https://leetcode.com/problems/merge-k-sorted-lists/solution</t>
  </si>
  <si>
    <t xml:space="preserve"> Student Attendance Record II</t>
  </si>
  <si>
    <t>https://leetcode.com/problems/student-attendance-record-ii</t>
  </si>
  <si>
    <t>https://leetcode.com/problems/student-attendance-record-ii/solution</t>
  </si>
  <si>
    <t xml:space="preserve"> Count Subarrays With Score Less Than K</t>
  </si>
  <si>
    <t>https://leetcode.com/problems/count-subarrays-with-score-less-than-k</t>
  </si>
  <si>
    <t xml:space="preserve"> Similar String Groups</t>
  </si>
  <si>
    <t>https://leetcode.com/problems/similar-string-groups</t>
  </si>
  <si>
    <t>https://leetcode.com/problems/similar-string-groups/solution</t>
  </si>
  <si>
    <t xml:space="preserve"> Smallest Sufficient Team</t>
  </si>
  <si>
    <t>https://leetcode.com/problems/smallest-sufficient-team</t>
  </si>
  <si>
    <t>https://leetcode.com/problems/smallest-sufficient-team/solution</t>
  </si>
  <si>
    <t xml:space="preserve"> Minimum Cost for Cutting Cake II</t>
  </si>
  <si>
    <t>https://leetcode.com/problems/minimum-cost-for-cutting-cake-ii</t>
  </si>
  <si>
    <t xml:space="preserve"> Minimum Number of Removals to Make Mountain Array</t>
  </si>
  <si>
    <t>https://leetcode.com/problems/minimum-number-of-removals-to-make-mountain-array</t>
  </si>
  <si>
    <t>https://leetcode.com/problems/minimum-number-of-removals-to-make-mountain-array/solution</t>
  </si>
  <si>
    <t xml:space="preserve"> Height of Binary Tree After Subtree Removal Queries</t>
  </si>
  <si>
    <t>https://leetcode.com/problems/height-of-binary-tree-after-subtree-removal-queries</t>
  </si>
  <si>
    <t>https://leetcode.com/problems/height-of-binary-tree-after-subtree-removal-queries/solution</t>
  </si>
  <si>
    <t xml:space="preserve"> Basic Calculator IV</t>
  </si>
  <si>
    <t>https://leetcode.com/problems/basic-calculator-iv</t>
  </si>
  <si>
    <t>https://leetcode.com/problems/basic-calculator-iv/solution</t>
  </si>
  <si>
    <t xml:space="preserve"> Longest Subsequence Repeated k Times</t>
  </si>
  <si>
    <t>https://leetcode.com/problems/longest-subsequence-repeated-k-times</t>
  </si>
  <si>
    <t xml:space="preserve"> Longest Increasing Path in a Matrix</t>
  </si>
  <si>
    <t>https://leetcode.com/problems/longest-increasing-path-in-a-matrix</t>
  </si>
  <si>
    <t>https://leetcode.com/problems/longest-increasing-path-in-a-matrix/solution</t>
  </si>
  <si>
    <t xml:space="preserve"> Delete Duplicate Folders in System</t>
  </si>
  <si>
    <t>https://leetcode.com/problems/delete-duplicate-folders-in-system</t>
  </si>
  <si>
    <t xml:space="preserve"> Arithmetic Slices II - Subsequence</t>
  </si>
  <si>
    <t>https://leetcode.com/problems/arithmetic-slices-ii-subsequence</t>
  </si>
  <si>
    <t>https://leetcode.com/problems/arithmetic-slices-ii-subsequence/solution</t>
  </si>
  <si>
    <t xml:space="preserve"> Maximum Profit in Job Scheduling</t>
  </si>
  <si>
    <t>https://leetcode.com/problems/maximum-profit-in-job-scheduling</t>
  </si>
  <si>
    <t>https://leetcode.com/problems/maximum-profit-in-job-scheduling/solution</t>
  </si>
  <si>
    <t xml:space="preserve"> Rectangle Area II</t>
  </si>
  <si>
    <t>https://leetcode.com/problems/rectangle-area-ii</t>
  </si>
  <si>
    <t>Line Sweep</t>
  </si>
  <si>
    <t>https://leetcode.com/problems/rectangle-area-ii/solution</t>
  </si>
  <si>
    <t xml:space="preserve"> Tiling a Rectangle with the Fewest Squares</t>
  </si>
  <si>
    <t>https://leetcode.com/problems/tiling-a-rectangle-with-the-fewest-squares</t>
  </si>
  <si>
    <t xml:space="preserve"> Making A Large Island</t>
  </si>
  <si>
    <t>https://leetcode.com/problems/making-a-large-island</t>
  </si>
  <si>
    <t>https://leetcode.com/problems/making-a-large-island/solution</t>
  </si>
  <si>
    <t xml:space="preserve"> Minimize Deviation in Array</t>
  </si>
  <si>
    <t>https://leetcode.com/problems/minimize-deviation-in-array</t>
  </si>
  <si>
    <t>https://leetcode.com/problems/minimize-deviation-in-array/solution</t>
  </si>
  <si>
    <t xml:space="preserve"> Longest Path With Different Adjacent Characters</t>
  </si>
  <si>
    <t>https://leetcode.com/problems/longest-path-with-different-adjacent-characters</t>
  </si>
  <si>
    <t>https://leetcode.com/problems/longest-path-with-different-adjacent-characters/solution</t>
  </si>
  <si>
    <t xml:space="preserve"> Max Chunks To Make Sorted II</t>
  </si>
  <si>
    <t>https://leetcode.com/problems/max-chunks-to-make-sorted-ii</t>
  </si>
  <si>
    <t>https://leetcode.com/problems/max-chunks-to-make-sorted-ii/solution</t>
  </si>
  <si>
    <t xml:space="preserve"> Shortest Path to Get All Keys</t>
  </si>
  <si>
    <t>https://leetcode.com/problems/shortest-path-to-get-all-keys</t>
  </si>
  <si>
    <t>https://leetcode.com/problems/shortest-path-to-get-all-keys/solution</t>
  </si>
  <si>
    <t xml:space="preserve"> Number of Ways to Reorder Array to Get Same BST</t>
  </si>
  <si>
    <t>https://leetcode.com/problems/number-of-ways-to-reorder-array-to-get-same-bst</t>
  </si>
  <si>
    <t>https://leetcode.com/problems/number-of-ways-to-reorder-array-to-get-same-bst/solution</t>
  </si>
  <si>
    <t xml:space="preserve"> Minimum Cost to Change the Final Value of Expression</t>
  </si>
  <si>
    <t>https://leetcode.com/problems/minimum-cost-to-change-the-final-value-of-expression</t>
  </si>
  <si>
    <t xml:space="preserve"> Patching Array</t>
  </si>
  <si>
    <t>https://leetcode.com/problems/patching-array</t>
  </si>
  <si>
    <t>https://leetcode.com/problems/patching-array/solution</t>
  </si>
  <si>
    <t xml:space="preserve"> Maximum XOR With an Element From Array</t>
  </si>
  <si>
    <t>https://leetcode.com/problems/maximum-xor-with-an-element-from-array</t>
  </si>
  <si>
    <t xml:space="preserve"> Minimum Replacements to Sort the Array</t>
  </si>
  <si>
    <t>https://leetcode.com/problems/minimum-replacements-to-sort-the-array</t>
  </si>
  <si>
    <t>https://leetcode.com/problems/minimum-replacements-to-sort-the-array/solution</t>
  </si>
  <si>
    <t xml:space="preserve"> Create Components With Same Value</t>
  </si>
  <si>
    <t>https://leetcode.com/problems/create-components-with-same-value</t>
  </si>
  <si>
    <t xml:space="preserve"> IPO</t>
  </si>
  <si>
    <t>https://leetcode.com/problems/ipo</t>
  </si>
  <si>
    <t>https://leetcode.com/problems/ipo/solution</t>
  </si>
  <si>
    <t xml:space="preserve"> Find Median from Data Stream</t>
  </si>
  <si>
    <t>https://leetcode.com/problems/find-median-from-data-stream</t>
  </si>
  <si>
    <t>https://leetcode.com/problems/find-median-from-data-stream/solution</t>
  </si>
  <si>
    <t xml:space="preserve"> Stone Game VIII</t>
  </si>
  <si>
    <t>https://leetcode.com/problems/stone-game-viii</t>
  </si>
  <si>
    <t xml:space="preserve"> Find Building Where Alice and Bob Can Meet</t>
  </si>
  <si>
    <t>https://leetcode.com/problems/find-building-where-alice-and-bob-can-meet</t>
  </si>
  <si>
    <t xml:space="preserve"> Count Unique Characters of All Substrings of a Given String</t>
  </si>
  <si>
    <t>https://leetcode.com/problems/count-unique-characters-of-all-substrings-of-a-given-string</t>
  </si>
  <si>
    <t>https://leetcode.com/problems/count-unique-characters-of-all-substrings-of-a-given-string/solution</t>
  </si>
  <si>
    <t xml:space="preserve"> Maximal Rectangle</t>
  </si>
  <si>
    <t>https://leetcode.com/problems/maximal-rectangle</t>
  </si>
  <si>
    <t>https://leetcode.com/problems/maximal-rectangle/solution</t>
  </si>
  <si>
    <t xml:space="preserve"> Word Break II</t>
  </si>
  <si>
    <t>https://leetcode.com/problems/word-break-ii</t>
  </si>
  <si>
    <t>https://leetcode.com/problems/word-break-ii/solution</t>
  </si>
  <si>
    <t xml:space="preserve"> Kth Smallest Number in Multiplication Table</t>
  </si>
  <si>
    <t>https://leetcode.com/problems/kth-smallest-number-in-multiplication-table</t>
  </si>
  <si>
    <t>https://leetcode.com/problems/kth-smallest-number-in-multiplication-table/solution</t>
  </si>
  <si>
    <t xml:space="preserve"> Pizza With 3n Slices</t>
  </si>
  <si>
    <t>https://leetcode.com/problems/pizza-with-3n-slices</t>
  </si>
  <si>
    <t xml:space="preserve"> Minimum Number of Operations to Make Array Continuous</t>
  </si>
  <si>
    <t>https://leetcode.com/problems/minimum-number-of-operations-to-make-array-continuous</t>
  </si>
  <si>
    <t>https://leetcode.com/problems/minimum-number-of-operations-to-make-array-continuous/solution</t>
  </si>
  <si>
    <t xml:space="preserve"> Parse Lisp Expression</t>
  </si>
  <si>
    <t>https://leetcode.com/problems/parse-lisp-expression</t>
  </si>
  <si>
    <t>https://leetcode.com/problems/parse-lisp-expression/solution</t>
  </si>
  <si>
    <t xml:space="preserve"> Stream of Characters</t>
  </si>
  <si>
    <t>https://leetcode.com/problems/stream-of-characters</t>
  </si>
  <si>
    <t>https://leetcode.com/problems/stream-of-characters/solution</t>
  </si>
  <si>
    <t xml:space="preserve"> Count Ways to Make Array With Product</t>
  </si>
  <si>
    <t>https://leetcode.com/problems/count-ways-to-make-array-with-product</t>
  </si>
  <si>
    <t xml:space="preserve"> String Compression II</t>
  </si>
  <si>
    <t>https://leetcode.com/problems/string-compression-ii</t>
  </si>
  <si>
    <t>https://leetcode.com/problems/string-compression-ii/solution</t>
  </si>
  <si>
    <t xml:space="preserve"> Erect the Fence</t>
  </si>
  <si>
    <t>https://leetcode.com/problems/erect-the-fence</t>
  </si>
  <si>
    <t>Geometry</t>
  </si>
  <si>
    <t>https://leetcode.com/problems/erect-the-fence/solution</t>
  </si>
  <si>
    <t xml:space="preserve"> Number of Unique Good Subsequences</t>
  </si>
  <si>
    <t>https://leetcode.com/problems/number-of-unique-good-subsequences</t>
  </si>
  <si>
    <t xml:space="preserve"> Minimum Score After Removals on a Tree</t>
  </si>
  <si>
    <t>https://leetcode.com/problems/minimum-score-after-removals-on-a-tree</t>
  </si>
  <si>
    <t xml:space="preserve"> Contain Virus</t>
  </si>
  <si>
    <t>https://leetcode.com/problems/contain-virus</t>
  </si>
  <si>
    <t>https://leetcode.com/problems/contain-virus/solution</t>
  </si>
  <si>
    <t xml:space="preserve"> Tallest Billboard</t>
  </si>
  <si>
    <t>https://leetcode.com/problems/tallest-billboard</t>
  </si>
  <si>
    <t>https://leetcode.com/problems/tallest-billboard/solution</t>
  </si>
  <si>
    <t xml:space="preserve"> Smallest Rotation with Highest Score</t>
  </si>
  <si>
    <t>https://leetcode.com/problems/smallest-rotation-with-highest-score</t>
  </si>
  <si>
    <t>https://leetcode.com/problems/smallest-rotation-with-highest-score/solution</t>
  </si>
  <si>
    <t xml:space="preserve"> Maximum Students Taking Exam</t>
  </si>
  <si>
    <t>https://leetcode.com/problems/maximum-students-taking-exam</t>
  </si>
  <si>
    <t xml:space="preserve"> Building Boxes</t>
  </si>
  <si>
    <t>https://leetcode.com/problems/building-boxes</t>
  </si>
  <si>
    <t xml:space="preserve"> Minimum Number of Moves to Make Palindrome</t>
  </si>
  <si>
    <t>https://leetcode.com/problems/minimum-number-of-moves-to-make-palindrome</t>
  </si>
  <si>
    <t xml:space="preserve"> Distinct Echo Substrings</t>
  </si>
  <si>
    <t>https://leetcode.com/problems/distinct-echo-substrings</t>
  </si>
  <si>
    <t>Rolling Hash</t>
  </si>
  <si>
    <t xml:space="preserve"> Count Number of Special Subsequences</t>
  </si>
  <si>
    <t>https://leetcode.com/problems/count-number-of-special-subsequences</t>
  </si>
  <si>
    <t xml:space="preserve"> Minimum Interval to Include Each Query</t>
  </si>
  <si>
    <t>https://leetcode.com/problems/minimum-interval-to-include-each-query</t>
  </si>
  <si>
    <t xml:space="preserve"> Maximum Good People Based on Statements</t>
  </si>
  <si>
    <t>https://leetcode.com/problems/maximum-good-people-based-on-statements</t>
  </si>
  <si>
    <t xml:space="preserve"> Selling Pieces of Wood</t>
  </si>
  <si>
    <t>https://leetcode.com/problems/selling-pieces-of-wood</t>
  </si>
  <si>
    <t xml:space="preserve"> Number of Valid Move Combinations On Chessboard</t>
  </si>
  <si>
    <t>https://leetcode.com/problems/number-of-valid-move-combinations-on-chessboard</t>
  </si>
  <si>
    <t xml:space="preserve"> Number of Possible Sets of Closing Branches</t>
  </si>
  <si>
    <t>https://leetcode.com/problems/number-of-possible-sets-of-closing-branches</t>
  </si>
  <si>
    <t xml:space="preserve"> Reachable Nodes In Subdivided Graph</t>
  </si>
  <si>
    <t>https://leetcode.com/problems/reachable-nodes-in-subdivided-graph</t>
  </si>
  <si>
    <t>https://leetcode.com/problems/reachable-nodes-in-subdivided-graph/solution</t>
  </si>
  <si>
    <t xml:space="preserve"> Minimum Number of Taps to Open to Water a Garden</t>
  </si>
  <si>
    <t>https://leetcode.com/problems/minimum-number-of-taps-to-open-to-water-a-garden</t>
  </si>
  <si>
    <t>https://leetcode.com/problems/minimum-number-of-taps-to-open-to-water-a-garden/solution</t>
  </si>
  <si>
    <t xml:space="preserve"> Design Cancellable Function</t>
  </si>
  <si>
    <t>https://leetcode.com/problems/design-cancellable-function</t>
  </si>
  <si>
    <t xml:space="preserve"> Transform to Chessboard</t>
  </si>
  <si>
    <t>https://leetcode.com/problems/transform-to-chessboard</t>
  </si>
  <si>
    <t>https://leetcode.com/problems/transform-to-chessboard/solution</t>
  </si>
  <si>
    <t xml:space="preserve"> Number of Squareful Arrays</t>
  </si>
  <si>
    <t>https://leetcode.com/problems/number-of-squareful-arrays</t>
  </si>
  <si>
    <t>https://leetcode.com/problems/number-of-squareful-arrays/solution</t>
  </si>
  <si>
    <t xml:space="preserve"> Minimum Moves to Reach Target with Rotations</t>
  </si>
  <si>
    <t>https://leetcode.com/problems/minimum-moves-to-reach-target-with-rotations</t>
  </si>
  <si>
    <t xml:space="preserve"> Painting the Walls</t>
  </si>
  <si>
    <t>https://leetcode.com/problems/painting-the-walls</t>
  </si>
  <si>
    <t xml:space="preserve"> Number of Ways to Stay in the Same Place After Some Steps</t>
  </si>
  <si>
    <t>https://leetcode.com/problems/number-of-ways-to-stay-in-the-same-place-after-some-steps</t>
  </si>
  <si>
    <t>https://leetcode.com/problems/number-of-ways-to-stay-in-the-same-place-after-some-steps/solution</t>
  </si>
  <si>
    <t xml:space="preserve"> Best Time to Buy and Sell Stock III</t>
  </si>
  <si>
    <t>https://leetcode.com/problems/best-time-to-buy-and-sell-stock-iii</t>
  </si>
  <si>
    <t>https://leetcode.com/problems/best-time-to-buy-and-sell-stock-iii/solution</t>
  </si>
  <si>
    <t xml:space="preserve"> Vertical Order Traversal of a Binary Tree</t>
  </si>
  <si>
    <t>https://leetcode.com/problems/vertical-order-traversal-of-a-binary-tree</t>
  </si>
  <si>
    <t>https://leetcode.com/problems/vertical-order-traversal-of-a-binary-tree/solution</t>
  </si>
  <si>
    <t xml:space="preserve"> Minimum Number of Operations to Make String Sorted</t>
  </si>
  <si>
    <t>https://leetcode.com/problems/minimum-number-of-operations-to-make-string-sorted</t>
  </si>
  <si>
    <t xml:space="preserve"> Stickers to Spell Word</t>
  </si>
  <si>
    <t>https://leetcode.com/problems/stickers-to-spell-word</t>
  </si>
  <si>
    <t>https://leetcode.com/problems/stickers-to-spell-word/solution</t>
  </si>
  <si>
    <t xml:space="preserve"> The Earliest and Latest Rounds Where Players Compete</t>
  </si>
  <si>
    <t>https://leetcode.com/problems/the-earliest-and-latest-rounds-where-players-compete</t>
  </si>
  <si>
    <t xml:space="preserve"> Maximum Running Time of N Computers</t>
  </si>
  <si>
    <t>https://leetcode.com/problems/maximum-running-time-of-n-computers</t>
  </si>
  <si>
    <t>https://leetcode.com/problems/maximum-running-time-of-n-computers/solution</t>
  </si>
  <si>
    <t xml:space="preserve"> 24 Game</t>
  </si>
  <si>
    <t>https://leetcode.com/problems/24-game</t>
  </si>
  <si>
    <t>https://leetcode.com/problems/24-game/solution</t>
  </si>
  <si>
    <t xml:space="preserve"> Dice Roll Simulation</t>
  </si>
  <si>
    <t>https://leetcode.com/problems/dice-roll-simulation</t>
  </si>
  <si>
    <t xml:space="preserve"> Longest Cycle in a Graph</t>
  </si>
  <si>
    <t>https://leetcode.com/problems/longest-cycle-in-a-graph</t>
  </si>
  <si>
    <t>https://leetcode.com/problems/longest-cycle-in-a-graph/solution</t>
  </si>
  <si>
    <t xml:space="preserve"> Count Ways to Build Rooms in an Ant Colony</t>
  </si>
  <si>
    <t>https://leetcode.com/problems/count-ways-to-build-rooms-in-an-ant-colony</t>
  </si>
  <si>
    <t xml:space="preserve"> Maximum AND Sum of Array</t>
  </si>
  <si>
    <t>https://leetcode.com/problems/maximum-and-sum-of-array</t>
  </si>
  <si>
    <t xml:space="preserve"> Largest Color Value in a Directed Graph</t>
  </si>
  <si>
    <t>https://leetcode.com/problems/largest-color-value-in-a-directed-graph</t>
  </si>
  <si>
    <t>https://leetcode.com/problems/largest-color-value-in-a-directed-graph/solution</t>
  </si>
  <si>
    <t xml:space="preserve"> Human Traffic of Stadium</t>
  </si>
  <si>
    <t>https://leetcode.com/problems/human-traffic-of-stadium</t>
  </si>
  <si>
    <t>https://leetcode.com/problems/human-traffic-of-stadium/solution</t>
  </si>
  <si>
    <t xml:space="preserve"> Distinct Subsequences</t>
  </si>
  <si>
    <t>https://leetcode.com/problems/distinct-subsequences</t>
  </si>
  <si>
    <t>https://leetcode.com/problems/distinct-subsequences/solution</t>
  </si>
  <si>
    <t xml:space="preserve"> Concatenated Words</t>
  </si>
  <si>
    <t>https://leetcode.com/problems/concatenated-words</t>
  </si>
  <si>
    <t>https://leetcode.com/problems/concatenated-words/solution</t>
  </si>
  <si>
    <t xml:space="preserve"> Minimum Moves to Move a Box to Their Target Location</t>
  </si>
  <si>
    <t>https://leetcode.com/problems/minimum-moves-to-move-a-box-to-their-target-location</t>
  </si>
  <si>
    <t xml:space="preserve"> K Inverse Pairs Array</t>
  </si>
  <si>
    <t>https://leetcode.com/problems/k-inverse-pairs-array</t>
  </si>
  <si>
    <t>https://leetcode.com/problems/k-inverse-pairs-array/solution</t>
  </si>
  <si>
    <t xml:space="preserve"> Permutation Sequence</t>
  </si>
  <si>
    <t>https://leetcode.com/problems/permutation-sequence</t>
  </si>
  <si>
    <t>https://leetcode.com/problems/permutation-sequence/solution</t>
  </si>
  <si>
    <t xml:space="preserve"> Minimum Cost to Connect Two Groups of Points</t>
  </si>
  <si>
    <t>https://leetcode.com/problems/minimum-cost-to-connect-two-groups-of-points</t>
  </si>
  <si>
    <t xml:space="preserve"> Number of Ways to Divide a Long Corridor</t>
  </si>
  <si>
    <t>https://leetcode.com/problems/number-of-ways-to-divide-a-long-corridor</t>
  </si>
  <si>
    <t>https://leetcode.com/problems/number-of-ways-to-divide-a-long-corridor/solution</t>
  </si>
  <si>
    <t xml:space="preserve"> Remove Invalid Parentheses</t>
  </si>
  <si>
    <t>https://leetcode.com/problems/remove-invalid-parentheses</t>
  </si>
  <si>
    <t>https://leetcode.com/problems/remove-invalid-parentheses/solution</t>
  </si>
  <si>
    <t xml:space="preserve"> Check If String Is Transformable With Substring Sort Operations</t>
  </si>
  <si>
    <t>https://leetcode.com/problems/check-if-string-is-transformable-with-substring-sort-operations</t>
  </si>
  <si>
    <t xml:space="preserve"> Minimum Difference in Sums After Removal of Elements</t>
  </si>
  <si>
    <t>https://leetcode.com/problems/minimum-difference-in-sums-after-removal-of-elements</t>
  </si>
  <si>
    <t xml:space="preserve"> Find Array Given Subset Sums</t>
  </si>
  <si>
    <t>https://leetcode.com/problems/find-array-given-subset-sums</t>
  </si>
  <si>
    <t xml:space="preserve"> Minimum XOR Sum of Two Arrays</t>
  </si>
  <si>
    <t>https://leetcode.com/problems/minimum-xor-sum-of-two-arrays</t>
  </si>
  <si>
    <t xml:space="preserve"> Least Operators to Express Number</t>
  </si>
  <si>
    <t>https://leetcode.com/problems/least-operators-to-express-number</t>
  </si>
  <si>
    <t>https://leetcode.com/problems/least-operators-to-express-number/solution</t>
  </si>
  <si>
    <t xml:space="preserve"> Form Largest Integer With Digits That Add up to Target</t>
  </si>
  <si>
    <t>https://leetcode.com/problems/form-largest-integer-with-digits-that-add-up-to-target</t>
  </si>
  <si>
    <t xml:space="preserve"> Count Pairs With XOR in a Range</t>
  </si>
  <si>
    <t>https://leetcode.com/problems/count-pairs-with-xor-in-a-range</t>
  </si>
  <si>
    <t xml:space="preserve"> Remove Boxes</t>
  </si>
  <si>
    <t>https://leetcode.com/problems/remove-boxes</t>
  </si>
  <si>
    <t>https://leetcode.com/problems/remove-boxes/solution</t>
  </si>
  <si>
    <t xml:space="preserve"> Maximum Segment Sum After Removals</t>
  </si>
  <si>
    <t>https://leetcode.com/problems/maximum-segment-sum-after-removals</t>
  </si>
  <si>
    <t xml:space="preserve"> Profitable Schemes</t>
  </si>
  <si>
    <t>https://leetcode.com/problems/profitable-schemes</t>
  </si>
  <si>
    <t>https://leetcode.com/problems/profitable-schemes/solution</t>
  </si>
  <si>
    <t xml:space="preserve"> Minimum Operations to Make a Subsequence</t>
  </si>
  <si>
    <t>https://leetcode.com/problems/minimum-operations-to-make-a-subsequence</t>
  </si>
  <si>
    <t xml:space="preserve"> Graph Connectivity With Threshold</t>
  </si>
  <si>
    <t>https://leetcode.com/problems/graph-connectivity-with-threshold</t>
  </si>
  <si>
    <t xml:space="preserve"> Kth Smallest Instructions</t>
  </si>
  <si>
    <t>https://leetcode.com/problems/kth-smallest-instructions</t>
  </si>
  <si>
    <t xml:space="preserve"> Longest Happy Prefix</t>
  </si>
  <si>
    <t>https://leetcode.com/problems/longest-happy-prefix</t>
  </si>
  <si>
    <t>String Matching</t>
  </si>
  <si>
    <t xml:space="preserve"> Number of Excellent Pairs</t>
  </si>
  <si>
    <t>https://leetcode.com/problems/number-of-excellent-pairs</t>
  </si>
  <si>
    <t xml:space="preserve"> Maximum Performance of a Team</t>
  </si>
  <si>
    <t>https://leetcode.com/problems/maximum-performance-of-a-team</t>
  </si>
  <si>
    <t>https://leetcode.com/problems/maximum-performance-of-a-team/solution</t>
  </si>
  <si>
    <t xml:space="preserve"> Count Paths That Can Form a Palindrome in a Tree</t>
  </si>
  <si>
    <t>https://leetcode.com/problems/count-paths-that-can-form-a-palindrome-in-a-tree</t>
  </si>
  <si>
    <t xml:space="preserve"> Count the Number of Good Partitions</t>
  </si>
  <si>
    <t>https://leetcode.com/problems/count-the-number-of-good-partitions</t>
  </si>
  <si>
    <t xml:space="preserve"> Sliding Window Maximum</t>
  </si>
  <si>
    <t>https://leetcode.com/problems/sliding-window-maximum</t>
  </si>
  <si>
    <t>https://leetcode.com/problems/sliding-window-maximum/solution</t>
  </si>
  <si>
    <t xml:space="preserve"> Bus Routes</t>
  </si>
  <si>
    <t>https://leetcode.com/problems/bus-routes</t>
  </si>
  <si>
    <t>https://leetcode.com/problems/bus-routes/solution</t>
  </si>
  <si>
    <t xml:space="preserve"> Restore The Array</t>
  </si>
  <si>
    <t>https://leetcode.com/problems/restore-the-array</t>
  </si>
  <si>
    <t>https://leetcode.com/problems/restore-the-array/solution</t>
  </si>
  <si>
    <t xml:space="preserve"> Design a Text Editor</t>
  </si>
  <si>
    <t>https://leetcode.com/problems/design-a-text-editor</t>
  </si>
  <si>
    <t xml:space="preserve"> Binary Tree Cameras</t>
  </si>
  <si>
    <t>https://leetcode.com/problems/binary-tree-cameras</t>
  </si>
  <si>
    <t>https://leetcode.com/problems/binary-tree-cameras/solution</t>
  </si>
  <si>
    <t xml:space="preserve"> Number of Valid Words for Each Puzzle</t>
  </si>
  <si>
    <t>https://leetcode.com/problems/number-of-valid-words-for-each-puzzle</t>
  </si>
  <si>
    <t>https://leetcode.com/problems/number-of-valid-words-for-each-puzzle/solution</t>
  </si>
  <si>
    <t xml:space="preserve"> Text Justification</t>
  </si>
  <si>
    <t>https://leetcode.com/problems/text-justification</t>
  </si>
  <si>
    <t>Simulation</t>
  </si>
  <si>
    <t>https://leetcode.com/problems/text-justification/solution</t>
  </si>
  <si>
    <t xml:space="preserve"> Find the Number of Ways to Place People II</t>
  </si>
  <si>
    <t>https://leetcode.com/problems/find-the-number-of-ways-to-place-people-ii</t>
  </si>
  <si>
    <t xml:space="preserve"> Largest Rectangle in Histogram</t>
  </si>
  <si>
    <t>https://leetcode.com/problems/largest-rectangle-in-histogram</t>
  </si>
  <si>
    <t>https://leetcode.com/problems/largest-rectangle-in-histogram/solution</t>
  </si>
  <si>
    <t xml:space="preserve"> Frog Jump</t>
  </si>
  <si>
    <t>https://leetcode.com/problems/frog-jump</t>
  </si>
  <si>
    <t>https://leetcode.com/problems/frog-jump/solution</t>
  </si>
  <si>
    <t xml:space="preserve"> GCD Sort of an Array</t>
  </si>
  <si>
    <t>https://leetcode.com/problems/gcd-sort-of-an-array</t>
  </si>
  <si>
    <t xml:space="preserve"> Smallest Missing Genetic Value in Each Subtree</t>
  </si>
  <si>
    <t>https://leetcode.com/problems/smallest-missing-genetic-value-in-each-subtree</t>
  </si>
  <si>
    <t xml:space="preserve"> Naming a Company</t>
  </si>
  <si>
    <t>https://leetcode.com/problems/naming-a-company</t>
  </si>
  <si>
    <t>https://leetcode.com/problems/naming-a-company/solution</t>
  </si>
  <si>
    <t xml:space="preserve"> Minimize the Total Price of the Trips</t>
  </si>
  <si>
    <t>https://leetcode.com/problems/minimize-the-total-price-of-the-trips</t>
  </si>
  <si>
    <t xml:space="preserve"> Count Different Palindromic Subsequences</t>
  </si>
  <si>
    <t>https://leetcode.com/problems/count-different-palindromic-subsequences</t>
  </si>
  <si>
    <t>https://leetcode.com/problems/count-different-palindromic-subsequences/solution</t>
  </si>
  <si>
    <t xml:space="preserve"> Jump Game IV</t>
  </si>
  <si>
    <t>https://leetcode.com/problems/jump-game-iv</t>
  </si>
  <si>
    <t>https://leetcode.com/problems/jump-game-iv/solution</t>
  </si>
  <si>
    <t xml:space="preserve"> Minimum Cost to Make Array Equal</t>
  </si>
  <si>
    <t>https://leetcode.com/problems/minimum-cost-to-make-array-equal</t>
  </si>
  <si>
    <t>https://leetcode.com/problems/minimum-cost-to-make-array-equal/solution</t>
  </si>
  <si>
    <t xml:space="preserve"> Find the Count of Monotonic Pairs I</t>
  </si>
  <si>
    <t>https://leetcode.com/problems/find-the-count-of-monotonic-pairs-i</t>
  </si>
  <si>
    <t xml:space="preserve"> Substring With Largest Variance</t>
  </si>
  <si>
    <t>https://leetcode.com/problems/substring-with-largest-variance</t>
  </si>
  <si>
    <t>https://leetcode.com/problems/substring-with-largest-variance/solution</t>
  </si>
  <si>
    <t xml:space="preserve"> Count Number of Possible Root Nodes</t>
  </si>
  <si>
    <t>https://leetcode.com/problems/count-number-of-possible-root-nodes</t>
  </si>
  <si>
    <t xml:space="preserve"> Find Edges in Shortest Paths</t>
  </si>
  <si>
    <t>https://leetcode.com/problems/find-edges-in-shortest-paths</t>
  </si>
  <si>
    <t xml:space="preserve"> Best Time to Buy and Sell Stock IV</t>
  </si>
  <si>
    <t>https://leetcode.com/problems/best-time-to-buy-and-sell-stock-iv</t>
  </si>
  <si>
    <t>https://leetcode.com/problems/best-time-to-buy-and-sell-stock-iv/solution</t>
  </si>
  <si>
    <t xml:space="preserve"> Falling Squares</t>
  </si>
  <si>
    <t>https://leetcode.com/problems/falling-squares</t>
  </si>
  <si>
    <t>https://leetcode.com/problems/falling-squares/solution</t>
  </si>
  <si>
    <t xml:space="preserve"> LFU Cache</t>
  </si>
  <si>
    <t>https://leetcode.com/problems/lfu-cache</t>
  </si>
  <si>
    <t>https://leetcode.com/problems/lfu-cache/solution</t>
  </si>
  <si>
    <t xml:space="preserve"> Find K-th Smallest Pair Distance</t>
  </si>
  <si>
    <t>https://leetcode.com/problems/find-k-th-smallest-pair-distance</t>
  </si>
  <si>
    <t>https://leetcode.com/problems/find-k-th-smallest-pair-distance/solution</t>
  </si>
  <si>
    <t xml:space="preserve"> Find a Value of a Mysterious Function Closest to Target</t>
  </si>
  <si>
    <t>https://leetcode.com/problems/find-a-value-of-a-mysterious-function-closest-to-target</t>
  </si>
  <si>
    <t xml:space="preserve"> Preimage Size of Factorial Zeroes Function</t>
  </si>
  <si>
    <t>https://leetcode.com/problems/preimage-size-of-factorial-zeroes-function</t>
  </si>
  <si>
    <t>https://leetcode.com/problems/preimage-size-of-factorial-zeroes-function/solution</t>
  </si>
  <si>
    <t xml:space="preserve"> Shortest Path in a Grid with Obstacles Elimination</t>
  </si>
  <si>
    <t>https://leetcode.com/problems/shortest-path-in-a-grid-with-obstacles-elimination</t>
  </si>
  <si>
    <t>https://leetcode.com/problems/shortest-path-in-a-grid-with-obstacles-elimination/solution</t>
  </si>
  <si>
    <t xml:space="preserve"> Find All People With Secret</t>
  </si>
  <si>
    <t>https://leetcode.com/problems/find-all-people-with-secret</t>
  </si>
  <si>
    <t>https://leetcode.com/problems/find-all-people-with-secret/solution</t>
  </si>
  <si>
    <t xml:space="preserve"> Find a Good Subset of the Matrix</t>
  </si>
  <si>
    <t>https://leetcode.com/problems/find-a-good-subset-of-the-matrix</t>
  </si>
  <si>
    <t xml:space="preserve"> Minimum Cost Walk in Weighted Graph</t>
  </si>
  <si>
    <t>https://leetcode.com/problems/minimum-cost-walk-in-weighted-graph</t>
  </si>
  <si>
    <t xml:space="preserve"> Sum of Imbalance Numbers of All Subarrays</t>
  </si>
  <si>
    <t>https://leetcode.com/problems/sum-of-imbalance-numbers-of-all-subarrays</t>
  </si>
  <si>
    <t xml:space="preserve"> Apply Operations on Array to Maximize Sum of Squares</t>
  </si>
  <si>
    <t>https://leetcode.com/problems/apply-operations-on-array-to-maximize-sum-of-squares</t>
  </si>
  <si>
    <t xml:space="preserve"> All O`one Data Structure</t>
  </si>
  <si>
    <t>https://leetcode.com/problems/all-oone-data-structure</t>
  </si>
  <si>
    <t>https://leetcode.com/problems/all-oone-data-structure/solution</t>
  </si>
  <si>
    <t xml:space="preserve"> Find Longest Awesome Substring</t>
  </si>
  <si>
    <t>https://leetcode.com/problems/find-longest-awesome-substring</t>
  </si>
  <si>
    <t xml:space="preserve"> Set Intersection Size At Least Two</t>
  </si>
  <si>
    <t>https://leetcode.com/problems/set-intersection-size-at-least-two</t>
  </si>
  <si>
    <t>https://leetcode.com/problems/set-intersection-size-at-least-two/solution</t>
  </si>
  <si>
    <t xml:space="preserve"> Count Subarrays With Median K</t>
  </si>
  <si>
    <t>https://leetcode.com/problems/count-subarrays-with-median-k</t>
  </si>
  <si>
    <t xml:space="preserve"> Number of Pairs Satisfying Inequality</t>
  </si>
  <si>
    <t>https://leetcode.com/problems/number-of-pairs-satisfying-inequality</t>
  </si>
  <si>
    <t xml:space="preserve"> Basic Calculator</t>
  </si>
  <si>
    <t>https://leetcode.com/problems/basic-calculator</t>
  </si>
  <si>
    <t>https://leetcode.com/problems/basic-calculator/solution</t>
  </si>
  <si>
    <t xml:space="preserve"> Number of Ways to Wear Different Hats to Each Other</t>
  </si>
  <si>
    <t>https://leetcode.com/problems/number-of-ways-to-wear-different-hats-to-each-other</t>
  </si>
  <si>
    <t>https://leetcode.com/problems/number-of-ways-to-wear-different-hats-to-each-other/solution</t>
  </si>
  <si>
    <t xml:space="preserve"> Minimum Window Substring</t>
  </si>
  <si>
    <t>https://leetcode.com/problems/minimum-window-substring</t>
  </si>
  <si>
    <t>https://leetcode.com/problems/minimum-window-substring/solution</t>
  </si>
  <si>
    <t xml:space="preserve"> Equal Rational Numbers</t>
  </si>
  <si>
    <t>https://leetcode.com/problems/equal-rational-numbers</t>
  </si>
  <si>
    <t>https://leetcode.com/problems/equal-rational-numbers/solution</t>
  </si>
  <si>
    <t xml:space="preserve"> Palindrome Partitioning IV</t>
  </si>
  <si>
    <t>https://leetcode.com/problems/palindrome-partitioning-iv</t>
  </si>
  <si>
    <t xml:space="preserve"> Max Sum of Rectangle No Larger Than K</t>
  </si>
  <si>
    <t>https://leetcode.com/problems/max-sum-of-rectangle-no-larger-than-k</t>
  </si>
  <si>
    <t>https://leetcode.com/problems/max-sum-of-rectangle-no-larger-than-k/solution</t>
  </si>
  <si>
    <t xml:space="preserve"> Minimize Malware Spread II</t>
  </si>
  <si>
    <t>https://leetcode.com/problems/minimize-malware-spread-ii</t>
  </si>
  <si>
    <t>https://leetcode.com/problems/minimize-malware-spread-ii/solution</t>
  </si>
  <si>
    <t xml:space="preserve"> Find the Shortest Superstring</t>
  </si>
  <si>
    <t>https://leetcode.com/problems/find-the-shortest-superstring</t>
  </si>
  <si>
    <t>https://leetcode.com/problems/find-the-shortest-superstring/solution</t>
  </si>
  <si>
    <t xml:space="preserve"> Subarray With Elements Greater Than Varying Threshold</t>
  </si>
  <si>
    <t>https://leetcode.com/problems/subarray-with-elements-greater-than-varying-threshold</t>
  </si>
  <si>
    <t xml:space="preserve"> Candy</t>
  </si>
  <si>
    <t>https://leetcode.com/problems/candy</t>
  </si>
  <si>
    <t>https://leetcode.com/problems/candy/solution</t>
  </si>
  <si>
    <t xml:space="preserve"> Max Value of Equation</t>
  </si>
  <si>
    <t>https://leetcode.com/problems/max-value-of-equation</t>
  </si>
  <si>
    <t xml:space="preserve"> Smallest Substring With Identical Characters II</t>
  </si>
  <si>
    <t>https://leetcode.com/problems/smallest-substring-with-identical-characters-ii</t>
  </si>
  <si>
    <t xml:space="preserve"> Number Of Ways To Reconstruct A Tree</t>
  </si>
  <si>
    <t>https://leetcode.com/problems/number-of-ways-to-reconstruct-a-tree</t>
  </si>
  <si>
    <t xml:space="preserve"> Find Minimum in Rotated Sorted Array II</t>
  </si>
  <si>
    <t>https://leetcode.com/problems/find-minimum-in-rotated-sorted-array-ii</t>
  </si>
  <si>
    <t>https://leetcode.com/problems/find-minimum-in-rotated-sorted-array-ii/solution</t>
  </si>
  <si>
    <t xml:space="preserve"> Range Module</t>
  </si>
  <si>
    <t>https://leetcode.com/problems/range-module</t>
  </si>
  <si>
    <t>https://leetcode.com/problems/range-module/solution</t>
  </si>
  <si>
    <t xml:space="preserve"> Race Car</t>
  </si>
  <si>
    <t>https://leetcode.com/problems/race-car</t>
  </si>
  <si>
    <t>https://leetcode.com/problems/race-car/solution</t>
  </si>
  <si>
    <t xml:space="preserve"> Meeting Rooms III</t>
  </si>
  <si>
    <t>https://leetcode.com/problems/meeting-rooms-iii</t>
  </si>
  <si>
    <t>https://leetcode.com/problems/meeting-rooms-iii/solution</t>
  </si>
  <si>
    <t xml:space="preserve"> Minimum Cost to Merge Stones</t>
  </si>
  <si>
    <t>https://leetcode.com/problems/minimum-cost-to-merge-stones</t>
  </si>
  <si>
    <t xml:space="preserve"> Maximum XOR Score Subarray Queries</t>
  </si>
  <si>
    <t>https://leetcode.com/problems/maximum-xor-score-subarray-queries</t>
  </si>
  <si>
    <t xml:space="preserve"> Find Servers That Handled Most Number of Requests</t>
  </si>
  <si>
    <t>https://leetcode.com/problems/find-servers-that-handled-most-number-of-requests</t>
  </si>
  <si>
    <t>https://leetcode.com/problems/find-servers-that-handled-most-number-of-requests/solution</t>
  </si>
  <si>
    <t xml:space="preserve"> Check if an Original String Exists Given Two Encoded Strings</t>
  </si>
  <si>
    <t>https://leetcode.com/problems/check-if-an-original-string-exists-given-two-encoded-strings</t>
  </si>
  <si>
    <t xml:space="preserve"> Minimum Edge Weight Equilibrium Queries in a Tree</t>
  </si>
  <si>
    <t>https://leetcode.com/problems/minimum-edge-weight-equilibrium-queries-in-a-tree</t>
  </si>
  <si>
    <t xml:space="preserve"> Paths in Matrix Whose Sum Is Divisible by K</t>
  </si>
  <si>
    <t>https://leetcode.com/problems/paths-in-matrix-whose-sum-is-divisible-by-k</t>
  </si>
  <si>
    <t xml:space="preserve"> The Skyline Problem</t>
  </si>
  <si>
    <t>https://leetcode.com/problems/the-skyline-problem</t>
  </si>
  <si>
    <t>5+</t>
  </si>
  <si>
    <t>https://leetcode.com/problems/the-skyline-problem/solution</t>
  </si>
  <si>
    <t xml:space="preserve"> Maximum Genetic Difference Query</t>
  </si>
  <si>
    <t>https://leetcode.com/problems/maximum-genetic-difference-query</t>
  </si>
  <si>
    <t xml:space="preserve"> Check if Point Is Reachable</t>
  </si>
  <si>
    <t>https://leetcode.com/problems/check-if-point-is-reachable</t>
  </si>
  <si>
    <t xml:space="preserve"> Reconstruct Itinerary</t>
  </si>
  <si>
    <t>https://leetcode.com/problems/reconstruct-itinerary</t>
  </si>
  <si>
    <t xml:space="preserve"> Distinct Subsequences II</t>
  </si>
  <si>
    <t>https://leetcode.com/problems/distinct-subsequences-ii</t>
  </si>
  <si>
    <t>https://leetcode.com/problems/distinct-subsequences-ii/solution</t>
  </si>
  <si>
    <t xml:space="preserve"> Time to Cross a Bridge</t>
  </si>
  <si>
    <t>https://leetcode.com/problems/time-to-cross-a-bridge</t>
  </si>
  <si>
    <t xml:space="preserve"> Find All Good Strings</t>
  </si>
  <si>
    <t>https://leetcode.com/problems/find-all-good-strings</t>
  </si>
  <si>
    <t xml:space="preserve"> Minimum Degree of a Connected Trio in a Graph</t>
  </si>
  <si>
    <t>https://leetcode.com/problems/minimum-degree-of-a-connected-trio-in-a-graph</t>
  </si>
  <si>
    <t xml:space="preserve"> Maximum Element-Sum of a Complete Subset of Indices</t>
  </si>
  <si>
    <t>https://leetcode.com/problems/maximum-element-sum-of-a-complete-subset-of-indices</t>
  </si>
  <si>
    <t xml:space="preserve"> Split Message Based on Limit</t>
  </si>
  <si>
    <t>https://leetcode.com/problems/split-message-based-on-limit</t>
  </si>
  <si>
    <t>Enumeration</t>
  </si>
  <si>
    <t xml:space="preserve"> Numbers At Most N Given Digit Set</t>
  </si>
  <si>
    <t>https://leetcode.com/problems/numbers-at-most-n-given-digit-set</t>
  </si>
  <si>
    <t>https://leetcode.com/problems/numbers-at-most-n-given-digit-set/solution</t>
  </si>
  <si>
    <t xml:space="preserve"> Maximum Sum BST in Binary Tree</t>
  </si>
  <si>
    <t>https://leetcode.com/problems/maximum-sum-bst-in-binary-tree</t>
  </si>
  <si>
    <t xml:space="preserve"> Find Minimum Time to Finish All Jobs</t>
  </si>
  <si>
    <t>https://leetcode.com/problems/find-minimum-time-to-finish-all-jobs</t>
  </si>
  <si>
    <t xml:space="preserve"> Numbers With Repeated Digits</t>
  </si>
  <si>
    <t>https://leetcode.com/problems/numbers-with-repeated-digits</t>
  </si>
  <si>
    <t xml:space="preserve"> Median of Two Sorted Arrays</t>
  </si>
  <si>
    <t>https://leetcode.com/problems/median-of-two-sorted-arrays</t>
  </si>
  <si>
    <t>https://leetcode.com/problems/median-of-two-sorted-arrays/solution</t>
  </si>
  <si>
    <t xml:space="preserve"> Count of Smaller Numbers After Self</t>
  </si>
  <si>
    <t>https://leetcode.com/problems/count-of-smaller-numbers-after-self</t>
  </si>
  <si>
    <t>https://leetcode.com/problems/count-of-smaller-numbers-after-self/solution</t>
  </si>
  <si>
    <t xml:space="preserve"> Smallest Good Base</t>
  </si>
  <si>
    <t>https://leetcode.com/problems/smallest-good-base</t>
  </si>
  <si>
    <t xml:space="preserve"> Sum of k-Mirror Numbers</t>
  </si>
  <si>
    <t>https://leetcode.com/problems/sum-of-k-mirror-numbers</t>
  </si>
  <si>
    <t xml:space="preserve"> Reverse Subarray To Maximize Array Value</t>
  </si>
  <si>
    <t>https://leetcode.com/problems/reverse-subarray-to-maximize-array-value</t>
  </si>
  <si>
    <t xml:space="preserve"> Online Majority Element In Subarray</t>
  </si>
  <si>
    <t>https://leetcode.com/problems/online-majority-element-in-subarray</t>
  </si>
  <si>
    <t xml:space="preserve"> Minimum Adjacent Swaps for K Consecutive Ones</t>
  </si>
  <si>
    <t>https://leetcode.com/problems/minimum-adjacent-swaps-for-k-consecutive-ones</t>
  </si>
  <si>
    <t xml:space="preserve"> Minimize Malware Spread</t>
  </si>
  <si>
    <t>https://leetcode.com/problems/minimize-malware-spread</t>
  </si>
  <si>
    <t>https://leetcode.com/problems/minimize-malware-spread/solution</t>
  </si>
  <si>
    <t xml:space="preserve"> Greatest Common Divisor Traversal</t>
  </si>
  <si>
    <t>https://leetcode.com/problems/greatest-common-divisor-traversal</t>
  </si>
  <si>
    <t>https://leetcode.com/problems/greatest-common-divisor-traversal/solution</t>
  </si>
  <si>
    <t xml:space="preserve"> K-th Smallest in Lexicographical Order</t>
  </si>
  <si>
    <t>https://leetcode.com/problems/k-th-smallest-in-lexicographical-order</t>
  </si>
  <si>
    <t>https://leetcode.com/problems/k-th-smallest-in-lexicographical-order/solution</t>
  </si>
  <si>
    <t xml:space="preserve"> Super Washing Machines</t>
  </si>
  <si>
    <t>https://leetcode.com/problems/super-washing-machines</t>
  </si>
  <si>
    <t>https://leetcode.com/problems/super-washing-machines/solution</t>
  </si>
  <si>
    <t xml:space="preserve"> Consecutive Numbers Sum</t>
  </si>
  <si>
    <t>https://leetcode.com/problems/consecutive-numbers-sum</t>
  </si>
  <si>
    <t>https://leetcode.com/problems/consecutive-numbers-sum/solution</t>
  </si>
  <si>
    <t xml:space="preserve"> Count Good Triplets in an Array</t>
  </si>
  <si>
    <t>https://leetcode.com/problems/count-good-triplets-in-an-array</t>
  </si>
  <si>
    <t xml:space="preserve"> Minimum Time to Finish the Race</t>
  </si>
  <si>
    <t>https://leetcode.com/problems/minimum-time-to-finish-the-race</t>
  </si>
  <si>
    <t xml:space="preserve"> Maximum Score from Performing Multiplication Operations</t>
  </si>
  <si>
    <t>https://leetcode.com/problems/maximum-score-from-performing-multiplication-operations</t>
  </si>
  <si>
    <t>https://leetcode.com/problems/maximum-score-from-performing-multiplication-operations/solution</t>
  </si>
  <si>
    <t xml:space="preserve"> Match Substring After Replacement</t>
  </si>
  <si>
    <t>https://leetcode.com/problems/match-substring-after-replacement</t>
  </si>
  <si>
    <t xml:space="preserve"> Minimum Cost to Split an Array</t>
  </si>
  <si>
    <t>https://leetcode.com/problems/minimum-cost-to-split-an-array</t>
  </si>
  <si>
    <t xml:space="preserve"> Word Ladder</t>
  </si>
  <si>
    <t>https://leetcode.com/problems/word-ladder</t>
  </si>
  <si>
    <t>https://leetcode.com/problems/word-ladder/solution</t>
  </si>
  <si>
    <t xml:space="preserve"> Tree of Coprimes</t>
  </si>
  <si>
    <t>https://leetcode.com/problems/tree-of-coprimes</t>
  </si>
  <si>
    <t xml:space="preserve"> Minimum Time to Remove All Cars Containing Illegal Goods</t>
  </si>
  <si>
    <t>https://leetcode.com/problems/minimum-time-to-remove-all-cars-containing-illegal-goods</t>
  </si>
  <si>
    <t xml:space="preserve"> Sum of Scores of Built Strings</t>
  </si>
  <si>
    <t>https://leetcode.com/problems/sum-of-scores-of-built-strings</t>
  </si>
  <si>
    <t xml:space="preserve"> Scramble String</t>
  </si>
  <si>
    <t>https://leetcode.com/problems/scramble-string</t>
  </si>
  <si>
    <t>https://leetcode.com/problems/scramble-string/solution</t>
  </si>
  <si>
    <t xml:space="preserve"> Minimum Total Cost to Make Arrays Unequal</t>
  </si>
  <si>
    <t>https://leetcode.com/problems/minimum-total-cost-to-make-arrays-unequal</t>
  </si>
  <si>
    <t xml:space="preserve"> Number of Different Subsequences GCDs</t>
  </si>
  <si>
    <t>https://leetcode.com/problems/number-of-different-subsequences-gcds</t>
  </si>
  <si>
    <t>Counting</t>
  </si>
  <si>
    <t xml:space="preserve"> Prefix and Suffix Search</t>
  </si>
  <si>
    <t>https://leetcode.com/problems/prefix-and-suffix-search</t>
  </si>
  <si>
    <t>https://leetcode.com/problems/prefix-and-suffix-search/solution</t>
  </si>
  <si>
    <t xml:space="preserve"> Largest Component Size by Common Factor</t>
  </si>
  <si>
    <t>https://leetcode.com/problems/largest-component-size-by-common-factor</t>
  </si>
  <si>
    <t>https://leetcode.com/problems/largest-component-size-by-common-factor/solution</t>
  </si>
  <si>
    <t xml:space="preserve"> Rank Transform of a Matrix</t>
  </si>
  <si>
    <t>https://leetcode.com/problems/rank-transform-of-a-matrix</t>
  </si>
  <si>
    <t>https://leetcode.com/problems/rank-transform-of-a-matrix/solution</t>
  </si>
  <si>
    <t xml:space="preserve"> Encrypt and Decrypt Strings</t>
  </si>
  <si>
    <t>https://leetcode.com/problems/encrypt-and-decrypt-strings</t>
  </si>
  <si>
    <t xml:space="preserve"> Maximum Number of Non-overlapping Palindrome Substrings</t>
  </si>
  <si>
    <t>https://leetcode.com/problems/maximum-number-of-non-overlapping-palindrome-substrings</t>
  </si>
  <si>
    <t xml:space="preserve"> Stone Game V</t>
  </si>
  <si>
    <t>https://leetcode.com/problems/stone-game-v</t>
  </si>
  <si>
    <t xml:space="preserve"> Closest Subsequence Sum</t>
  </si>
  <si>
    <t>https://leetcode.com/problems/closest-subsequence-sum</t>
  </si>
  <si>
    <t xml:space="preserve"> Expression Add Operators</t>
  </si>
  <si>
    <t>https://leetcode.com/problems/expression-add-operators</t>
  </si>
  <si>
    <t>https://leetcode.com/problems/expression-add-operators/solution</t>
  </si>
  <si>
    <t xml:space="preserve"> Binary Tree Maximum Path Sum</t>
  </si>
  <si>
    <t>https://leetcode.com/problems/binary-tree-maximum-path-sum</t>
  </si>
  <si>
    <t>https://leetcode.com/problems/binary-tree-maximum-path-sum/solution</t>
  </si>
  <si>
    <t xml:space="preserve"> Minimum Money Required Before Transactions</t>
  </si>
  <si>
    <t>https://leetcode.com/problems/minimum-money-required-before-transactions</t>
  </si>
  <si>
    <t xml:space="preserve"> Number of Paths with Max Score</t>
  </si>
  <si>
    <t>https://leetcode.com/problems/number-of-paths-with-max-score</t>
  </si>
  <si>
    <t xml:space="preserve"> First Missing Positive</t>
  </si>
  <si>
    <t>https://leetcode.com/problems/first-missing-positive</t>
  </si>
  <si>
    <t>https://leetcode.com/problems/first-missing-positive/solution</t>
  </si>
  <si>
    <t xml:space="preserve"> Minimum Swaps To Make Sequences Increasing</t>
  </si>
  <si>
    <t>https://leetcode.com/problems/minimum-swaps-to-make-sequences-increasing</t>
  </si>
  <si>
    <t>https://leetcode.com/problems/minimum-swaps-to-make-sequences-increasing/solution</t>
  </si>
  <si>
    <t xml:space="preserve"> Odd Even Jump</t>
  </si>
  <si>
    <t>https://leetcode.com/problems/odd-even-jump</t>
  </si>
  <si>
    <t>https://leetcode.com/problems/odd-even-jump/solution</t>
  </si>
  <si>
    <t xml:space="preserve"> Course Schedule III</t>
  </si>
  <si>
    <t>https://leetcode.com/problems/course-schedule-iii</t>
  </si>
  <si>
    <t>https://leetcode.com/problems/course-schedule-iii/solution</t>
  </si>
  <si>
    <t xml:space="preserve"> Minimum Number of Refueling Stops</t>
  </si>
  <si>
    <t>https://leetcode.com/problems/minimum-number-of-refueling-stops</t>
  </si>
  <si>
    <t>https://leetcode.com/problems/minimum-number-of-refueling-stops/solution</t>
  </si>
  <si>
    <t xml:space="preserve"> Count Pairs Of Nodes</t>
  </si>
  <si>
    <t>https://leetcode.com/problems/count-pairs-of-nodes</t>
  </si>
  <si>
    <t xml:space="preserve"> Minimum Possible Integer After at Most K Adjacent Swaps On Digits</t>
  </si>
  <si>
    <t>https://leetcode.com/problems/minimum-possible-integer-after-at-most-k-adjacent-swaps-on-digits</t>
  </si>
  <si>
    <t xml:space="preserve"> Find the Maximum Number of Fruits Collected</t>
  </si>
  <si>
    <t>https://leetcode.com/problems/find-the-maximum-number-of-fruits-collected</t>
  </si>
  <si>
    <t xml:space="preserve"> Shortest Palindrome</t>
  </si>
  <si>
    <t>https://leetcode.com/problems/shortest-palindrome</t>
  </si>
  <si>
    <t>https://leetcode.com/problems/shortest-palindrome/solution</t>
  </si>
  <si>
    <t xml:space="preserve"> Find in Mountain Array</t>
  </si>
  <si>
    <t>https://leetcode.com/problems/find-in-mountain-array</t>
  </si>
  <si>
    <t>Interactive</t>
  </si>
  <si>
    <t>https://leetcode.com/problems/find-in-mountain-array/solution</t>
  </si>
  <si>
    <t xml:space="preserve"> Maximize Grid Happiness</t>
  </si>
  <si>
    <t>https://leetcode.com/problems/maximize-grid-happiness</t>
  </si>
  <si>
    <t xml:space="preserve"> Recover the Original Array</t>
  </si>
  <si>
    <t>https://leetcode.com/problems/recover-the-original-array</t>
  </si>
  <si>
    <t xml:space="preserve"> Non-negative Integers without Consecutive Ones</t>
  </si>
  <si>
    <t>https://leetcode.com/problems/non-negative-integers-without-consecutive-ones</t>
  </si>
  <si>
    <t>https://leetcode.com/problems/non-negative-integers-without-consecutive-ones/solution</t>
  </si>
  <si>
    <t xml:space="preserve"> Three Equal Parts</t>
  </si>
  <si>
    <t>https://leetcode.com/problems/three-equal-parts</t>
  </si>
  <si>
    <t>https://leetcode.com/problems/three-equal-parts/solution</t>
  </si>
  <si>
    <t xml:space="preserve"> Maximum Number of Groups Getting Fresh Donuts</t>
  </si>
  <si>
    <t>https://leetcode.com/problems/maximum-number-of-groups-getting-fresh-donuts</t>
  </si>
  <si>
    <t xml:space="preserve"> Replace Non-Coprime Numbers in Array</t>
  </si>
  <si>
    <t>https://leetcode.com/problems/replace-non-coprime-numbers-in-array</t>
  </si>
  <si>
    <t xml:space="preserve"> K-Similar Strings</t>
  </si>
  <si>
    <t>https://leetcode.com/problems/k-similar-strings</t>
  </si>
  <si>
    <t>https://leetcode.com/problems/k-similar-strings/solution</t>
  </si>
  <si>
    <t xml:space="preserve"> Maximum Number of Non-Overlapping Substrings</t>
  </si>
  <si>
    <t>https://leetcode.com/problems/maximum-number-of-non-overlapping-substrings</t>
  </si>
  <si>
    <t xml:space="preserve"> Make the XOR of All Segments Equal to Zero</t>
  </si>
  <si>
    <t>https://leetcode.com/problems/make-the-xor-of-all-segments-equal-to-zero</t>
  </si>
  <si>
    <t xml:space="preserve"> Count the Number of Incremovable Subarrays II</t>
  </si>
  <si>
    <t>https://leetcode.com/problems/count-the-number-of-incremovable-subarrays-ii</t>
  </si>
  <si>
    <t xml:space="preserve"> Get the Maximum Score</t>
  </si>
  <si>
    <t>https://leetcode.com/problems/get-the-maximum-score</t>
  </si>
  <si>
    <t xml:space="preserve"> Distribute Repeating Integers</t>
  </si>
  <si>
    <t>https://leetcode.com/problems/distribute-repeating-integers</t>
  </si>
  <si>
    <t xml:space="preserve"> Minimum Incompatibility</t>
  </si>
  <si>
    <t>https://leetcode.com/problems/minimum-incompatibility</t>
  </si>
  <si>
    <t xml:space="preserve"> Cat and Mouse II</t>
  </si>
  <si>
    <t>https://leetcode.com/problems/cat-and-mouse-ii</t>
  </si>
  <si>
    <t xml:space="preserve"> Count Special Integers</t>
  </si>
  <si>
    <t>https://leetcode.com/problems/count-special-integers</t>
  </si>
  <si>
    <t xml:space="preserve"> Create Sorted Array through Instructions</t>
  </si>
  <si>
    <t>https://leetcode.com/problems/create-sorted-array-through-instructions</t>
  </si>
  <si>
    <t>https://leetcode.com/problems/create-sorted-array-through-instructions/solution</t>
  </si>
  <si>
    <t xml:space="preserve"> Smallest K-Length Subsequence With Occurrences of a Letter</t>
  </si>
  <si>
    <t>https://leetcode.com/problems/smallest-k-length-subsequence-with-occurrences-of-a-letter</t>
  </si>
  <si>
    <t xml:space="preserve">  Check if There Is a Valid Parentheses String Path</t>
  </si>
  <si>
    <t>https://leetcode.com/problems/check-if-there-is-a-valid-parentheses-string-path</t>
  </si>
  <si>
    <t xml:space="preserve"> Find the K-Sum of an Array</t>
  </si>
  <si>
    <t>https://leetcode.com/problems/find-the-k-sum-of-an-array</t>
  </si>
  <si>
    <t xml:space="preserve"> Super Palindromes</t>
  </si>
  <si>
    <t>https://leetcode.com/problems/super-palindromes</t>
  </si>
  <si>
    <t>https://leetcode.com/problems/super-palindromes/solution</t>
  </si>
  <si>
    <t xml:space="preserve"> Closest Room</t>
  </si>
  <si>
    <t>https://leetcode.com/problems/closest-room</t>
  </si>
  <si>
    <t xml:space="preserve"> Minimum Cost to Reach Destination in Time</t>
  </si>
  <si>
    <t>https://leetcode.com/problems/minimum-cost-to-reach-destination-in-time</t>
  </si>
  <si>
    <t xml:space="preserve"> Maximum Number of Points From Grid Queries</t>
  </si>
  <si>
    <t>https://leetcode.com/problems/maximum-number-of-points-from-grid-queries</t>
  </si>
  <si>
    <t xml:space="preserve"> Tag Validator</t>
  </si>
  <si>
    <t>https://leetcode.com/problems/tag-validator</t>
  </si>
  <si>
    <t>https://leetcode.com/problems/tag-validator/solution</t>
  </si>
  <si>
    <t xml:space="preserve"> Delivering Boxes from Storage to Ports</t>
  </si>
  <si>
    <t>https://leetcode.com/problems/delivering-boxes-from-storage-to-ports</t>
  </si>
  <si>
    <t xml:space="preserve"> Next Greater Element IV</t>
  </si>
  <si>
    <t>https://leetcode.com/problems/next-greater-element-iv</t>
  </si>
  <si>
    <t xml:space="preserve"> Dungeon Game</t>
  </si>
  <si>
    <t>https://leetcode.com/problems/dungeon-game</t>
  </si>
  <si>
    <t>https://leetcode.com/problems/dungeon-game/solution</t>
  </si>
  <si>
    <t xml:space="preserve"> Lexicographically Smallest Beautiful String</t>
  </si>
  <si>
    <t>https://leetcode.com/problems/lexicographically-smallest-beautiful-string</t>
  </si>
  <si>
    <t xml:space="preserve"> Maximum Frequency of an Element After Performing Operations II</t>
  </si>
  <si>
    <t>https://leetcode.com/problems/maximum-frequency-of-an-element-after-performing-operations-ii</t>
  </si>
  <si>
    <t xml:space="preserve"> Sliding Window Median</t>
  </si>
  <si>
    <t>https://leetcode.com/problems/sliding-window-median</t>
  </si>
  <si>
    <t>https://leetcode.com/problems/sliding-window-median/solution</t>
  </si>
  <si>
    <t xml:space="preserve"> Minimum Operations to Make the Array K-Increasing</t>
  </si>
  <si>
    <t>https://leetcode.com/problems/minimum-operations-to-make-the-array-k-increasing</t>
  </si>
  <si>
    <t xml:space="preserve"> Find the Number of Subsequences With Equal GCD</t>
  </si>
  <si>
    <t>https://leetcode.com/problems/find-the-number-of-subsequences-with-equal-gcd</t>
  </si>
  <si>
    <t xml:space="preserve"> Maximum Number of Darts Inside of a Circular Dartboard</t>
  </si>
  <si>
    <t>https://leetcode.com/problems/maximum-number-of-darts-inside-of-a-circular-dartboard</t>
  </si>
  <si>
    <t xml:space="preserve"> Maximum Score of a Node Sequence</t>
  </si>
  <si>
    <t>https://leetcode.com/problems/maximum-score-of-a-node-sequence</t>
  </si>
  <si>
    <t xml:space="preserve"> Sum of Subsequence Widths</t>
  </si>
  <si>
    <t>https://leetcode.com/problems/sum-of-subsequence-widths</t>
  </si>
  <si>
    <t>https://leetcode.com/problems/sum-of-subsequence-widths/solution</t>
  </si>
  <si>
    <t xml:space="preserve"> Count Palindromic Subsequences</t>
  </si>
  <si>
    <t>https://leetcode.com/problems/count-palindromic-subsequences</t>
  </si>
  <si>
    <t xml:space="preserve"> Minimum Amount of Damage Dealt to Bob</t>
  </si>
  <si>
    <t>https://leetcode.com/problems/minimum-amount-of-damage-dealt-to-bob</t>
  </si>
  <si>
    <t xml:space="preserve"> Minimum Time to Complete All Tasks</t>
  </si>
  <si>
    <t>https://leetcode.com/problems/minimum-time-to-complete-all-tasks</t>
  </si>
  <si>
    <t xml:space="preserve"> Minimum Operations to Make Array Equal to Target</t>
  </si>
  <si>
    <t>https://leetcode.com/problems/minimum-operations-to-make-array-equal-to-target</t>
  </si>
  <si>
    <t xml:space="preserve"> Guess the Word</t>
  </si>
  <si>
    <t>https://leetcode.com/problems/guess-the-word</t>
  </si>
  <si>
    <t xml:space="preserve"> Minimum Skips to Arrive at Meeting On Time</t>
  </si>
  <si>
    <t>https://leetcode.com/problems/minimum-skips-to-arrive-at-meeting-on-time</t>
  </si>
  <si>
    <t xml:space="preserve"> Length of the Longest Valid Substring</t>
  </si>
  <si>
    <t>https://leetcode.com/problems/length-of-the-longest-valid-substring</t>
  </si>
  <si>
    <t xml:space="preserve"> Finding MK Average</t>
  </si>
  <si>
    <t>https://leetcode.com/problems/finding-mk-average</t>
  </si>
  <si>
    <t xml:space="preserve"> Longest Common Suffix Queries</t>
  </si>
  <si>
    <t>https://leetcode.com/problems/longest-common-suffix-queries</t>
  </si>
  <si>
    <t xml:space="preserve"> Grid Illumination</t>
  </si>
  <si>
    <t>https://leetcode.com/problems/grid-illumination</t>
  </si>
  <si>
    <t xml:space="preserve"> Cherry Pickup</t>
  </si>
  <si>
    <t>https://leetcode.com/problems/cherry-pickup</t>
  </si>
  <si>
    <t>https://leetcode.com/problems/cherry-pickup/solution</t>
  </si>
  <si>
    <t xml:space="preserve"> Minimum Weighted Subgraph With the Required Paths</t>
  </si>
  <si>
    <t>https://leetcode.com/problems/minimum-weighted-subgraph-with-the-required-paths</t>
  </si>
  <si>
    <t xml:space="preserve"> Find the Number of Possible Ways for an Event</t>
  </si>
  <si>
    <t>https://leetcode.com/problems/find-the-number-of-possible-ways-for-an-event</t>
  </si>
  <si>
    <t xml:space="preserve"> Maximum Number of Visible Points</t>
  </si>
  <si>
    <t>https://leetcode.com/problems/maximum-number-of-visible-points</t>
  </si>
  <si>
    <t xml:space="preserve"> Minimum White Tiles After Covering With Carpets</t>
  </si>
  <si>
    <t>https://leetcode.com/problems/minimum-white-tiles-after-covering-with-carpets</t>
  </si>
  <si>
    <t xml:space="preserve"> Maximum Equal Frequency</t>
  </si>
  <si>
    <t>https://leetcode.com/problems/maximum-equal-frequency</t>
  </si>
  <si>
    <t xml:space="preserve"> Russian Doll Envelopes</t>
  </si>
  <si>
    <t>https://leetcode.com/problems/russian-doll-envelopes</t>
  </si>
  <si>
    <t>https://leetcode.com/problems/russian-doll-envelopes/solution</t>
  </si>
  <si>
    <t xml:space="preserve"> Count the Number of Arrays with K Matching Adjacent Elements</t>
  </si>
  <si>
    <t>https://leetcode.com/problems/count-the-number-of-arrays-with-k-matching-adjacent-elements</t>
  </si>
  <si>
    <t xml:space="preserve"> Apply Operations to Maximize Frequency Score</t>
  </si>
  <si>
    <t>https://leetcode.com/problems/apply-operations-to-maximize-frequency-score</t>
  </si>
  <si>
    <t xml:space="preserve"> Word Search II</t>
  </si>
  <si>
    <t>https://leetcode.com/problems/word-search-ii</t>
  </si>
  <si>
    <t>https://leetcode.com/problems/word-search-ii/solution</t>
  </si>
  <si>
    <t xml:space="preserve"> Maximize Palindrome Length From Subsequences</t>
  </si>
  <si>
    <t>https://leetcode.com/problems/maximize-palindrome-length-from-subsequences</t>
  </si>
  <si>
    <t xml:space="preserve"> Trips and Users</t>
  </si>
  <si>
    <t>https://leetcode.com/problems/trips-and-users</t>
  </si>
  <si>
    <t>https://leetcode.com/problems/trips-and-users/solution</t>
  </si>
  <si>
    <t xml:space="preserve"> Maximum Building Height</t>
  </si>
  <si>
    <t>https://leetcode.com/problems/maximum-building-height</t>
  </si>
  <si>
    <t xml:space="preserve"> Design Movie Rental System</t>
  </si>
  <si>
    <t>https://leetcode.com/problems/design-movie-rental-system</t>
  </si>
  <si>
    <t xml:space="preserve"> Merge BSTs to Create Single BST</t>
  </si>
  <si>
    <t>https://leetcode.com/problems/merge-bsts-to-create-single-bst</t>
  </si>
  <si>
    <t xml:space="preserve"> Shortest Cycle in a Graph</t>
  </si>
  <si>
    <t>https://leetcode.com/problems/shortest-cycle-in-a-graph</t>
  </si>
  <si>
    <t xml:space="preserve"> Find the Sum of the Power of All Subsequences</t>
  </si>
  <si>
    <t>https://leetcode.com/problems/find-the-sum-of-the-power-of-all-subsequences</t>
  </si>
  <si>
    <t xml:space="preserve"> Count of Range Sum</t>
  </si>
  <si>
    <t>https://leetcode.com/problems/count-of-range-sum</t>
  </si>
  <si>
    <t xml:space="preserve"> Find Number of Coins to Place in Tree Nodes</t>
  </si>
  <si>
    <t>https://leetcode.com/problems/find-number-of-coins-to-place-in-tree-nodes</t>
  </si>
  <si>
    <t xml:space="preserve"> Maximum Fruits Harvested After at Most K Steps</t>
  </si>
  <si>
    <t>https://leetcode.com/problems/maximum-fruits-harvested-after-at-most-k-steps</t>
  </si>
  <si>
    <t xml:space="preserve"> Construct Target Array With Multiple Sums</t>
  </si>
  <si>
    <t>https://leetcode.com/problems/construct-target-array-with-multiple-sums</t>
  </si>
  <si>
    <t>https://leetcode.com/problems/construct-target-array-with-multiple-sums/solution</t>
  </si>
  <si>
    <t xml:space="preserve"> Maximum Points After Collecting Coins From All Nodes</t>
  </si>
  <si>
    <t>https://leetcode.com/problems/maximum-points-after-collecting-coins-from-all-nodes</t>
  </si>
  <si>
    <t xml:space="preserve"> Collect Coins in a Tree</t>
  </si>
  <si>
    <t>https://leetcode.com/problems/collect-coins-in-a-tree</t>
  </si>
  <si>
    <t xml:space="preserve"> Find Number of Ways to Reach the K-th Stair</t>
  </si>
  <si>
    <t>https://leetcode.com/problems/find-number-of-ways-to-reach-the-k-th-stair</t>
  </si>
  <si>
    <t xml:space="preserve"> Palindrome Pairs</t>
  </si>
  <si>
    <t>https://leetcode.com/problems/palindrome-pairs</t>
  </si>
  <si>
    <t>https://leetcode.com/problems/palindrome-pairs/solution</t>
  </si>
  <si>
    <t xml:space="preserve"> Maximum Number of Robots Within Budget</t>
  </si>
  <si>
    <t>https://leetcode.com/problems/maximum-number-of-robots-within-budget</t>
  </si>
  <si>
    <t xml:space="preserve"> Escape the Spreading Fire</t>
  </si>
  <si>
    <t>https://leetcode.com/problems/escape-the-spreading-fire</t>
  </si>
  <si>
    <t xml:space="preserve"> Find the Minimum Area to Cover All Ones II</t>
  </si>
  <si>
    <t>https://leetcode.com/problems/find-the-minimum-area-to-cover-all-ones-ii</t>
  </si>
  <si>
    <t xml:space="preserve"> Insert Delete GetRandom O(1) - Duplicates allowed</t>
  </si>
  <si>
    <t>https://leetcode.com/problems/insert-delete-getrandom-o1-duplicates-allowed</t>
  </si>
  <si>
    <t>https://leetcode.com/problems/insert-delete-getrandom-o1-duplicates-allowed/solution</t>
  </si>
  <si>
    <t xml:space="preserve"> Frog Position After T Seconds</t>
  </si>
  <si>
    <t>https://leetcode.com/problems/frog-position-after-t-seconds</t>
  </si>
  <si>
    <t xml:space="preserve"> Count Integers in Intervals</t>
  </si>
  <si>
    <t>https://leetcode.com/problems/count-integers-in-intervals</t>
  </si>
  <si>
    <t xml:space="preserve"> Nth Magical Number</t>
  </si>
  <si>
    <t>https://leetcode.com/problems/nth-magical-number</t>
  </si>
  <si>
    <t>https://leetcode.com/problems/nth-magical-number/solution</t>
  </si>
  <si>
    <t xml:space="preserve"> The Number of Good Subsets</t>
  </si>
  <si>
    <t>https://leetcode.com/problems/the-number-of-good-subsets</t>
  </si>
  <si>
    <t xml:space="preserve"> Minimum Changes to Make K Semi-palindromes</t>
  </si>
  <si>
    <t>https://leetcode.com/problems/minimum-changes-to-make-k-semi-palindromes</t>
  </si>
  <si>
    <t xml:space="preserve"> Longest Valid Parentheses</t>
  </si>
  <si>
    <t>https://leetcode.com/problems/longest-valid-parentheses</t>
  </si>
  <si>
    <t>https://leetcode.com/problems/longest-valid-parentheses/solution</t>
  </si>
  <si>
    <t xml:space="preserve"> Number of Digit One</t>
  </si>
  <si>
    <t>https://leetcode.com/problems/number-of-digit-one</t>
  </si>
  <si>
    <t>https://leetcode.com/problems/number-of-digit-one/solution</t>
  </si>
  <si>
    <t xml:space="preserve"> Minimum Number of Days to Eat N Oranges</t>
  </si>
  <si>
    <t>https://leetcode.com/problems/minimum-number-of-days-to-eat-n-oranges</t>
  </si>
  <si>
    <t xml:space="preserve"> Count the Number of Infection Sequences</t>
  </si>
  <si>
    <t>https://leetcode.com/problems/count-the-number-of-infection-sequences</t>
  </si>
  <si>
    <t xml:space="preserve"> Kth Ancestor of a Tree Node</t>
  </si>
  <si>
    <t>https://leetcode.com/problems/kth-ancestor-of-a-tree-node</t>
  </si>
  <si>
    <t xml:space="preserve"> Count Valid Paths in a Tree</t>
  </si>
  <si>
    <t>https://leetcode.com/problems/count-valid-paths-in-a-tree</t>
  </si>
  <si>
    <t xml:space="preserve"> Bricks Falling When Hit</t>
  </si>
  <si>
    <t>https://leetcode.com/problems/bricks-falling-when-hit</t>
  </si>
  <si>
    <t>https://leetcode.com/problems/bricks-falling-when-hit/solution</t>
  </si>
  <si>
    <t xml:space="preserve"> Escape a Large Maze</t>
  </si>
  <si>
    <t>https://leetcode.com/problems/escape-a-large-maze</t>
  </si>
  <si>
    <t xml:space="preserve"> Count of Integers</t>
  </si>
  <si>
    <t>https://leetcode.com/problems/count-of-integers</t>
  </si>
  <si>
    <t xml:space="preserve"> Manhattan Distances of All Arrangements of Pieces</t>
  </si>
  <si>
    <t>https://leetcode.com/problems/manhattan-distances-of-all-arrangements-of-pieces</t>
  </si>
  <si>
    <t xml:space="preserve"> Cut Off Trees for Golf Event</t>
  </si>
  <si>
    <t>https://leetcode.com/problems/cut-off-trees-for-golf-event</t>
  </si>
  <si>
    <t>https://leetcode.com/problems/cut-off-trees-for-golf-event/solution</t>
  </si>
  <si>
    <t xml:space="preserve"> Minimum Time to Revert Word to Initial State II</t>
  </si>
  <si>
    <t>https://leetcode.com/problems/minimum-time-to-revert-word-to-initial-state-ii</t>
  </si>
  <si>
    <t xml:space="preserve"> Palindrome Partitioning II</t>
  </si>
  <si>
    <t>https://leetcode.com/problems/palindrome-partitioning-ii</t>
  </si>
  <si>
    <t>https://leetcode.com/problems/palindrome-partitioning-ii/solution</t>
  </si>
  <si>
    <t xml:space="preserve"> Redundant Connection II</t>
  </si>
  <si>
    <t>https://leetcode.com/problems/redundant-connection-ii</t>
  </si>
  <si>
    <t>https://leetcode.com/problems/redundant-connection-ii/solution</t>
  </si>
  <si>
    <t xml:space="preserve"> Perfect Rectangle</t>
  </si>
  <si>
    <t>https://leetcode.com/problems/perfect-rectangle</t>
  </si>
  <si>
    <t xml:space="preserve"> Verbal Arithmetic Puzzle</t>
  </si>
  <si>
    <t>https://leetcode.com/problems/verbal-arithmetic-puzzle</t>
  </si>
  <si>
    <t xml:space="preserve"> Best Position for a Service Centre</t>
  </si>
  <si>
    <t>https://leetcode.com/problems/best-position-for-a-service-centre</t>
  </si>
  <si>
    <t xml:space="preserve"> Maximum Number of Ways to Partition an Array</t>
  </si>
  <si>
    <t>https://leetcode.com/problems/maximum-number-of-ways-to-partition-an-array</t>
  </si>
  <si>
    <t xml:space="preserve"> Count Anagrams</t>
  </si>
  <si>
    <t>https://leetcode.com/problems/count-anagrams</t>
  </si>
  <si>
    <t xml:space="preserve"> Largest Palindrome Product</t>
  </si>
  <si>
    <t>https://leetcode.com/problems/largest-palindrome-product</t>
  </si>
  <si>
    <t xml:space="preserve"> Last Substring in Lexicographical Order</t>
  </si>
  <si>
    <t>https://leetcode.com/problems/last-substring-in-lexicographical-order</t>
  </si>
  <si>
    <t xml:space="preserve"> Rearranging Fruits</t>
  </si>
  <si>
    <t>https://leetcode.com/problems/rearranging-fruits</t>
  </si>
  <si>
    <t xml:space="preserve"> Maximum Deletions on a String</t>
  </si>
  <si>
    <t>https://leetcode.com/problems/maximum-deletions-on-a-string</t>
  </si>
  <si>
    <t xml:space="preserve"> Integer to English Words</t>
  </si>
  <si>
    <t>https://leetcode.com/problems/integer-to-english-words</t>
  </si>
  <si>
    <t>https://leetcode.com/problems/integer-to-english-words/solution</t>
  </si>
  <si>
    <t xml:space="preserve"> Maximize Number of Nice Divisors</t>
  </si>
  <si>
    <t>https://leetcode.com/problems/maximize-number-of-nice-divisors</t>
  </si>
  <si>
    <t xml:space="preserve"> Number of Subarrays With AND Value of K</t>
  </si>
  <si>
    <t>https://leetcode.com/problems/number-of-subarrays-with-and-value-of-k</t>
  </si>
  <si>
    <t xml:space="preserve"> Cat and Mouse</t>
  </si>
  <si>
    <t>https://leetcode.com/problems/cat-and-mouse</t>
  </si>
  <si>
    <t>https://leetcode.com/problems/cat-and-mouse/solution</t>
  </si>
  <si>
    <t xml:space="preserve"> Random Pick with Blacklist</t>
  </si>
  <si>
    <t>https://leetcode.com/problems/random-pick-with-blacklist</t>
  </si>
  <si>
    <t xml:space="preserve"> Maximum Number of Tasks You Can Assign</t>
  </si>
  <si>
    <t>https://leetcode.com/problems/maximum-number-of-tasks-you-can-assign</t>
  </si>
  <si>
    <t xml:space="preserve"> Count Increasing Quadruplets</t>
  </si>
  <si>
    <t>https://leetcode.com/problems/count-increasing-quadruplets</t>
  </si>
  <si>
    <t xml:space="preserve"> Reaching Points</t>
  </si>
  <si>
    <t>https://leetcode.com/problems/reaching-points</t>
  </si>
  <si>
    <t>https://leetcode.com/problems/reaching-points/solution</t>
  </si>
  <si>
    <t xml:space="preserve"> The Score of Students Solving Math Expression</t>
  </si>
  <si>
    <t>https://leetcode.com/problems/the-score-of-students-solving-math-expression</t>
  </si>
  <si>
    <t xml:space="preserve"> Add Edges to Make Degrees of All Nodes Even</t>
  </si>
  <si>
    <t>https://leetcode.com/problems/add-edges-to-make-degrees-of-all-nodes-even</t>
  </si>
  <si>
    <t xml:space="preserve"> Count the Number of Inversions</t>
  </si>
  <si>
    <t>https://leetcode.com/problems/count-the-number-of-inversions</t>
  </si>
  <si>
    <t xml:space="preserve"> Substring with Concatenation of All Words</t>
  </si>
  <si>
    <t>https://leetcode.com/problems/substring-with-concatenation-of-all-words</t>
  </si>
  <si>
    <t>https://leetcode.com/problems/substring-with-concatenation-of-all-words/solution</t>
  </si>
  <si>
    <t xml:space="preserve"> Dinner Plate Stacks</t>
  </si>
  <si>
    <t>https://leetcode.com/problems/dinner-plate-stacks</t>
  </si>
  <si>
    <t xml:space="preserve"> Stamping the Grid</t>
  </si>
  <si>
    <t>https://leetcode.com/problems/stamping-the-grid</t>
  </si>
  <si>
    <t xml:space="preserve"> Maximize the Minimum Powered City</t>
  </si>
  <si>
    <t>https://leetcode.com/problems/maximize-the-minimum-powered-city</t>
  </si>
  <si>
    <t xml:space="preserve"> Count Visited Nodes in a Directed Graph</t>
  </si>
  <si>
    <t>https://leetcode.com/problems/count-visited-nodes-in-a-directed-graph</t>
  </si>
  <si>
    <t xml:space="preserve"> Largest Multiple of Three</t>
  </si>
  <si>
    <t>https://leetcode.com/problems/largest-multiple-of-three</t>
  </si>
  <si>
    <t xml:space="preserve"> Longest Substring of One Repeating Character</t>
  </si>
  <si>
    <t>https://leetcode.com/problems/longest-substring-of-one-repeating-character</t>
  </si>
  <si>
    <t xml:space="preserve"> Maximum Number of Moves to Kill All Pawns</t>
  </si>
  <si>
    <t>https://leetcode.com/problems/maximum-number-of-moves-to-kill-all-pawns</t>
  </si>
  <si>
    <t xml:space="preserve"> Total Characters in String After Transformations II</t>
  </si>
  <si>
    <t>https://leetcode.com/problems/total-characters-in-string-after-transformations-ii</t>
  </si>
  <si>
    <t xml:space="preserve"> Subsequence With the Minimum Score</t>
  </si>
  <si>
    <t>https://leetcode.com/problems/subsequence-with-the-minimum-score</t>
  </si>
  <si>
    <t xml:space="preserve"> Number of Great Partitions</t>
  </si>
  <si>
    <t>https://leetcode.com/problems/number-of-great-partitions</t>
  </si>
  <si>
    <t xml:space="preserve"> Shortest Subarray with Sum at Least K</t>
  </si>
  <si>
    <t>https://leetcode.com/problems/shortest-subarray-with-sum-at-least-k</t>
  </si>
  <si>
    <t>https://leetcode.com/problems/shortest-subarray-with-sum-at-least-k/solution</t>
  </si>
  <si>
    <t xml:space="preserve"> Minimum Space Wasted From Packaging</t>
  </si>
  <si>
    <t>https://leetcode.com/problems/minimum-space-wasted-from-packaging</t>
  </si>
  <si>
    <t xml:space="preserve"> Maximum Elegance of a K-Length Subsequence</t>
  </si>
  <si>
    <t>https://leetcode.com/problems/maximum-elegance-of-a-k-length-subsequence</t>
  </si>
  <si>
    <t xml:space="preserve"> Apply Operations to Maximize Score</t>
  </si>
  <si>
    <t>https://leetcode.com/problems/apply-operations-to-maximize-score</t>
  </si>
  <si>
    <t xml:space="preserve"> Number of Subarrays That Match a Pattern II</t>
  </si>
  <si>
    <t>https://leetcode.com/problems/number-of-subarrays-that-match-a-pattern-ii</t>
  </si>
  <si>
    <t xml:space="preserve"> Count The Number of Winning Sequences</t>
  </si>
  <si>
    <t>https://leetcode.com/problems/count-the-number-of-winning-sequences</t>
  </si>
  <si>
    <t xml:space="preserve"> Minimum Operations to Form Subsequence With Target Sum</t>
  </si>
  <si>
    <t>https://leetcode.com/problems/minimum-operations-to-form-subsequence-with-target-sum</t>
  </si>
  <si>
    <t xml:space="preserve"> Maximum Score of Non-overlapping Intervals</t>
  </si>
  <si>
    <t>https://leetcode.com/problems/maximum-score-of-non-overlapping-intervals</t>
  </si>
  <si>
    <t xml:space="preserve"> Zuma Game</t>
  </si>
  <si>
    <t>https://leetcode.com/problems/zuma-game</t>
  </si>
  <si>
    <t xml:space="preserve"> Number of Beautiful Partitions</t>
  </si>
  <si>
    <t>https://leetcode.com/problems/number-of-beautiful-partitions</t>
  </si>
  <si>
    <t xml:space="preserve"> Difference Between Maximum and Minimum Price Sum</t>
  </si>
  <si>
    <t>https://leetcode.com/problems/difference-between-maximum-and-minimum-price-sum</t>
  </si>
  <si>
    <t xml:space="preserve"> Maximum Product of the Length of Two Palindromic Substrings</t>
  </si>
  <si>
    <t>https://leetcode.com/problems/maximum-product-of-the-length-of-two-palindromic-substrings</t>
  </si>
  <si>
    <t>Hash Function</t>
  </si>
  <si>
    <t xml:space="preserve"> Memoize II</t>
  </si>
  <si>
    <t>https://leetcode.com/problems/memoize-ii</t>
  </si>
  <si>
    <t>https://leetcode.com/problems/memoize-ii/solution</t>
  </si>
  <si>
    <t xml:space="preserve"> Create Maximum Number</t>
  </si>
  <si>
    <t>https://leetcode.com/problems/create-maximum-number</t>
  </si>
  <si>
    <t xml:space="preserve"> Reverse Pairs</t>
  </si>
  <si>
    <t>https://leetcode.com/problems/reverse-pairs</t>
  </si>
  <si>
    <t>https://leetcode.com/problems/reverse-pairs/solution</t>
  </si>
  <si>
    <t xml:space="preserve"> Find the Closest Palindrome</t>
  </si>
  <si>
    <t>https://leetcode.com/problems/find-the-closest-palindrome</t>
  </si>
  <si>
    <t>https://leetcode.com/problems/find-the-closest-palindrome/solution</t>
  </si>
  <si>
    <t xml:space="preserve"> Self Crossing</t>
  </si>
  <si>
    <t>https://leetcode.com/problems/self-crossing</t>
  </si>
  <si>
    <t xml:space="preserve"> Minimize Manhattan Distances</t>
  </si>
  <si>
    <t>https://leetcode.com/problems/minimize-manhattan-distances</t>
  </si>
  <si>
    <t xml:space="preserve"> Count The Repetitions</t>
  </si>
  <si>
    <t>https://leetcode.com/problems/count-the-repetitions</t>
  </si>
  <si>
    <t>https://leetcode.com/problems/count-the-repetitions/solution</t>
  </si>
  <si>
    <t xml:space="preserve"> Decode Ways II</t>
  </si>
  <si>
    <t>https://leetcode.com/problems/decode-ways-ii</t>
  </si>
  <si>
    <t>https://leetcode.com/problems/decode-ways-ii/solution</t>
  </si>
  <si>
    <t xml:space="preserve"> Find the String with LCP</t>
  </si>
  <si>
    <t>https://leetcode.com/problems/find-the-string-with-lcp</t>
  </si>
  <si>
    <t xml:space="preserve"> Power of Heroes</t>
  </si>
  <si>
    <t>https://leetcode.com/problems/power-of-heroes</t>
  </si>
  <si>
    <t xml:space="preserve"> Maximize Value of Function in a Ball Passing Game</t>
  </si>
  <si>
    <t>https://leetcode.com/problems/maximize-value-of-function-in-a-ball-passing-game</t>
  </si>
  <si>
    <t xml:space="preserve"> Maximize Consecutive Elements in an Array After Modification</t>
  </si>
  <si>
    <t>https://leetcode.com/problems/maximize-consecutive-elements-in-an-array-after-modification</t>
  </si>
  <si>
    <t xml:space="preserve"> Divide an Array Into Subarrays With Minimum Cost II</t>
  </si>
  <si>
    <t>https://leetcode.com/problems/divide-an-array-into-subarrays-with-minimum-cost-ii</t>
  </si>
  <si>
    <t xml:space="preserve"> Find the Count of Good Integers</t>
  </si>
  <si>
    <t>https://leetcode.com/problems/find-the-count-of-good-integers</t>
  </si>
  <si>
    <t xml:space="preserve"> Longest Duplicate Substring</t>
  </si>
  <si>
    <t>https://leetcode.com/problems/longest-duplicate-substring</t>
  </si>
  <si>
    <t>https://leetcode.com/problems/longest-duplicate-substring/solution</t>
  </si>
  <si>
    <t xml:space="preserve"> Maximum Strictly Increasing Cells in a Matrix</t>
  </si>
  <si>
    <t>https://leetcode.com/problems/maximum-strictly-increasing-cells-in-a-matrix</t>
  </si>
  <si>
    <t xml:space="preserve"> Minimize OR of Remaining Elements Using Operations</t>
  </si>
  <si>
    <t>https://leetcode.com/problems/minimize-or-of-remaining-elements-using-operations</t>
  </si>
  <si>
    <t xml:space="preserve"> Construct 2D Grid Matching Graph Layout</t>
  </si>
  <si>
    <t>https://leetcode.com/problems/construct-2d-grid-matching-graph-layout</t>
  </si>
  <si>
    <t xml:space="preserve"> String Transformation</t>
  </si>
  <si>
    <t>https://leetcode.com/problems/string-transformation</t>
  </si>
  <si>
    <t xml:space="preserve"> Find Subarray With Bitwise OR Closest to K</t>
  </si>
  <si>
    <t>https://leetcode.com/problems/find-subarray-with-bitwise-or-closest-to-k</t>
  </si>
  <si>
    <t xml:space="preserve"> Maximum Strong Pair XOR II</t>
  </si>
  <si>
    <t>https://leetcode.com/problems/maximum-strong-pair-xor-ii</t>
  </si>
  <si>
    <t xml:space="preserve"> Find the Number of Subarrays Where Boundary Elements Are Maximum</t>
  </si>
  <si>
    <t>https://leetcode.com/problems/find-the-number-of-subarrays-where-boundary-elements-are-maximum</t>
  </si>
  <si>
    <t xml:space="preserve"> Find the K-th Character in String Game II</t>
  </si>
  <si>
    <t>https://leetcode.com/problems/find-the-k-th-character-in-string-game-ii</t>
  </si>
  <si>
    <t xml:space="preserve"> Maximum Total Beauty of the Gardens</t>
  </si>
  <si>
    <t>https://leetcode.com/problems/maximum-total-beauty-of-the-gardens</t>
  </si>
  <si>
    <t xml:space="preserve"> Sum of Good Subsequences</t>
  </si>
  <si>
    <t>https://leetcode.com/problems/sum-of-good-subsequences</t>
  </si>
  <si>
    <t xml:space="preserve"> Count Array Pairs Divisible by K</t>
  </si>
  <si>
    <t>https://leetcode.com/problems/count-array-pairs-divisible-by-k</t>
  </si>
  <si>
    <t xml:space="preserve"> Maximize Sum of Weights after Edge Removals</t>
  </si>
  <si>
    <t>https://leetcode.com/problems/maximize-sum-of-weights-after-edge-removals</t>
  </si>
  <si>
    <t xml:space="preserve"> Kth Smallest Product of Two Sorted Arrays</t>
  </si>
  <si>
    <t>https://leetcode.com/problems/kth-smallest-product-of-two-sorted-arrays</t>
  </si>
  <si>
    <t xml:space="preserve"> Maximum Sum Queries</t>
  </si>
  <si>
    <t>https://leetcode.com/problems/maximum-sum-queries</t>
  </si>
  <si>
    <t xml:space="preserve"> Count K-Subsequences of a String With Maximum Beauty</t>
  </si>
  <si>
    <t>https://leetcode.com/problems/count-k-subsequences-of-a-string-with-maximum-beauty</t>
  </si>
  <si>
    <t xml:space="preserve"> Parallel Courses II</t>
  </si>
  <si>
    <t>https://leetcode.com/problems/parallel-courses-ii</t>
  </si>
  <si>
    <t xml:space="preserve"> Wildcard Matching</t>
  </si>
  <si>
    <t>https://leetcode.com/problems/wildcard-matching</t>
  </si>
  <si>
    <t>https://leetcode.com/problems/wildcard-matching/solution</t>
  </si>
  <si>
    <t xml:space="preserve"> Sum of Floored Pairs</t>
  </si>
  <si>
    <t>https://leetcode.com/problems/sum-of-floored-pairs</t>
  </si>
  <si>
    <t xml:space="preserve"> Regular Expression Matching</t>
  </si>
  <si>
    <t>https://leetcode.com/problems/regular-expression-matching</t>
  </si>
  <si>
    <t>https://leetcode.com/problems/regular-expression-matching/solution</t>
  </si>
  <si>
    <t xml:space="preserve"> Handling Sum Queries After Update</t>
  </si>
  <si>
    <t>https://leetcode.com/problems/handling-sum-queries-after-update</t>
  </si>
  <si>
    <t xml:space="preserve"> Longest Common Subpath</t>
  </si>
  <si>
    <t>https://leetcode.com/problems/longest-common-subpath</t>
  </si>
  <si>
    <t xml:space="preserve"> Find the Median of the Uniqueness Array</t>
  </si>
  <si>
    <t>https://leetcode.com/problems/find-the-median-of-the-uniqueness-array</t>
  </si>
  <si>
    <t xml:space="preserve"> Count K-Reducible Numbers Less Than N</t>
  </si>
  <si>
    <t>https://leetcode.com/problems/count-k-reducible-numbers-less-than-n</t>
  </si>
  <si>
    <t xml:space="preserve"> Count Connected Components in LCM Graph</t>
  </si>
  <si>
    <t>https://leetcode.com/problems/count-connected-components-in-lcm-graph</t>
  </si>
  <si>
    <t xml:space="preserve"> Super Egg Drop</t>
  </si>
  <si>
    <t>https://leetcode.com/problems/super-egg-drop</t>
  </si>
  <si>
    <t>https://leetcode.com/problems/super-egg-drop/solution</t>
  </si>
  <si>
    <t xml:space="preserve"> Max Points on a Line</t>
  </si>
  <si>
    <t>https://leetcode.com/problems/max-points-on-a-line</t>
  </si>
  <si>
    <t>https://leetcode.com/problems/max-points-on-a-line/solution</t>
  </si>
  <si>
    <t xml:space="preserve"> Sum of Total Strength of Wizards</t>
  </si>
  <si>
    <t>https://leetcode.com/problems/sum-of-total-strength-of-wizards</t>
  </si>
  <si>
    <t>https://leetcode.com/problems/sum-of-total-strength-of-wizards/solution</t>
  </si>
  <si>
    <t xml:space="preserve"> Count Stepping Numbers in Range</t>
  </si>
  <si>
    <t>https://leetcode.com/problems/count-stepping-numbers-in-range</t>
  </si>
  <si>
    <t xml:space="preserve"> Count Complete Substrings</t>
  </si>
  <si>
    <t>https://leetcode.com/problems/count-complete-substrings</t>
  </si>
  <si>
    <t xml:space="preserve"> Count Prefix and Suffix Pairs II</t>
  </si>
  <si>
    <t>https://leetcode.com/problems/count-prefix-and-suffix-pairs-ii</t>
  </si>
  <si>
    <t xml:space="preserve"> Distribute Elements Into Two Arrays II</t>
  </si>
  <si>
    <t>https://leetcode.com/problems/distribute-elements-into-two-arrays-ii</t>
  </si>
  <si>
    <t xml:space="preserve"> Minimum Time to Make Array Sum At Most x</t>
  </si>
  <si>
    <t>https://leetcode.com/problems/minimum-time-to-make-array-sum-at-most-x</t>
  </si>
  <si>
    <t xml:space="preserve"> Count the Number of Ideal Arrays</t>
  </si>
  <si>
    <t>https://leetcode.com/problems/count-the-number-of-ideal-arrays</t>
  </si>
  <si>
    <t xml:space="preserve"> Minimum Sum of Values by Dividing Array</t>
  </si>
  <si>
    <t>https://leetcode.com/problems/minimum-sum-of-values-by-dividing-array</t>
  </si>
  <si>
    <t xml:space="preserve"> Maximize the Number of Partitions After Operations</t>
  </si>
  <si>
    <t>https://leetcode.com/problems/maximize-the-number-of-partitions-after-operations</t>
  </si>
  <si>
    <t xml:space="preserve"> Word Ladder II</t>
  </si>
  <si>
    <t>https://leetcode.com/problems/word-ladder-ii</t>
  </si>
  <si>
    <t>https://leetcode.com/problems/word-ladder-ii/solution</t>
  </si>
  <si>
    <t xml:space="preserve"> Maximum Strength of K Disjoint Subarrays</t>
  </si>
  <si>
    <t>https://leetcode.com/problems/maximum-strength-of-k-disjoint-subarrays</t>
  </si>
  <si>
    <t xml:space="preserve"> Maximum Value Sum by Placing Three Rooks II</t>
  </si>
  <si>
    <t>https://leetcode.com/problems/maximum-value-sum-by-placing-three-rooks-ii</t>
  </si>
  <si>
    <t xml:space="preserve"> Find All Possible Stable Binary Arrays II</t>
  </si>
  <si>
    <t>https://leetcode.com/problems/find-all-possible-stable-binary-arrays-ii</t>
  </si>
  <si>
    <t xml:space="preserve"> Count the Number of Powerful Integers</t>
  </si>
  <si>
    <t>https://leetcode.com/problems/count-the-number-of-powerful-integers</t>
  </si>
  <si>
    <t xml:space="preserve"> Groups of Strings</t>
  </si>
  <si>
    <t>https://leetcode.com/problems/groups-of-strings</t>
  </si>
  <si>
    <t xml:space="preserve"> Peaks in Array</t>
  </si>
  <si>
    <t>https://leetcode.com/problems/peaks-in-array</t>
  </si>
  <si>
    <t xml:space="preserve"> Count Beautiful Substrings II</t>
  </si>
  <si>
    <t>https://leetcode.com/problems/count-beautiful-substrings-ii</t>
  </si>
  <si>
    <t xml:space="preserve"> Check if the Rectangle Corner Is Reachable</t>
  </si>
  <si>
    <t>https://leetcode.com/problems/check-if-the-rectangle-corner-is-reachable</t>
  </si>
  <si>
    <t xml:space="preserve"> Abbreviating the Product of a Range</t>
  </si>
  <si>
    <t>https://leetcode.com/problems/abbreviating-the-product-of-a-range</t>
  </si>
  <si>
    <t xml:space="preserve"> Minimum Cost to Convert String II</t>
  </si>
  <si>
    <t>https://leetcode.com/problems/minimum-cost-to-convert-string-ii</t>
  </si>
  <si>
    <t xml:space="preserve"> Find Beautiful Indices in the Given Array II</t>
  </si>
  <si>
    <t>https://leetcode.com/problems/find-beautiful-indices-in-the-given-array-ii</t>
  </si>
  <si>
    <t xml:space="preserve"> Split Array With Same Average</t>
  </si>
  <si>
    <t>https://leetcode.com/problems/split-array-with-same-average</t>
  </si>
  <si>
    <t>https://leetcode.com/problems/split-array-with-same-average/solution</t>
  </si>
  <si>
    <t xml:space="preserve"> Palindrome Rearrangement Queries</t>
  </si>
  <si>
    <t>https://leetcode.com/problems/palindrome-rearrangement-queries</t>
  </si>
  <si>
    <t xml:space="preserve"> Make Array Empty</t>
  </si>
  <si>
    <t>https://leetcode.com/problems/make-array-empty</t>
  </si>
  <si>
    <t xml:space="preserve"> Shortest Distance After Road Addition Queries II</t>
  </si>
  <si>
    <t>https://leetcode.com/problems/shortest-distance-after-road-addition-queries-ii</t>
  </si>
  <si>
    <t xml:space="preserve"> Time Taken to Mark All Nodes</t>
  </si>
  <si>
    <t>https://leetcode.com/problems/time-taken-to-mark-all-nodes</t>
  </si>
  <si>
    <t xml:space="preserve"> Longest Increasing Subsequence II</t>
  </si>
  <si>
    <t>https://leetcode.com/problems/longest-increasing-subsequence-ii</t>
  </si>
  <si>
    <t xml:space="preserve"> Find the Sum of Subsequence Powers</t>
  </si>
  <si>
    <t>https://leetcode.com/problems/find-the-sum-of-subsequence-powers</t>
  </si>
  <si>
    <t xml:space="preserve"> Maximum Score From Grid Operations</t>
  </si>
  <si>
    <t>https://leetcode.com/problems/maximum-score-from-grid-operations</t>
  </si>
  <si>
    <t xml:space="preserve"> Find Substring With Given Hash Value</t>
  </si>
  <si>
    <t>https://leetcode.com/problems/find-substring-with-given-hash-value</t>
  </si>
  <si>
    <t xml:space="preserve"> Maximum Balanced Subsequence Sum</t>
  </si>
  <si>
    <t>https://leetcode.com/problems/maximum-balanced-subsequence-sum</t>
  </si>
  <si>
    <t xml:space="preserve"> Find the Maximum Length of a Good Subsequence II</t>
  </si>
  <si>
    <t>https://leetcode.com/problems/find-the-maximum-length-of-a-good-subsequence-ii</t>
  </si>
  <si>
    <t xml:space="preserve"> Minimum Increments for Target Multiples in an Array</t>
  </si>
  <si>
    <t>https://leetcode.com/problems/minimum-increments-for-target-multiples-in-an-array</t>
  </si>
  <si>
    <t xml:space="preserve"> Split the Array to Make Coprime Products</t>
  </si>
  <si>
    <t>https://leetcode.com/problems/split-the-array-to-make-coprime-products</t>
  </si>
  <si>
    <t xml:space="preserve"> Minimum Operations to Make Character Frequencies Equal</t>
  </si>
  <si>
    <t>https://leetcode.com/problems/minimum-operations-to-make-character-frequencies-equal</t>
  </si>
  <si>
    <t xml:space="preserve"> Contains Duplicate III</t>
  </si>
  <si>
    <t>https://leetcode.com/problems/contains-duplicate-iii</t>
  </si>
  <si>
    <t>https://leetcode.com/problems/contains-duplicate-iii/solution</t>
  </si>
  <si>
    <t xml:space="preserve"> Minimum Number of Visited Cells in a Grid</t>
  </si>
  <si>
    <t>https://leetcode.com/problems/minimum-number-of-visited-cells-in-a-grid</t>
  </si>
  <si>
    <t xml:space="preserve"> Maximum and Minimum Sums of at Most Size K Subarrays</t>
  </si>
  <si>
    <t>https://leetcode.com/problems/maximum-and-minimum-sums-of-at-most-size-k-subarrays</t>
  </si>
  <si>
    <t xml:space="preserve"> Find the Count of Monotonic Pairs II</t>
  </si>
  <si>
    <t>https://leetcode.com/problems/find-the-count-of-monotonic-pairs-ii</t>
  </si>
  <si>
    <t xml:space="preserve"> Find Products of Elements of Big Array</t>
  </si>
  <si>
    <t>https://leetcode.com/problems/find-products-of-elements-of-big-array</t>
  </si>
  <si>
    <t xml:space="preserve"> Find the Minimum Cost Array Permutation</t>
  </si>
  <si>
    <t>https://leetcode.com/problems/find-the-minimum-cost-array-permutation</t>
  </si>
  <si>
    <t xml:space="preserve"> Frequencies of Shortest Supersequences</t>
  </si>
  <si>
    <t>https://leetcode.com/problems/frequencies-of-shortest-supersequences</t>
  </si>
  <si>
    <t xml:space="preserve"> Minimum Moves to Pick K Ones</t>
  </si>
  <si>
    <t>https://leetcode.com/problems/minimum-moves-to-pick-k-ones</t>
  </si>
  <si>
    <t xml:space="preserve"> Count Substrings That Satisfy K-Constraint II</t>
  </si>
  <si>
    <t>https://leetcode.com/problems/count-substrings-that-satisfy-k-constraint-ii</t>
  </si>
  <si>
    <t xml:space="preserve"> Subarrays Distinct Element Sum of Squares II</t>
  </si>
  <si>
    <t>https://leetcode.com/problems/subarrays-distinct-element-sum-of-squares-ii</t>
  </si>
  <si>
    <t xml:space="preserve"> Count of Sub-Multisets With Bounded Sum</t>
  </si>
  <si>
    <t>https://leetcode.com/problems/count-of-sub-multisets-with-bounded-sum</t>
  </si>
  <si>
    <t xml:space="preserve"> Maximize the Minimum Game Score</t>
  </si>
  <si>
    <t>https://leetcode.com/problems/maximize-the-minimum-game-score</t>
  </si>
  <si>
    <t xml:space="preserve"> Partition Array Into Two Arrays to Minimize Sum Difference</t>
  </si>
  <si>
    <t>https://leetcode.com/problems/partition-array-into-two-arrays-to-minimize-sum-difference</t>
  </si>
  <si>
    <t xml:space="preserve"> Count Almost Equal Pairs II</t>
  </si>
  <si>
    <t>https://leetcode.com/problems/count-almost-equal-pairs-ii</t>
  </si>
  <si>
    <t xml:space="preserve"> Number of Ways to Separate Numbers</t>
  </si>
  <si>
    <t>https://leetcode.com/problems/number-of-ways-to-separate-numbers</t>
  </si>
  <si>
    <t>Suffix Array</t>
  </si>
  <si>
    <t xml:space="preserve"> Count the Number of Houses at a Certain Distance II</t>
  </si>
  <si>
    <t>https://leetcode.com/problems/count-the-number-of-houses-at-a-certain-distance-ii</t>
  </si>
  <si>
    <t xml:space="preserve"> Valid Number</t>
  </si>
  <si>
    <t>https://leetcode.com/problems/valid-number</t>
  </si>
  <si>
    <t>https://leetcode.com/problems/valid-number/solution</t>
  </si>
  <si>
    <t xml:space="preserve"> Earliest Second to Mark Indices II</t>
  </si>
  <si>
    <t>https://leetcode.com/problems/earliest-second-to-mark-indices-ii</t>
  </si>
  <si>
    <t xml:space="preserve"> Maximum Total Reward Using Operations II</t>
  </si>
  <si>
    <t>https://leetcode.com/problems/maximum-total-reward-using-operations-ii</t>
  </si>
  <si>
    <t xml:space="preserve"> Maximum Area Rectangle With Point Constraints II</t>
  </si>
  <si>
    <t>https://leetcode.com/problems/maximum-area-rectangle-with-point-constraints-ii</t>
  </si>
  <si>
    <t xml:space="preserve"> Count Non-Decreasing Subarrays After K Operations</t>
  </si>
  <si>
    <t>https://leetcode.com/problems/count-non-decreasing-subarrays-after-k-operations</t>
  </si>
  <si>
    <t xml:space="preserve"> Maximum Number of Groups With Increasing Length</t>
  </si>
  <si>
    <t>https://leetcode.com/problems/maximum-number-of-groups-with-increasing-length</t>
  </si>
  <si>
    <t xml:space="preserve"> Check if DFS Strings Are Palindromes</t>
  </si>
  <si>
    <t>https://leetcode.com/problems/check-if-dfs-strings-are-palindromes</t>
  </si>
  <si>
    <t xml:space="preserve"> Construct String with Minimum Cost</t>
  </si>
  <si>
    <t>https://leetcode.com/problems/construct-string-with-minimum-cost</t>
  </si>
  <si>
    <t xml:space="preserve"> Sorted GCD Pair Queries</t>
  </si>
  <si>
    <t>https://leetcode.com/problems/sorted-gcd-pair-queries</t>
  </si>
  <si>
    <t xml:space="preserve"> Number of Beautiful Integers in the Range</t>
  </si>
  <si>
    <t>https://leetcode.com/problems/number-of-beautiful-integers-in-the-range</t>
  </si>
  <si>
    <t xml:space="preserve"> Smallest Substring With Identical Characters I</t>
  </si>
  <si>
    <t>https://leetcode.com/problems/smallest-substring-with-identical-characters-i</t>
  </si>
  <si>
    <t xml:space="preserve"> Longest Special Path</t>
  </si>
  <si>
    <t>https://leetcode.com/problems/longest-special-path</t>
  </si>
  <si>
    <t xml:space="preserve"> Booking Concert Tickets in Groups</t>
  </si>
  <si>
    <t>https://leetcode.com/problems/booking-concert-tickets-in-groups</t>
  </si>
  <si>
    <t xml:space="preserve"> Maximize Subarray Sum After Removing All Occurrences of One Element</t>
  </si>
  <si>
    <t>https://leetcode.com/problems/maximize-subarray-sum-after-removing-all-occurrences-of-one-element</t>
  </si>
  <si>
    <t xml:space="preserve"> Maximum Difference Between Even and Odd Frequency II</t>
  </si>
  <si>
    <t>https://leetcode.com/problems/maximum-difference-between-even-and-odd-frequency-ii</t>
  </si>
  <si>
    <t xml:space="preserve"> Fancy Sequence</t>
  </si>
  <si>
    <t>https://leetcode.com/problems/fancy-sequence</t>
  </si>
  <si>
    <t xml:space="preserve"> Find the Maximum Sequence Value of Array</t>
  </si>
  <si>
    <t>https://leetcode.com/problems/find-the-maximum-sequence-value-of-array</t>
  </si>
  <si>
    <t xml:space="preserve"> Minimum Number of Valid Strings to Form Target II</t>
  </si>
  <si>
    <t>https://leetcode.com/problems/minimum-number-of-valid-strings-to-form-target-ii</t>
  </si>
  <si>
    <t xml:space="preserve"> Minimum Cost to Equalize Array</t>
  </si>
  <si>
    <t>https://leetcode.com/problems/minimum-cost-to-equalize-array</t>
  </si>
  <si>
    <t xml:space="preserve"> Count Substrings Divisible By Last Digit</t>
  </si>
  <si>
    <t>https://leetcode.com/problems/count-substrings-divisible-by-last-digit</t>
  </si>
  <si>
    <t xml:space="preserve"> Kth Smallest Amount With Single Denomination Combination</t>
  </si>
  <si>
    <t>https://leetcode.com/problems/kth-smallest-amount-with-single-denomination-combination</t>
  </si>
  <si>
    <t xml:space="preserve"> Subsequences with a Unique Middle Mode I</t>
  </si>
  <si>
    <t>https://leetcode.com/problems/subsequences-with-a-unique-middle-mode-i</t>
  </si>
  <si>
    <t xml:space="preserve"> Find Maximum Non-decreasing Array Length</t>
  </si>
  <si>
    <t>https://leetcode.com/problems/find-maximum-non-decreasing-array-length</t>
  </si>
  <si>
    <t xml:space="preserve"> Length of the Longest Increasing Path</t>
  </si>
  <si>
    <t>https://leetcode.com/problems/length-of-the-longest-increasing-path</t>
  </si>
  <si>
    <t xml:space="preserve"> Minimum Reverse Operations</t>
  </si>
  <si>
    <t>https://leetcode.com/problems/minimum-reverse-operations</t>
  </si>
  <si>
    <t xml:space="preserve"> Minimum Cost Good Caption</t>
  </si>
  <si>
    <t>https://leetcode.com/problems/minimum-cost-good-caption</t>
  </si>
  <si>
    <t xml:space="preserve"> Maximum Sum of Subsequence With Non-adjacent Elements</t>
  </si>
  <si>
    <t>https://leetcode.com/problems/maximum-sum-of-subsequence-with-non-adjacent-elements</t>
  </si>
  <si>
    <t xml:space="preserve"> Block Placement Queries</t>
  </si>
  <si>
    <t>https://leetcode.com/problems/block-placement-queries</t>
  </si>
  <si>
    <t xml:space="preserve"> Count Number of Balanced Permutations</t>
  </si>
  <si>
    <t>https://leetcode.com/problems/count-number-of-balanced-permutations</t>
  </si>
  <si>
    <t xml:space="preserve"> Find X-Sum of All K-Long Subarrays II</t>
  </si>
  <si>
    <t>https://leetcode.com/problems/find-x-sum-of-all-k-long-subarrays-ii</t>
  </si>
  <si>
    <t xml:space="preserve"> Find the Original Typed String II</t>
  </si>
  <si>
    <t>https://leetcode.com/problems/find-the-original-typed-string-ii</t>
  </si>
  <si>
    <t xml:space="preserve"> Minimize the Maximum Adjacent Element Difference</t>
  </si>
  <si>
    <t>https://leetcode.com/problems/minimize-the-maximum-adjacent-element-difference</t>
  </si>
  <si>
    <t xml:space="preserve"> Find the Largest Palindrome Divisible by K</t>
  </si>
  <si>
    <t>https://leetcode.com/problems/find-the-largest-palindrome-divisible-by-k</t>
  </si>
  <si>
    <t xml:space="preserve"> Maximum Value Sum by Placing Three Rooks I</t>
  </si>
  <si>
    <t>https://leetcode.com/problems/maximum-value-sum-by-placing-three-rooks-i</t>
  </si>
  <si>
    <t xml:space="preserve"> Alternating Groups III</t>
  </si>
  <si>
    <t>https://leetcode.com/problems/alternating-groups-iii</t>
  </si>
  <si>
    <t xml:space="preserve"> Strong Password Checker</t>
  </si>
  <si>
    <t>https://leetcode.com/problems/strong-password-checker</t>
  </si>
  <si>
    <t xml:space="preserve"> Select Cells in Grid With Maximum Score</t>
  </si>
  <si>
    <t>https://leetcode.com/problems/select-cells-in-grid-with-maximum-score</t>
  </si>
  <si>
    <t xml:space="preserve"> Find the Occurrence of First Almost Equal Substring</t>
  </si>
  <si>
    <t>https://leetcode.com/problems/find-the-occurrence-of-first-almost-equal-substring</t>
  </si>
  <si>
    <t xml:space="preserve"> Final Array State After K Multiplication Operations II</t>
  </si>
  <si>
    <t>https://leetcode.com/problems/final-array-state-after-k-multiplication-operations-ii</t>
  </si>
  <si>
    <t xml:space="preserve"> Smallest Divisible Digit Product II</t>
  </si>
  <si>
    <t>https://leetcode.com/problems/smallest-divisible-digit-product-ii</t>
  </si>
  <si>
    <t>mx-2</t>
  </si>
  <si>
    <t>4. Median of Two Sorted Arrays</t>
  </si>
  <si>
    <t>42.7%</t>
  </si>
  <si>
    <t>10. Regular Expression Matching</t>
  </si>
  <si>
    <t>28.9%</t>
  </si>
  <si>
    <t>23. Merge k Sorted Lists</t>
  </si>
  <si>
    <t>55.5%</t>
  </si>
  <si>
    <t>25. Reverse Nodes in k-Group</t>
  </si>
  <si>
    <t>61.8%</t>
  </si>
  <si>
    <t>30. Substring with Concatenation of All Words</t>
  </si>
  <si>
    <t>32.7%</t>
  </si>
  <si>
    <t>32. Longest Valid Parentheses</t>
  </si>
  <si>
    <t>35.5%</t>
  </si>
  <si>
    <t>37. Sudoku Solver</t>
  </si>
  <si>
    <t>63.6%</t>
  </si>
  <si>
    <t>41. First Missing Positive</t>
  </si>
  <si>
    <t>40.5%</t>
  </si>
  <si>
    <t>42. Trapping Rain Water</t>
  </si>
  <si>
    <t>64.1%</t>
  </si>
  <si>
    <t>44. Wildcard Matching</t>
  </si>
  <si>
    <t>29.3%</t>
  </si>
  <si>
    <t>51. N-Queens</t>
  </si>
  <si>
    <t>71.4%</t>
  </si>
  <si>
    <t>52. N-Queens II</t>
  </si>
  <si>
    <t>75.8%</t>
  </si>
  <si>
    <t>60. Permutation Sequence</t>
  </si>
  <si>
    <t>49.0%</t>
  </si>
  <si>
    <t>65. Valid Number</t>
  </si>
  <si>
    <t>21.0%</t>
  </si>
  <si>
    <t>68. Text Justification</t>
  </si>
  <si>
    <t>46.8%</t>
  </si>
  <si>
    <t>76. Minimum Window Substring</t>
  </si>
  <si>
    <t>44.5%</t>
  </si>
  <si>
    <t>84. Largest Rectangle in Histogram</t>
  </si>
  <si>
    <t>46.4%</t>
  </si>
  <si>
    <t>85. Maximal Rectangle</t>
  </si>
  <si>
    <t>52.7%</t>
  </si>
  <si>
    <t>87. Scramble String</t>
  </si>
  <si>
    <t>41.5%</t>
  </si>
  <si>
    <t>115. Distinct Subsequences</t>
  </si>
  <si>
    <t>49.3%</t>
  </si>
  <si>
    <t>123. Best Time to Buy and Sell Stock III</t>
  </si>
  <si>
    <t>50.1%</t>
  </si>
  <si>
    <t>124. Binary Tree Maximum Path Sum</t>
  </si>
  <si>
    <t>40.8%</t>
  </si>
  <si>
    <t>126. Word Ladder II</t>
  </si>
  <si>
    <t>27.1%</t>
  </si>
  <si>
    <t>127. Word Ladder</t>
  </si>
  <si>
    <t>41.6%</t>
  </si>
  <si>
    <t>132. Palindrome Partitioning II</t>
  </si>
  <si>
    <t>34.8%</t>
  </si>
  <si>
    <t>135. Candy</t>
  </si>
  <si>
    <t>44.3%</t>
  </si>
  <si>
    <t>140. Word Break II</t>
  </si>
  <si>
    <t>149. Max Points on a Line</t>
  </si>
  <si>
    <t>28.3%</t>
  </si>
  <si>
    <t>154. Find Minimum in Rotated Sorted Array II</t>
  </si>
  <si>
    <t>44.0%</t>
  </si>
  <si>
    <t>158. Read N Characters Given read4 II - Call Multiple Times</t>
  </si>
  <si>
    <t>https://leetcode.com/problems/read-n-characters-given-read4-ii-call-multiple-times</t>
  </si>
  <si>
    <t>174. Dungeon Game</t>
  </si>
  <si>
    <t>39.0%</t>
  </si>
  <si>
    <t>185. Department Top Three Salaries</t>
  </si>
  <si>
    <t>56.6%</t>
  </si>
  <si>
    <t>188. Best Time to Buy and Sell Stock IV</t>
  </si>
  <si>
    <t>45.8%</t>
  </si>
  <si>
    <t>212. Word Search II</t>
  </si>
  <si>
    <t>37.0%</t>
  </si>
  <si>
    <t>214. Shortest Palindrome</t>
  </si>
  <si>
    <t>40.2%</t>
  </si>
  <si>
    <t>218. The Skyline Problem</t>
  </si>
  <si>
    <t>43.5%</t>
  </si>
  <si>
    <t>220. Contains Duplicate III</t>
  </si>
  <si>
    <t>23.3%</t>
  </si>
  <si>
    <t>224. Basic Calculator</t>
  </si>
  <si>
    <t>44.6%</t>
  </si>
  <si>
    <t>233. Number of Digit One</t>
  </si>
  <si>
    <t>239. Sliding Window Maximum</t>
  </si>
  <si>
    <t>47.2%</t>
  </si>
  <si>
    <t>248. Strobogrammatic Number III</t>
  </si>
  <si>
    <t>https://leetcode.com/problems/strobogrammatic-number-iii</t>
  </si>
  <si>
    <t>42.3%</t>
  </si>
  <si>
    <t>262. Trips and Users</t>
  </si>
  <si>
    <t>36.9%</t>
  </si>
  <si>
    <t>265. Paint House II</t>
  </si>
  <si>
    <t>https://leetcode.com/problems/paint-house-ii</t>
  </si>
  <si>
    <t>https://leetcode.com/problems/paint-house-ii/solution</t>
  </si>
  <si>
    <t>56.0%</t>
  </si>
  <si>
    <t>269. Alien Dictionary</t>
  </si>
  <si>
    <t>https://leetcode.com/problems/alien-dictionary</t>
  </si>
  <si>
    <t>https://leetcode.com/problems/alien-dictionary/solution</t>
  </si>
  <si>
    <t>36.4%</t>
  </si>
  <si>
    <t>272. Closest Binary Search Tree Value II</t>
  </si>
  <si>
    <t>https://leetcode.com/problems/closest-binary-search-tree-value-ii</t>
  </si>
  <si>
    <t>https://leetcode.com/problems/closest-binary-search-tree-value-ii/solution</t>
  </si>
  <si>
    <t>59.9%</t>
  </si>
  <si>
    <t>273. Integer to English Words</t>
  </si>
  <si>
    <t>34.2%</t>
  </si>
  <si>
    <t>282. Expression Add Operators</t>
  </si>
  <si>
    <t>40.9%</t>
  </si>
  <si>
    <t>295. Find Median from Data Stream</t>
  </si>
  <si>
    <t>52.9%</t>
  </si>
  <si>
    <t>296. Best Meeting Point</t>
  </si>
  <si>
    <t>https://leetcode.com/problems/best-meeting-point</t>
  </si>
  <si>
    <t>https://leetcode.com/problems/best-meeting-point/solution</t>
  </si>
  <si>
    <t>61.1%</t>
  </si>
  <si>
    <t>297. Serialize and Deserialize Binary Tree</t>
  </si>
  <si>
    <t>58.2%</t>
  </si>
  <si>
    <t>301. Remove Invalid Parentheses</t>
  </si>
  <si>
    <t>48.9%</t>
  </si>
  <si>
    <t>302. Smallest Rectangle Enclosing Black Pixels</t>
  </si>
  <si>
    <t>https://leetcode.com/problems/smallest-rectangle-enclosing-black-pixels</t>
  </si>
  <si>
    <t>https://leetcode.com/problems/smallest-rectangle-enclosing-black-pixels/solution</t>
  </si>
  <si>
    <t>59.4%</t>
  </si>
  <si>
    <t>305. Number of Islands II</t>
  </si>
  <si>
    <t>https://leetcode.com/problems/number-of-islands-ii</t>
  </si>
  <si>
    <t>https://leetcode.com/problems/number-of-islands-ii/solution</t>
  </si>
  <si>
    <t>40.0%</t>
  </si>
  <si>
    <t>312. Burst Balloons</t>
  </si>
  <si>
    <t>60.5%</t>
  </si>
  <si>
    <t>315. Count of Smaller Numbers After Self</t>
  </si>
  <si>
    <t>317. Shortest Distance from All Buildings</t>
  </si>
  <si>
    <t>https://leetcode.com/problems/shortest-distance-from-all-buildings</t>
  </si>
  <si>
    <t>https://leetcode.com/problems/shortest-distance-from-all-buildings/solution</t>
  </si>
  <si>
    <t>43.8%</t>
  </si>
  <si>
    <t>321. Create Maximum Number</t>
  </si>
  <si>
    <t>31.7%</t>
  </si>
  <si>
    <t>327. Count of Range Sum</t>
  </si>
  <si>
    <t>36.5%</t>
  </si>
  <si>
    <t>329. Longest Increasing Path in a Matrix</t>
  </si>
  <si>
    <t>54.8%</t>
  </si>
  <si>
    <t>330. Patching Array</t>
  </si>
  <si>
    <t>53.3%</t>
  </si>
  <si>
    <t>332. Reconstruct Itinerary</t>
  </si>
  <si>
    <t>43.4%</t>
  </si>
  <si>
    <t>335. Self Crossing</t>
  </si>
  <si>
    <t>31.5%</t>
  </si>
  <si>
    <t>336. Palindrome Pairs</t>
  </si>
  <si>
    <t>36.0%</t>
  </si>
  <si>
    <t>352. Data Stream as Disjoint Intervals</t>
  </si>
  <si>
    <t>60.3%</t>
  </si>
  <si>
    <t>354. Russian Doll Envelopes</t>
  </si>
  <si>
    <t>37.2%</t>
  </si>
  <si>
    <t>358. Rearrange String k Distance Apart</t>
  </si>
  <si>
    <t>https://leetcode.com/problems/rearrange-string-k-distance-apart</t>
  </si>
  <si>
    <t>https://leetcode.com/problems/rearrange-string-k-distance-apart/solution</t>
  </si>
  <si>
    <t>39.3%</t>
  </si>
  <si>
    <t>363. Max Sum of Rectangle No Larger Than K</t>
  </si>
  <si>
    <t>44.4%</t>
  </si>
  <si>
    <t>381. Insert Delete GetRandom O(1) - Duplicates allowed</t>
  </si>
  <si>
    <t>35.8%</t>
  </si>
  <si>
    <t>391. Perfect Rectangle</t>
  </si>
  <si>
    <t>34.7%</t>
  </si>
  <si>
    <t>403. Frog Jump</t>
  </si>
  <si>
    <t>407. Trapping Rain Water II</t>
  </si>
  <si>
    <t>58.6%</t>
  </si>
  <si>
    <t>410. Split Array Largest Sum</t>
  </si>
  <si>
    <t>57.3%</t>
  </si>
  <si>
    <t>411. Minimum Unique Word Abbreviation</t>
  </si>
  <si>
    <t>https://leetcode.com/problems/minimum-unique-word-abbreviation</t>
  </si>
  <si>
    <t>420. Strong Password Checker</t>
  </si>
  <si>
    <t>14.3%</t>
  </si>
  <si>
    <t>425. Word Squares</t>
  </si>
  <si>
    <t>https://leetcode.com/problems/word-squares</t>
  </si>
  <si>
    <t>https://leetcode.com/problems/word-squares/solution</t>
  </si>
  <si>
    <t>53.7%</t>
  </si>
  <si>
    <t>428. Serialize and Deserialize N-ary Tree</t>
  </si>
  <si>
    <t>https://leetcode.com/problems/serialize-and-deserialize-n-ary-tree</t>
  </si>
  <si>
    <t>https://leetcode.com/problems/serialize-and-deserialize-n-ary-tree/solution</t>
  </si>
  <si>
    <t>67.9%</t>
  </si>
  <si>
    <t>431. Encode N-ary Tree to Binary Tree</t>
  </si>
  <si>
    <t>https://leetcode.com/problems/encode-n-ary-tree-to-binary-tree</t>
  </si>
  <si>
    <t>https://leetcode.com/problems/encode-n-ary-tree-to-binary-tree/solution</t>
  </si>
  <si>
    <t>79.9%</t>
  </si>
  <si>
    <t>432. All O`one Data Structure</t>
  </si>
  <si>
    <t>44.9%</t>
  </si>
  <si>
    <t>440. K-th Smallest in Lexicographical Order</t>
  </si>
  <si>
    <t>42.0%</t>
  </si>
  <si>
    <t>446. Arithmetic Slices II - Subsequence</t>
  </si>
  <si>
    <t>54.6%</t>
  </si>
  <si>
    <t>458. Poor Pigs</t>
  </si>
  <si>
    <t>59.3%</t>
  </si>
  <si>
    <t>460. LFU Cache</t>
  </si>
  <si>
    <t>45.7%</t>
  </si>
  <si>
    <t>465. Optimal Account Balancing</t>
  </si>
  <si>
    <t>https://leetcode.com/problems/optimal-account-balancing</t>
  </si>
  <si>
    <t>https://leetcode.com/problems/optimal-account-balancing/solution</t>
  </si>
  <si>
    <t>49.7%</t>
  </si>
  <si>
    <t>466. Count The Repetitions</t>
  </si>
  <si>
    <t>31.3%</t>
  </si>
  <si>
    <t>471. Encode String with Shortest Length</t>
  </si>
  <si>
    <t>https://leetcode.com/problems/encode-string-with-shortest-length</t>
  </si>
  <si>
    <t>50.5%</t>
  </si>
  <si>
    <t>472. Concatenated Words</t>
  </si>
  <si>
    <t>479. Largest Palindrome Product</t>
  </si>
  <si>
    <t>34.5%</t>
  </si>
  <si>
    <t>480. Sliding Window Median</t>
  </si>
  <si>
    <t>38.7%</t>
  </si>
  <si>
    <t>483. Smallest Good Base</t>
  </si>
  <si>
    <t>42.6%</t>
  </si>
  <si>
    <t>488. Zuma Game</t>
  </si>
  <si>
    <t>32.0%</t>
  </si>
  <si>
    <t>489. Robot Room Cleaner</t>
  </si>
  <si>
    <t>https://leetcode.com/problems/robot-room-cleaner</t>
  </si>
  <si>
    <t>https://leetcode.com/problems/robot-room-cleaner/solution</t>
  </si>
  <si>
    <t>77.1%</t>
  </si>
  <si>
    <t>493. Reverse Pairs</t>
  </si>
  <si>
    <t>31.6%</t>
  </si>
  <si>
    <t>499. The Maze III</t>
  </si>
  <si>
    <t>https://leetcode.com/problems/the-maze-iii</t>
  </si>
  <si>
    <t>https://leetcode.com/problems/the-maze-iii/solution</t>
  </si>
  <si>
    <t>50.0%</t>
  </si>
  <si>
    <t>502. IPO</t>
  </si>
  <si>
    <t>53.0%</t>
  </si>
  <si>
    <t>514. Freedom Trail</t>
  </si>
  <si>
    <t>58.9%</t>
  </si>
  <si>
    <t>517. Super Washing Machines</t>
  </si>
  <si>
    <t>527. Word Abbreviation</t>
  </si>
  <si>
    <t>https://leetcode.com/problems/word-abbreviation</t>
  </si>
  <si>
    <t>https://leetcode.com/problems/word-abbreviation/solution</t>
  </si>
  <si>
    <t>61.5%</t>
  </si>
  <si>
    <t>546. Remove Boxes</t>
  </si>
  <si>
    <t>48.2%</t>
  </si>
  <si>
    <t>548. Split Array with Equal Sum</t>
  </si>
  <si>
    <t>https://leetcode.com/problems/split-array-with-equal-sum</t>
  </si>
  <si>
    <t>https://leetcode.com/problems/split-array-with-equal-sum/solution</t>
  </si>
  <si>
    <t>50.2%</t>
  </si>
  <si>
    <t>552. Student Attendance Record II</t>
  </si>
  <si>
    <t>564. Find the Closest Palindrome</t>
  </si>
  <si>
    <t>568. Maximum Vacation Days</t>
  </si>
  <si>
    <t>https://leetcode.com/problems/maximum-vacation-days</t>
  </si>
  <si>
    <t>https://leetcode.com/problems/maximum-vacation-days/solution</t>
  </si>
  <si>
    <t>46.1%</t>
  </si>
  <si>
    <t>569. Median Employee Salary</t>
  </si>
  <si>
    <t>https://leetcode.com/problems/median-employee-salary</t>
  </si>
  <si>
    <t>https://leetcode.com/problems/median-employee-salary/solution</t>
  </si>
  <si>
    <t>66.1%</t>
  </si>
  <si>
    <t>571. Find Median Given Frequency of Numbers</t>
  </si>
  <si>
    <t>https://leetcode.com/problems/find-median-given-frequency-of-numbers</t>
  </si>
  <si>
    <t>42.5%</t>
  </si>
  <si>
    <t>579. Find Cumulative Salary of an Employee</t>
  </si>
  <si>
    <t>https://leetcode.com/problems/find-cumulative-salary-of-an-employee</t>
  </si>
  <si>
    <t>https://leetcode.com/problems/find-cumulative-salary-of-an-employee/solution</t>
  </si>
  <si>
    <t>587. Erect the Fence</t>
  </si>
  <si>
    <t>52.1%</t>
  </si>
  <si>
    <t>588. Design In-Memory File System</t>
  </si>
  <si>
    <t>https://leetcode.com/problems/design-in-memory-file-system</t>
  </si>
  <si>
    <t>https://leetcode.com/problems/design-in-memory-file-system/solution</t>
  </si>
  <si>
    <t>48.0%</t>
  </si>
  <si>
    <t>591. Tag Validator</t>
  </si>
  <si>
    <t>39.1%</t>
  </si>
  <si>
    <t>600. Non-negative Integers without Consecutive Ones</t>
  </si>
  <si>
    <t>40.1%</t>
  </si>
  <si>
    <t>601. Human Traffic of Stadium</t>
  </si>
  <si>
    <t>49.4%</t>
  </si>
  <si>
    <t>615. Average Salary: Departments VS Company</t>
  </si>
  <si>
    <t>https://leetcode.com/problems/average-salary-departments-vs-company</t>
  </si>
  <si>
    <t>https://leetcode.com/problems/average-salary-departments-vs-company/solution</t>
  </si>
  <si>
    <t>56.5%</t>
  </si>
  <si>
    <t>618. Students Report By Geography</t>
  </si>
  <si>
    <t>https://leetcode.com/problems/students-report-by-geography</t>
  </si>
  <si>
    <t>https://leetcode.com/problems/students-report-by-geography/solution</t>
  </si>
  <si>
    <t>629. K Inverse Pairs Array</t>
  </si>
  <si>
    <t>49.1%</t>
  </si>
  <si>
    <t>630. Course Schedule III</t>
  </si>
  <si>
    <t>40.4%</t>
  </si>
  <si>
    <t>631. Design Excel Sum Formula</t>
  </si>
  <si>
    <t>https://leetcode.com/problems/design-excel-sum-formula</t>
  </si>
  <si>
    <t>https://leetcode.com/problems/design-excel-sum-formula/solution</t>
  </si>
  <si>
    <t>632. Smallest Range Covering Elements from K Lists</t>
  </si>
  <si>
    <t>69.8%</t>
  </si>
  <si>
    <t>639. Decode Ways II</t>
  </si>
  <si>
    <t>31.1%</t>
  </si>
  <si>
    <t>642. Design Search Autocomplete System</t>
  </si>
  <si>
    <t>https://leetcode.com/problems/design-search-autocomplete-system</t>
  </si>
  <si>
    <t>https://leetcode.com/problems/design-search-autocomplete-system/solution</t>
  </si>
  <si>
    <t>49.2%</t>
  </si>
  <si>
    <t>644. Maximum Average Subarray II</t>
  </si>
  <si>
    <t>https://leetcode.com/problems/maximum-average-subarray-ii</t>
  </si>
  <si>
    <t>https://leetcode.com/problems/maximum-average-subarray-ii/solution</t>
  </si>
  <si>
    <t>656. Coin Path</t>
  </si>
  <si>
    <t>https://leetcode.com/problems/coin-path</t>
  </si>
  <si>
    <t>https://leetcode.com/problems/coin-path/solution</t>
  </si>
  <si>
    <t>32.3%</t>
  </si>
  <si>
    <t>660. Remove 9</t>
  </si>
  <si>
    <t>https://leetcode.com/problems/remove-9</t>
  </si>
  <si>
    <t>https://leetcode.com/problems/remove-9/solution</t>
  </si>
  <si>
    <t>57.4%</t>
  </si>
  <si>
    <t>664. Strange Printer</t>
  </si>
  <si>
    <t>60.9%</t>
  </si>
  <si>
    <t>668. Kth Smallest Number in Multiplication Table</t>
  </si>
  <si>
    <t>52.5%</t>
  </si>
  <si>
    <t>675. Cut Off Trees for Golf Event</t>
  </si>
  <si>
    <t>35.0%</t>
  </si>
  <si>
    <t>679. 24 Game</t>
  </si>
  <si>
    <t>49.8%</t>
  </si>
  <si>
    <t>683. K Empty Slots</t>
  </si>
  <si>
    <t>https://leetcode.com/problems/k-empty-slots</t>
  </si>
  <si>
    <t>https://leetcode.com/problems/k-empty-slots/solution</t>
  </si>
  <si>
    <t>685. Redundant Connection II</t>
  </si>
  <si>
    <t>689. Maximum Sum of 3 Non-Overlapping Subarrays</t>
  </si>
  <si>
    <t>691. Stickers to Spell Word</t>
  </si>
  <si>
    <t>49.9%</t>
  </si>
  <si>
    <t>699. Falling Squares</t>
  </si>
  <si>
    <t>710. Random Pick with Blacklist</t>
  </si>
  <si>
    <t>33.9%</t>
  </si>
  <si>
    <t>711. Number of Distinct Islands II</t>
  </si>
  <si>
    <t>https://leetcode.com/problems/number-of-distinct-islands-ii</t>
  </si>
  <si>
    <t>https://leetcode.com/problems/number-of-distinct-islands-ii/solution</t>
  </si>
  <si>
    <t>54.3%</t>
  </si>
  <si>
    <t>715. Range Module</t>
  </si>
  <si>
    <t>716. Max Stack</t>
  </si>
  <si>
    <t>https://leetcode.com/problems/max-stack</t>
  </si>
  <si>
    <t>https://leetcode.com/problems/max-stack/solution</t>
  </si>
  <si>
    <t>45.2%</t>
  </si>
  <si>
    <t>719. Find K-th Smallest Pair Distance</t>
  </si>
  <si>
    <t>45.6%</t>
  </si>
  <si>
    <t>726. Number of Atoms</t>
  </si>
  <si>
    <t>65.1%</t>
  </si>
  <si>
    <t>727. Minimum Window Subsequence</t>
  </si>
  <si>
    <t>https://leetcode.com/problems/minimum-window-subsequence</t>
  </si>
  <si>
    <t>https://leetcode.com/problems/minimum-window-subsequence/solution</t>
  </si>
  <si>
    <t>43.6%</t>
  </si>
  <si>
    <t>730. Count Different Palindromic Subsequences</t>
  </si>
  <si>
    <t>46.2%</t>
  </si>
  <si>
    <t>732. My Calendar III</t>
  </si>
  <si>
    <t>72.0%</t>
  </si>
  <si>
    <t>736. Parse Lisp Expression</t>
  </si>
  <si>
    <t>52.3%</t>
  </si>
  <si>
    <t>741. Cherry Pickup</t>
  </si>
  <si>
    <t>37.5%</t>
  </si>
  <si>
    <t>745. Prefix and Suffix Search</t>
  </si>
  <si>
    <t>41.2%</t>
  </si>
  <si>
    <t>749. Contain Virus</t>
  </si>
  <si>
    <t>52.0%</t>
  </si>
  <si>
    <t>753. Cracking the Safe</t>
  </si>
  <si>
    <t>57.5%</t>
  </si>
  <si>
    <t>757. Set Intersection Size At Least Two</t>
  </si>
  <si>
    <t>44.8%</t>
  </si>
  <si>
    <t>759. Employee Free Time</t>
  </si>
  <si>
    <t>https://leetcode.com/problems/employee-free-time</t>
  </si>
  <si>
    <t>https://leetcode.com/problems/employee-free-time/solution</t>
  </si>
  <si>
    <t>72.5%</t>
  </si>
  <si>
    <t>761. Special Binary String</t>
  </si>
  <si>
    <t>63.2%</t>
  </si>
  <si>
    <t>765. Couples Holding Hands</t>
  </si>
  <si>
    <t>58.1%</t>
  </si>
  <si>
    <t>768. Max Chunks To Make Sorted II</t>
  </si>
  <si>
    <t>53.9%</t>
  </si>
  <si>
    <t>770. Basic Calculator IV</t>
  </si>
  <si>
    <t>54.9%</t>
  </si>
  <si>
    <t>772. Basic Calculator III</t>
  </si>
  <si>
    <t>https://leetcode.com/problems/basic-calculator-iii</t>
  </si>
  <si>
    <t>https://leetcode.com/problems/basic-calculator-iii/solution</t>
  </si>
  <si>
    <t>51.8%</t>
  </si>
  <si>
    <t>773. Sliding Puzzle</t>
  </si>
  <si>
    <t>72.9%</t>
  </si>
  <si>
    <t>774. Minimize Max Distance to Gas Station</t>
  </si>
  <si>
    <t>https://leetcode.com/problems/minimize-max-distance-to-gas-station</t>
  </si>
  <si>
    <t>https://leetcode.com/problems/minimize-max-distance-to-gas-station/solution</t>
  </si>
  <si>
    <t>778. Swim in Rising Water</t>
  </si>
  <si>
    <t>62.1%</t>
  </si>
  <si>
    <t>780. Reaching Points</t>
  </si>
  <si>
    <t>33.5%</t>
  </si>
  <si>
    <t>782. Transform to Chessboard</t>
  </si>
  <si>
    <t>50.6%</t>
  </si>
  <si>
    <t>793. Preimage Size of Factorial Zeroes Function</t>
  </si>
  <si>
    <t>45.5%</t>
  </si>
  <si>
    <t>798. Smallest Rotation with Highest Score</t>
  </si>
  <si>
    <t>801. Minimum Swaps To Make Sequences Increasing</t>
  </si>
  <si>
    <t>803. Bricks Falling When Hit</t>
  </si>
  <si>
    <t>35.2%</t>
  </si>
  <si>
    <t>805. Split Array With Same Average</t>
  </si>
  <si>
    <t>25.6%</t>
  </si>
  <si>
    <t>810. Chalkboard XOR Game</t>
  </si>
  <si>
    <t>62.0%</t>
  </si>
  <si>
    <t>815. Bus Routes</t>
  </si>
  <si>
    <t>47.1%</t>
  </si>
  <si>
    <t>818. Race Car</t>
  </si>
  <si>
    <t>827. Making A Large Island</t>
  </si>
  <si>
    <t>54.1%</t>
  </si>
  <si>
    <t>828. Count Unique Characters of All Substrings of a Given String</t>
  </si>
  <si>
    <t>52.8%</t>
  </si>
  <si>
    <t>829. Consecutive Numbers Sum</t>
  </si>
  <si>
    <t>834. Sum of Distances in Tree</t>
  </si>
  <si>
    <t>65.3%</t>
  </si>
  <si>
    <t>839. Similar String Groups</t>
  </si>
  <si>
    <t>55.4%</t>
  </si>
  <si>
    <t>843. Guess the Word</t>
  </si>
  <si>
    <t>38.1%</t>
  </si>
  <si>
    <t>847. Shortest Path Visiting All Nodes</t>
  </si>
  <si>
    <t>65.4%</t>
  </si>
  <si>
    <t>850. Rectangle Area II</t>
  </si>
  <si>
    <t>854. K-Similar Strings</t>
  </si>
  <si>
    <t>857. Minimum Cost to Hire K Workers</t>
  </si>
  <si>
    <t>63.4%</t>
  </si>
  <si>
    <t>862. Shortest Subarray with Sum at Least K</t>
  </si>
  <si>
    <t>32.2%</t>
  </si>
  <si>
    <t>864. Shortest Path to Get All Keys</t>
  </si>
  <si>
    <t>53.6%</t>
  </si>
  <si>
    <t>871. Minimum Number of Refueling Stops</t>
  </si>
  <si>
    <t>878. Nth Magical Number</t>
  </si>
  <si>
    <t>35.6%</t>
  </si>
  <si>
    <t>879. Profitable Schemes</t>
  </si>
  <si>
    <t>882. Reachable Nodes In Subdivided Graph</t>
  </si>
  <si>
    <t>50.7%</t>
  </si>
  <si>
    <t>887. Super Egg Drop</t>
  </si>
  <si>
    <t>28.4%</t>
  </si>
  <si>
    <t>891. Sum of Subsequence Widths</t>
  </si>
  <si>
    <t>38.5%</t>
  </si>
  <si>
    <t>895. Maximum Frequency Stack</t>
  </si>
  <si>
    <t>66.7%</t>
  </si>
  <si>
    <t>899. Orderly Queue</t>
  </si>
  <si>
    <t>902. Numbers At Most N Given Digit Set</t>
  </si>
  <si>
    <t>43.0%</t>
  </si>
  <si>
    <t>903. Valid Permutations for DI Sequence</t>
  </si>
  <si>
    <t>57.0%</t>
  </si>
  <si>
    <t>906. Super Palindromes</t>
  </si>
  <si>
    <t>39.2%</t>
  </si>
  <si>
    <t>913. Cat and Mouse</t>
  </si>
  <si>
    <t>34.0%</t>
  </si>
  <si>
    <t>920. Number of Music Playlists</t>
  </si>
  <si>
    <t>60.2%</t>
  </si>
  <si>
    <t>924. Minimize Malware Spread</t>
  </si>
  <si>
    <t>42.1%</t>
  </si>
  <si>
    <t>927. Three Equal Parts</t>
  </si>
  <si>
    <t>928. Minimize Malware Spread II</t>
  </si>
  <si>
    <t>936. Stamping The Sequence</t>
  </si>
  <si>
    <t>62.3%</t>
  </si>
  <si>
    <t>940. Distinct Subsequences II</t>
  </si>
  <si>
    <t>943. Find the Shortest Superstring</t>
  </si>
  <si>
    <t>952. Largest Component Size by Common Factor</t>
  </si>
  <si>
    <t>956. Tallest Billboard</t>
  </si>
  <si>
    <t>960. Delete Columns to Make Sorted III</t>
  </si>
  <si>
    <t>58.5%</t>
  </si>
  <si>
    <t>964. Least Operators to Express Number</t>
  </si>
  <si>
    <t>48.6%</t>
  </si>
  <si>
    <t>968. Binary Tree Cameras</t>
  </si>
  <si>
    <t>47.0%</t>
  </si>
  <si>
    <t>972. Equal Rational Numbers</t>
  </si>
  <si>
    <t>975. Odd Even Jump</t>
  </si>
  <si>
    <t>980. Unique Paths III</t>
  </si>
  <si>
    <t>82.1%</t>
  </si>
  <si>
    <t>982. Triples with Bitwise AND Equal To Zero</t>
  </si>
  <si>
    <t>59.0%</t>
  </si>
  <si>
    <t>987. Vertical Order Traversal of a Binary Tree</t>
  </si>
  <si>
    <t>992. Subarrays with K Different Integers</t>
  </si>
  <si>
    <t>65.0%</t>
  </si>
  <si>
    <t>995. Minimum Number of K Consecutive Bit Flips</t>
  </si>
  <si>
    <t>62.7%</t>
  </si>
  <si>
    <t>996. Number of Squareful Arrays</t>
  </si>
  <si>
    <t>50.4%</t>
  </si>
  <si>
    <t>1000. Minimum Cost to Merge Stones</t>
  </si>
  <si>
    <t>43.9%</t>
  </si>
  <si>
    <t>1001. Grid Illumination</t>
  </si>
  <si>
    <t>37.6%</t>
  </si>
  <si>
    <t>1012. Numbers With Repeated Digits</t>
  </si>
  <si>
    <t>42.9%</t>
  </si>
  <si>
    <t>1028. Recover a Tree From Preorder Traversal</t>
  </si>
  <si>
    <t>75.3%</t>
  </si>
  <si>
    <t>1032. Stream of Characters</t>
  </si>
  <si>
    <t>1036. Escape a Large Maze</t>
  </si>
  <si>
    <t>1044. Longest Duplicate Substring</t>
  </si>
  <si>
    <t>30.6%</t>
  </si>
  <si>
    <t>1063. Number of Valid Subarrays</t>
  </si>
  <si>
    <t>https://leetcode.com/problems/number-of-valid-subarrays</t>
  </si>
  <si>
    <t>https://leetcode.com/problems/number-of-valid-subarrays/solution</t>
  </si>
  <si>
    <t>79.1%</t>
  </si>
  <si>
    <t>1067. Digit Count in Range</t>
  </si>
  <si>
    <t>https://leetcode.com/problems/digit-count-in-range</t>
  </si>
  <si>
    <t>1074. Number of Submatrices That Sum to Target</t>
  </si>
  <si>
    <t>74.4%</t>
  </si>
  <si>
    <t>1088. Confusing Number II</t>
  </si>
  <si>
    <t>https://leetcode.com/problems/confusing-number-ii</t>
  </si>
  <si>
    <t>https://leetcode.com/problems/confusing-number-ii/solution</t>
  </si>
  <si>
    <t>1092. Shortest Common Supersequence</t>
  </si>
  <si>
    <t>59.7%</t>
  </si>
  <si>
    <t>1095. Find in Mountain Array</t>
  </si>
  <si>
    <t>1096. Brace Expansion II</t>
  </si>
  <si>
    <t>1097. Game Play Analysis V</t>
  </si>
  <si>
    <t>https://leetcode.com/problems/game-play-analysis-v</t>
  </si>
  <si>
    <t>https://leetcode.com/problems/game-play-analysis-v/solution</t>
  </si>
  <si>
    <t>1106. Parsing A Boolean Expression</t>
  </si>
  <si>
    <t>70.3%</t>
  </si>
  <si>
    <t>1121. Divide Array Into Increasing Sequences</t>
  </si>
  <si>
    <t>https://leetcode.com/problems/divide-array-into-increasing-sequences</t>
  </si>
  <si>
    <t>60.4%</t>
  </si>
  <si>
    <t>1125. Smallest Sufficient Team</t>
  </si>
  <si>
    <t>1127. User Purchase Platform</t>
  </si>
  <si>
    <t>https://leetcode.com/problems/user-purchase-platform</t>
  </si>
  <si>
    <t>1147. Longest Chunked Palindrome Decomposition</t>
  </si>
  <si>
    <t>58.8%</t>
  </si>
  <si>
    <t>1153. String Transforms Into Another String</t>
  </si>
  <si>
    <t>https://leetcode.com/problems/string-transforms-into-another-string</t>
  </si>
  <si>
    <t>https://leetcode.com/problems/string-transforms-into-another-string/solution</t>
  </si>
  <si>
    <t>1157. Online Majority Element In Subarray</t>
  </si>
  <si>
    <t>42.2%</t>
  </si>
  <si>
    <t>1159. Market Analysis II</t>
  </si>
  <si>
    <t>https://leetcode.com/problems/market-analysis-ii</t>
  </si>
  <si>
    <t>https://leetcode.com/problems/market-analysis-ii/solution</t>
  </si>
  <si>
    <t>57.6%</t>
  </si>
  <si>
    <t>1163. Last Substring in Lexicographical Order</t>
  </si>
  <si>
    <t>1168. Optimize Water Distribution in a Village</t>
  </si>
  <si>
    <t>https://leetcode.com/problems/optimize-water-distribution-in-a-village</t>
  </si>
  <si>
    <t>https://leetcode.com/problems/optimize-water-distribution-in-a-village/solution</t>
  </si>
  <si>
    <t>1172. Dinner Plate Stacks</t>
  </si>
  <si>
    <t>1178. Number of Valid Words for Each Puzzle</t>
  </si>
  <si>
    <t>46.9%</t>
  </si>
  <si>
    <t>1183. Maximum Number of Ones</t>
  </si>
  <si>
    <t>https://leetcode.com/problems/maximum-number-of-ones</t>
  </si>
  <si>
    <t>https://leetcode.com/problems/maximum-number-of-ones/solution</t>
  </si>
  <si>
    <t>68.4%</t>
  </si>
  <si>
    <t>1187. Make Array Strictly Increasing</t>
  </si>
  <si>
    <t>57.9%</t>
  </si>
  <si>
    <t>1192. Critical Connections in a Network</t>
  </si>
  <si>
    <t>57.1%</t>
  </si>
  <si>
    <t>1194. Tournament Winners</t>
  </si>
  <si>
    <t>https://leetcode.com/problems/tournament-winners</t>
  </si>
  <si>
    <t>https://leetcode.com/problems/tournament-winners/solution</t>
  </si>
  <si>
    <t>49.6%</t>
  </si>
  <si>
    <t>1199. Minimum Time to Build Blocks</t>
  </si>
  <si>
    <t>https://leetcode.com/problems/minimum-time-to-build-blocks</t>
  </si>
  <si>
    <t>https://leetcode.com/problems/minimum-time-to-build-blocks/solution</t>
  </si>
  <si>
    <t>46.0%</t>
  </si>
  <si>
    <t>1203. Sort Items by Groups Respecting Dependencies</t>
  </si>
  <si>
    <t>65.8%</t>
  </si>
  <si>
    <t>1206. Design Skiplist</t>
  </si>
  <si>
    <t>61.9%</t>
  </si>
  <si>
    <t>1210. Minimum Moves to Reach Target with Rotations</t>
  </si>
  <si>
    <t>1216. Valid Palindrome III</t>
  </si>
  <si>
    <t>https://leetcode.com/problems/valid-palindrome-iii</t>
  </si>
  <si>
    <t>https://leetcode.com/problems/valid-palindrome-iii/solution</t>
  </si>
  <si>
    <t>1220. Count Vowels Permutation</t>
  </si>
  <si>
    <t>61.6%</t>
  </si>
  <si>
    <t>1223. Dice Roll Simulation</t>
  </si>
  <si>
    <t>1224. Maximum Equal Frequency</t>
  </si>
  <si>
    <t>37.3%</t>
  </si>
  <si>
    <t>1225. Report Contiguous Dates</t>
  </si>
  <si>
    <t>https://leetcode.com/problems/report-contiguous-dates</t>
  </si>
  <si>
    <t>1231. Divide Chocolate</t>
  </si>
  <si>
    <t>https://leetcode.com/problems/divide-chocolate</t>
  </si>
  <si>
    <t>https://leetcode.com/problems/divide-chocolate/solution</t>
  </si>
  <si>
    <t>59.5%</t>
  </si>
  <si>
    <t>1235. Maximum Profit in Job Scheduling</t>
  </si>
  <si>
    <t>54.4%</t>
  </si>
  <si>
    <t>1240. Tiling a Rectangle with the Fewest Squares</t>
  </si>
  <si>
    <t>1246. Palindrome Removal</t>
  </si>
  <si>
    <t>https://leetcode.com/problems/palindrome-removal</t>
  </si>
  <si>
    <t>1250. Check If It Is a Good Array</t>
  </si>
  <si>
    <t>60.8%</t>
  </si>
  <si>
    <t>1255. Maximum Score Words Formed by Letters</t>
  </si>
  <si>
    <t>81.7%</t>
  </si>
  <si>
    <t>1259. Handshakes That Don't Cross</t>
  </si>
  <si>
    <t>https://leetcode.com/problems/handshakes-that-dont-cross</t>
  </si>
  <si>
    <t>https://leetcode.com/problems/handshakes-that-dont-cross/solution</t>
  </si>
  <si>
    <t>1263. Minimum Moves to Move a Box to Their Target Location</t>
  </si>
  <si>
    <t>1269. Number of Ways to Stay in the Same Place After Some Steps</t>
  </si>
  <si>
    <t>1274. Number of Ships in a Rectangle</t>
  </si>
  <si>
    <t>https://leetcode.com/problems/number-of-ships-in-a-rectangle</t>
  </si>
  <si>
    <t>https://leetcode.com/problems/number-of-ships-in-a-rectangle/solution</t>
  </si>
  <si>
    <t>68.8%</t>
  </si>
  <si>
    <t>1278. Palindrome Partitioning III</t>
  </si>
  <si>
    <t>61.4%</t>
  </si>
  <si>
    <t>1284. Minimum Number of Flips to Convert Binary Matrix to Zero Matrix</t>
  </si>
  <si>
    <t>1289. Minimum Falling Path Sum II</t>
  </si>
  <si>
    <t>1293. Shortest Path in a Grid with Obstacles Elimination</t>
  </si>
  <si>
    <t>1298. Maximum Candies You Can Get from Boxes</t>
  </si>
  <si>
    <t>1301. Number of Paths with Max Score</t>
  </si>
  <si>
    <t>40.6%</t>
  </si>
  <si>
    <t>1307. Verbal Arithmetic Puzzle</t>
  </si>
  <si>
    <t>1312. Minimum Insertion Steps to Make a String Palindrome</t>
  </si>
  <si>
    <t>71.9%</t>
  </si>
  <si>
    <t>1316. Distinct Echo Substrings</t>
  </si>
  <si>
    <t>51.6%</t>
  </si>
  <si>
    <t>1320. Minimum Distance to Type a Word Using Two Fingers</t>
  </si>
  <si>
    <t>59.1%</t>
  </si>
  <si>
    <t>1326. Minimum Number of Taps to Open to Water a Garden</t>
  </si>
  <si>
    <t>1330. Reverse Subarray To Maximize Array Value</t>
  </si>
  <si>
    <t>1335. Minimum Difficulty of a Job Schedule</t>
  </si>
  <si>
    <t>59.6%</t>
  </si>
  <si>
    <t>1336. Number of Transactions per Visit</t>
  </si>
  <si>
    <t>https://leetcode.com/problems/number-of-transactions-per-visit</t>
  </si>
  <si>
    <t>1340. Jump Game V</t>
  </si>
  <si>
    <t>63.8%</t>
  </si>
  <si>
    <t>1345. Jump Game IV</t>
  </si>
  <si>
    <t>1349. Maximum Students Taking Exam</t>
  </si>
  <si>
    <t>1354. Construct Target Array With Multiple Sums</t>
  </si>
  <si>
    <t>36.2%</t>
  </si>
  <si>
    <t>1359. Count All Valid Pickup and Delivery Options</t>
  </si>
  <si>
    <t>64.9%</t>
  </si>
  <si>
    <t>1363. Largest Multiple of Three</t>
  </si>
  <si>
    <t>32.6%</t>
  </si>
  <si>
    <t>1368. Minimum Cost to Make at Least One Valid Path in a Grid</t>
  </si>
  <si>
    <t>70.9%</t>
  </si>
  <si>
    <t>1369. Get the Second Most Recent Activity</t>
  </si>
  <si>
    <t>https://leetcode.com/problems/get-the-second-most-recent-activity</t>
  </si>
  <si>
    <t>67.5%</t>
  </si>
  <si>
    <t>1373. Maximum Sum BST in Binary Tree</t>
  </si>
  <si>
    <t>1377. Frog Position After T Seconds</t>
  </si>
  <si>
    <t>35.7%</t>
  </si>
  <si>
    <t>1383. Maximum Performance of a Team</t>
  </si>
  <si>
    <t>47.6%</t>
  </si>
  <si>
    <t>1384. Total Sales Amount by Year</t>
  </si>
  <si>
    <t>https://leetcode.com/problems/total-sales-amount-by-year</t>
  </si>
  <si>
    <t>61.3%</t>
  </si>
  <si>
    <t>1388. Pizza With 3n Slices</t>
  </si>
  <si>
    <t>1392. Longest Happy Prefix</t>
  </si>
  <si>
    <t>47.7%</t>
  </si>
  <si>
    <t>1397. Find All Good Strings</t>
  </si>
  <si>
    <t>43.2%</t>
  </si>
  <si>
    <t>1402. Reducing Dishes</t>
  </si>
  <si>
    <t>76.3%</t>
  </si>
  <si>
    <t>1406. Stone Game III</t>
  </si>
  <si>
    <t>63.3%</t>
  </si>
  <si>
    <t>1411. Number of Ways to Paint N × 3 Grid</t>
  </si>
  <si>
    <t>1412. Find the Quiet Students in All Exams</t>
  </si>
  <si>
    <t>https://leetcode.com/problems/find-the-quiet-students-in-all-exams</t>
  </si>
  <si>
    <t>1416. Restore The Array</t>
  </si>
  <si>
    <t>1420. Build Array Where You Can Find The Maximum Exactly K Comparisons</t>
  </si>
  <si>
    <t>67.6%</t>
  </si>
  <si>
    <t>1425. Constrained Subsequence Sum</t>
  </si>
  <si>
    <t>1434. Number of Ways to Wear Different Hats to Each Other</t>
  </si>
  <si>
    <t>1439. Find the Kth Smallest Sum of a Matrix With Sorted Rows</t>
  </si>
  <si>
    <t>1444. Number of Ways of Cutting a Pizza</t>
  </si>
  <si>
    <t>1449. Form Largest Integer With Digits That Add up to Target</t>
  </si>
  <si>
    <t>1453. Maximum Number of Darts Inside of a Circular Dartboard</t>
  </si>
  <si>
    <t>38.6%</t>
  </si>
  <si>
    <t>1458. Max Dot Product of Two Subsequences</t>
  </si>
  <si>
    <t>1463. Cherry Pickup II</t>
  </si>
  <si>
    <t>1467. Probability of a Two Boxes Having The Same Number of Distinct Balls</t>
  </si>
  <si>
    <t>1473. Paint House III</t>
  </si>
  <si>
    <t>61.0%</t>
  </si>
  <si>
    <t>1478. Allocate Mailboxes</t>
  </si>
  <si>
    <t>55.6%</t>
  </si>
  <si>
    <t>1479. Sales by Day of the Week</t>
  </si>
  <si>
    <t>https://leetcode.com/problems/sales-by-day-of-the-week</t>
  </si>
  <si>
    <t>https://leetcode.com/problems/sales-by-day-of-the-week/solution</t>
  </si>
  <si>
    <t>77.4%</t>
  </si>
  <si>
    <t>1483. Kth Ancestor of a Tree Node</t>
  </si>
  <si>
    <t>35.4%</t>
  </si>
  <si>
    <t>1489. Find Critical and Pseudo-Critical Edges in Minimum Spanning Tree</t>
  </si>
  <si>
    <t>66.8%</t>
  </si>
  <si>
    <t>1494. Parallel Courses II</t>
  </si>
  <si>
    <t>29.5%</t>
  </si>
  <si>
    <t>1499. Max Value of Equation</t>
  </si>
  <si>
    <t>1505. Minimum Possible Integer After at Most K Adjacent Swaps On Digits</t>
  </si>
  <si>
    <t>40.3%</t>
  </si>
  <si>
    <t>1510. Stone Game IV</t>
  </si>
  <si>
    <t>1515. Best Position for a Service Centre</t>
  </si>
  <si>
    <t>1516. Move Sub-Tree of N-Ary Tree</t>
  </si>
  <si>
    <t>https://leetcode.com/problems/move-sub-tree-of-n-ary-tree</t>
  </si>
  <si>
    <t>60.6%</t>
  </si>
  <si>
    <t>1520. Maximum Number of Non-Overlapping Substrings</t>
  </si>
  <si>
    <t>39.9%</t>
  </si>
  <si>
    <t>1521. Find a Value of a Mysterious Function Closest to Target</t>
  </si>
  <si>
    <t>1526. Minimum Number of Increments on Subarrays to Form a Target Array</t>
  </si>
  <si>
    <t>1531. String Compression II</t>
  </si>
  <si>
    <t>52.2%</t>
  </si>
  <si>
    <t>1537. Get the Maximum Score</t>
  </si>
  <si>
    <t>39.8%</t>
  </si>
  <si>
    <t>1542. Find Longest Awesome Substring</t>
  </si>
  <si>
    <t>1547. Minimum Cost to Cut a Stick</t>
  </si>
  <si>
    <t>1548. The Most Similar Path in a Graph</t>
  </si>
  <si>
    <t>https://leetcode.com/problems/the-most-similar-path-in-a-graph</t>
  </si>
  <si>
    <t>https://leetcode.com/problems/the-most-similar-path-in-a-graph/solution</t>
  </si>
  <si>
    <t>1553. Minimum Number of Days to Eat N Oranges</t>
  </si>
  <si>
    <t>1563. Stone Game V</t>
  </si>
  <si>
    <t>41.0%</t>
  </si>
  <si>
    <t>1568. Minimum Number of Days to Disconnect Island</t>
  </si>
  <si>
    <t>1569. Number of Ways to Reorder Array to Get Same BST</t>
  </si>
  <si>
    <t>53.5%</t>
  </si>
  <si>
    <t>1575. Count All Possible Routes</t>
  </si>
  <si>
    <t>1579. Remove Max Number of Edges to Keep Graph Fully Traversable</t>
  </si>
  <si>
    <t>70.6%</t>
  </si>
  <si>
    <t>1585. Check If String Is Transformable With Substring Sort Operations</t>
  </si>
  <si>
    <t>1591. Strange Printer II</t>
  </si>
  <si>
    <t>1595. Minimum Cost to Connect Two Groups of Points</t>
  </si>
  <si>
    <t>1597. Build Binary Expression Tree From Infix Expression</t>
  </si>
  <si>
    <t>https://leetcode.com/problems/build-binary-expression-tree-from-infix-expression</t>
  </si>
  <si>
    <t>62.5%</t>
  </si>
  <si>
    <t>1601. Maximum Number of Achievable Transfer Requests</t>
  </si>
  <si>
    <t>64.5%</t>
  </si>
  <si>
    <t>1606. Find Servers That Handled Most Number of Requests</t>
  </si>
  <si>
    <t>43.7%</t>
  </si>
  <si>
    <t>1610. Maximum Number of Visible Points</t>
  </si>
  <si>
    <t>37.4%</t>
  </si>
  <si>
    <t>1611. Minimum One Bit Operations to Make Integers Zero</t>
  </si>
  <si>
    <t>73.6%</t>
  </si>
  <si>
    <t>1617. Count Subtrees With Max Distance Between Cities</t>
  </si>
  <si>
    <t>67.1%</t>
  </si>
  <si>
    <t>1622. Fancy Sequence</t>
  </si>
  <si>
    <t>18.0%</t>
  </si>
  <si>
    <t>1627. Graph Connectivity With Threshold</t>
  </si>
  <si>
    <t>47.8%</t>
  </si>
  <si>
    <t>1632. Rank Transform of a Matrix</t>
  </si>
  <si>
    <t>1635. Hopper Company Queries I</t>
  </si>
  <si>
    <t>https://leetcode.com/problems/hopper-company-queries-i</t>
  </si>
  <si>
    <t>https://leetcode.com/problems/hopper-company-queries-i/solution</t>
  </si>
  <si>
    <t>1639. Number of Ways to Form a Target String Given a Dictionary</t>
  </si>
  <si>
    <t>1643. Kth Smallest Instructions</t>
  </si>
  <si>
    <t>1645. Hopper Company Queries II</t>
  </si>
  <si>
    <t>https://leetcode.com/problems/hopper-company-queries-ii</t>
  </si>
  <si>
    <t>39.4%</t>
  </si>
  <si>
    <t>1649. Create Sorted Array through Instructions</t>
  </si>
  <si>
    <t>39.6%</t>
  </si>
  <si>
    <t>1651. Hopper Company Queries III</t>
  </si>
  <si>
    <t>https://leetcode.com/problems/hopper-company-queries-iii</t>
  </si>
  <si>
    <t>65.7%</t>
  </si>
  <si>
    <t>1655. Distribute Repeating Integers</t>
  </si>
  <si>
    <t>1659. Maximize Grid Happiness</t>
  </si>
  <si>
    <t>1665. Minimum Initial Energy to Finish Tasks</t>
  </si>
  <si>
    <t>1671. Minimum Number of Removals to Make Mountain Array</t>
  </si>
  <si>
    <t>55.0%</t>
  </si>
  <si>
    <t>1675. Minimize Deviation in Array</t>
  </si>
  <si>
    <t>54.0%</t>
  </si>
  <si>
    <t>1681. Minimum Incompatibility</t>
  </si>
  <si>
    <t>39.7%</t>
  </si>
  <si>
    <t>1687. Delivering Boxes from Storage to Ports</t>
  </si>
  <si>
    <t>1691. Maximum Height by Stacking Cuboids</t>
  </si>
  <si>
    <t>1692. Count Ways to Distribute Candies</t>
  </si>
  <si>
    <t>https://leetcode.com/problems/count-ways-to-distribute-candies</t>
  </si>
  <si>
    <t>62.9%</t>
  </si>
  <si>
    <t>1697. Checking Existence of Edge Length Limited Paths</t>
  </si>
  <si>
    <t>1703. Minimum Adjacent Swaps for K Consecutive Ones</t>
  </si>
  <si>
    <t>1707. Maximum XOR With an Element From Array</t>
  </si>
  <si>
    <t>1713. Minimum Operations to Make a Subsequence</t>
  </si>
  <si>
    <t>1714. Sum Of Special Evenly-Spaced Elements In Array</t>
  </si>
  <si>
    <t>https://leetcode.com/problems/sum-of-special-evenly-spaced-elements-in-array</t>
  </si>
  <si>
    <t>1719. Number Of Ways To Reconstruct A Tree</t>
  </si>
  <si>
    <t>44.1%</t>
  </si>
  <si>
    <t>1723. Find Minimum Time to Finish All Jobs</t>
  </si>
  <si>
    <t>1724. Checking Existence of Edge Length Limited Paths II</t>
  </si>
  <si>
    <t>https://leetcode.com/problems/checking-existence-of-edge-length-limited-paths-ii</t>
  </si>
  <si>
    <t>Minimum Spanning Tree</t>
  </si>
  <si>
    <t>51.3%</t>
  </si>
  <si>
    <t>1728. Cat and Mouse II</t>
  </si>
  <si>
    <t>1735. Count Ways to Make Array With Product</t>
  </si>
  <si>
    <t>1739. Building Boxes</t>
  </si>
  <si>
    <t>1745. Palindrome Partitioning IV</t>
  </si>
  <si>
    <t>1751. Maximum Number of Events That Can Be Attended II</t>
  </si>
  <si>
    <t>1755. Closest Subsequence Sum</t>
  </si>
  <si>
    <t>1761. Minimum Degree of a Connected Trio in a Graph</t>
  </si>
  <si>
    <t>1766. Tree of Coprimes</t>
  </si>
  <si>
    <t>1767. Find the Subtasks That Did Not Execute</t>
  </si>
  <si>
    <t>https://leetcode.com/problems/find-the-subtasks-that-did-not-execute</t>
  </si>
  <si>
    <t>78.1%</t>
  </si>
  <si>
    <t>1770. Maximum Score from Performing Multiplication Operations</t>
  </si>
  <si>
    <t>41.7%</t>
  </si>
  <si>
    <t>1771. Maximize Palindrome Length From Subsequences</t>
  </si>
  <si>
    <t>1776. Car Fleet II</t>
  </si>
  <si>
    <t>55.9%</t>
  </si>
  <si>
    <t>1782. Count Pairs Of Nodes</t>
  </si>
  <si>
    <t>1787. Make the XOR of All Segments Equal to Zero</t>
  </si>
  <si>
    <t>1788. Maximize the Beauty of the Garden</t>
  </si>
  <si>
    <t>https://leetcode.com/problems/maximize-the-beauty-of-the-garden</t>
  </si>
  <si>
    <t>64.0%</t>
  </si>
  <si>
    <t>1793. Maximum Score of a Good Subarray</t>
  </si>
  <si>
    <t>64.3%</t>
  </si>
  <si>
    <t>1799. Maximize Score After N Operations</t>
  </si>
  <si>
    <t>57.8%</t>
  </si>
  <si>
    <t>1803. Count Pairs With XOR in a Range</t>
  </si>
  <si>
    <t>48.4%</t>
  </si>
  <si>
    <t>1808. Maximize Number of Nice Divisors</t>
  </si>
  <si>
    <t>1815. Maximum Number of Groups Getting Fresh Donuts</t>
  </si>
  <si>
    <t>1819. Number of Different Subsequences GCDs</t>
  </si>
  <si>
    <t>41.4%</t>
  </si>
  <si>
    <t>1825. Finding MK Average</t>
  </si>
  <si>
    <t>37.8%</t>
  </si>
  <si>
    <t>1830. Minimum Number of Operations to Make String Sorted</t>
  </si>
  <si>
    <t>1835. Find XOR Sum of All Pairs Bitwise AND</t>
  </si>
  <si>
    <t>1840. Maximum Building Height</t>
  </si>
  <si>
    <t>1842. Next Palindrome Using Same Digits</t>
  </si>
  <si>
    <t>https://leetcode.com/problems/next-palindrome-using-same-digits</t>
  </si>
  <si>
    <t>1847. Closest Room</t>
  </si>
  <si>
    <t>1851. Minimum Interval to Include Each Query</t>
  </si>
  <si>
    <t>51.5%</t>
  </si>
  <si>
    <t>1857. Largest Color Value in a Directed Graph</t>
  </si>
  <si>
    <t>49.5%</t>
  </si>
  <si>
    <t>1862. Sum of Floored Pairs</t>
  </si>
  <si>
    <t>1866. Number of Ways to Rearrange Sticks With K Sticks Visible</t>
  </si>
  <si>
    <t>58.4%</t>
  </si>
  <si>
    <t>1872. Stone Game VIII</t>
  </si>
  <si>
    <t>1879. Minimum XOR Sum of Two Arrays</t>
  </si>
  <si>
    <t>48.7%</t>
  </si>
  <si>
    <t>1883. Minimum Skips to Arrive at Meeting On Time</t>
  </si>
  <si>
    <t>38.0%</t>
  </si>
  <si>
    <t>1889. Minimum Space Wasted From Packaging</t>
  </si>
  <si>
    <t>1892. Page Recommendations II</t>
  </si>
  <si>
    <t>https://leetcode.com/problems/page-recommendations-ii</t>
  </si>
  <si>
    <t>1896. Minimum Cost to Change the Final Value of Expression</t>
  </si>
  <si>
    <t>1900. The Earliest and Latest Rounds Where Players Compete</t>
  </si>
  <si>
    <t>1912. Design Movie Rental System</t>
  </si>
  <si>
    <t>1916. Count Ways to Build Rooms in an Ant Colony</t>
  </si>
  <si>
    <t>1917. Leetcodify Friends Recommendations</t>
  </si>
  <si>
    <t>https://leetcode.com/problems/leetcodify-friends-recommendations</t>
  </si>
  <si>
    <t>27.7%</t>
  </si>
  <si>
    <t>1919. Leetcodify Similar Friends</t>
  </si>
  <si>
    <t>https://leetcode.com/problems/leetcodify-similar-friends</t>
  </si>
  <si>
    <t>1923. Longest Common Subpath</t>
  </si>
  <si>
    <t>28.8%</t>
  </si>
  <si>
    <t>1924. Erect the Fence II</t>
  </si>
  <si>
    <t>https://leetcode.com/problems/erect-the-fence-ii</t>
  </si>
  <si>
    <t>1928. Minimum Cost to Reach Destination in Time</t>
  </si>
  <si>
    <t>1931. Painting a Grid With Three Different Colors</t>
  </si>
  <si>
    <t>1932. Merge BSTs to Create Single BST</t>
  </si>
  <si>
    <t>1938. Maximum Genetic Difference Query</t>
  </si>
  <si>
    <t>1944. Number of Visible People in a Queue</t>
  </si>
  <si>
    <t>1948. Delete Duplicate Folders in System</t>
  </si>
  <si>
    <t>1955. Count Number of Special Subsequences</t>
  </si>
  <si>
    <t>1956. Minimum Time For K Virus Variants to Spread</t>
  </si>
  <si>
    <t>https://leetcode.com/problems/minimum-time-for-k-virus-variants-to-spread</t>
  </si>
  <si>
    <t>1960. Maximum Product of the Length of Two Palindromic Substrings</t>
  </si>
  <si>
    <t>31.9%</t>
  </si>
  <si>
    <t>1964. Find the Longest Valid Obstacle Course at Each Position</t>
  </si>
  <si>
    <t>62.8%</t>
  </si>
  <si>
    <t>1970. Last Day Where You Can Still Cross</t>
  </si>
  <si>
    <t>1972. First and Last Call On the Same Day</t>
  </si>
  <si>
    <t>https://leetcode.com/problems/first-and-last-call-on-the-same-day</t>
  </si>
  <si>
    <t>51.0%</t>
  </si>
  <si>
    <t>https://leetcode.com/problems/first-and-last-call-on-the-same-day/solution</t>
  </si>
  <si>
    <t>1977. Number of Ways to Separate Numbers</t>
  </si>
  <si>
    <t>21.1%</t>
  </si>
  <si>
    <t>1982. Find Array Given Subset Sums</t>
  </si>
  <si>
    <t>48.8%</t>
  </si>
  <si>
    <t>1987. Number of Unique Good Subsequences</t>
  </si>
  <si>
    <t>1994. The Number of Good Subsets</t>
  </si>
  <si>
    <t>1998. GCD Sort of an Array</t>
  </si>
  <si>
    <t>46.3%</t>
  </si>
  <si>
    <t>2003. Smallest Missing Genetic Value in Each Subtree</t>
  </si>
  <si>
    <t>2004. The Number of Seniors and Juniors to Join the Company</t>
  </si>
  <si>
    <t>https://leetcode.com/problems/the-number-of-seniors-and-juniors-to-join-the-company</t>
  </si>
  <si>
    <t>https://leetcode.com/problems/the-number-of-seniors-and-juniors-to-join-the-company/solution</t>
  </si>
  <si>
    <t>2005. Subtree Removal Game with Fibonacci Tree</t>
  </si>
  <si>
    <t>https://leetcode.com/problems/subtree-removal-game-with-fibonacci-tree</t>
  </si>
  <si>
    <t>2009. Minimum Number of Operations to Make Array Continuous</t>
  </si>
  <si>
    <t>2010. The Number of Seniors and Juniors to Join the Company II</t>
  </si>
  <si>
    <t>https://leetcode.com/problems/the-number-of-seniors-and-juniors-to-join-the-company-ii</t>
  </si>
  <si>
    <t>2014. Longest Subsequence Repeated k Times</t>
  </si>
  <si>
    <t>2019. The Score of Students Solving Math Expression</t>
  </si>
  <si>
    <t>33.3%</t>
  </si>
  <si>
    <t>2025. Maximum Number of Ways to Partition an Array</t>
  </si>
  <si>
    <t>34.6%</t>
  </si>
  <si>
    <t>2030. Smallest K-Length Subsequence With Occurrences of a Letter</t>
  </si>
  <si>
    <t>39.5%</t>
  </si>
  <si>
    <t>2035. Partition Array Into Two Arrays to Minimize Sum Difference</t>
  </si>
  <si>
    <t>21.2%</t>
  </si>
  <si>
    <t>2040. Kth Smallest Product of Two Sorted Arrays</t>
  </si>
  <si>
    <t>29.6%</t>
  </si>
  <si>
    <t>2045. Second Minimum Time to Reach Destination</t>
  </si>
  <si>
    <t>2050. Parallel Courses III</t>
  </si>
  <si>
    <t>66.9%</t>
  </si>
  <si>
    <t>2056. Number of Valid Move Combinations On Chessboard</t>
  </si>
  <si>
    <t>2060. Check if an Original String Exists Given Two Encoded Strings</t>
  </si>
  <si>
    <t>2065. Maximum Path Quality of a Graph</t>
  </si>
  <si>
    <t>2071. Maximum Number of Tasks You Can Assign</t>
  </si>
  <si>
    <t>33.7%</t>
  </si>
  <si>
    <t>2076. Process Restricted Friend Requests</t>
  </si>
  <si>
    <t>2081. Sum of k-Mirror Numbers</t>
  </si>
  <si>
    <t>42.4%</t>
  </si>
  <si>
    <t>2088. Count Fertile Pyramids in a Land</t>
  </si>
  <si>
    <t>65.2%</t>
  </si>
  <si>
    <t>2092. Find All People With Secret</t>
  </si>
  <si>
    <t>45.4%</t>
  </si>
  <si>
    <t>2097. Valid Arrangement of Pairs</t>
  </si>
  <si>
    <t>2102. Sequentially Ordinal Rank Tracker</t>
  </si>
  <si>
    <t>64.6%</t>
  </si>
  <si>
    <t>2106. Maximum Fruits Harvested After at Most K Steps</t>
  </si>
  <si>
    <t>36.3%</t>
  </si>
  <si>
    <t>2111. Minimum Operations to Make the Array K-Increasing</t>
  </si>
  <si>
    <t>2117. Abbreviating the Product of a Range</t>
  </si>
  <si>
    <t>25.7%</t>
  </si>
  <si>
    <t>2118. Build the Equation</t>
  </si>
  <si>
    <t>https://leetcode.com/problems/build-the-equation</t>
  </si>
  <si>
    <t>56.1%</t>
  </si>
  <si>
    <t>2122. Recover the Original Array</t>
  </si>
  <si>
    <t>2123. Minimum Operations to Remove Adjacent Ones in Matrix</t>
  </si>
  <si>
    <t>https://leetcode.com/problems/minimum-operations-to-remove-adjacent-ones-in-matrix</t>
  </si>
  <si>
    <t>2127. Maximum Employees to Be Invited to a Meeting</t>
  </si>
  <si>
    <t>62.4%</t>
  </si>
  <si>
    <t>2132. Stamping the Grid</t>
  </si>
  <si>
    <t>2136. Earliest Possible Day of Full Bloom</t>
  </si>
  <si>
    <t>71.2%</t>
  </si>
  <si>
    <t>2141. Maximum Running Time of N Computers</t>
  </si>
  <si>
    <t>2143. Choose Numbers From Two Arrays in Range</t>
  </si>
  <si>
    <t>https://leetcode.com/problems/choose-numbers-from-two-arrays-in-range</t>
  </si>
  <si>
    <t>51.9%</t>
  </si>
  <si>
    <t>2147. Number of Ways to Divide a Long Corridor</t>
  </si>
  <si>
    <t>2151. Maximum Good People Based on Statements</t>
  </si>
  <si>
    <t>2153. The Number of Passengers in Each Bus II</t>
  </si>
  <si>
    <t>https://leetcode.com/problems/the-number-of-passengers-in-each-bus-ii</t>
  </si>
  <si>
    <t>https://leetcode.com/problems/the-number-of-passengers-in-each-bus-ii/solution</t>
  </si>
  <si>
    <t>2156. Find Substring With Given Hash Value</t>
  </si>
  <si>
    <t>24.3%</t>
  </si>
  <si>
    <t>2157. Groups of Strings</t>
  </si>
  <si>
    <t>26.4%</t>
  </si>
  <si>
    <t>2158. Amount of New Area Painted Each Day</t>
  </si>
  <si>
    <t>https://leetcode.com/problems/amount-of-new-area-painted-each-day</t>
  </si>
  <si>
    <t>2163. Minimum Difference in Sums After Removal of Elements</t>
  </si>
  <si>
    <t>2167. Minimum Time to Remove All Cars Containing Illegal Goods</t>
  </si>
  <si>
    <t>2172. Maximum AND Sum of Array</t>
  </si>
  <si>
    <t>2173. Longest Winning Streak</t>
  </si>
  <si>
    <t>https://leetcode.com/problems/longest-winning-streak</t>
  </si>
  <si>
    <t>https://leetcode.com/problems/longest-winning-streak/solution</t>
  </si>
  <si>
    <t>2179. Count Good Triplets in an Array</t>
  </si>
  <si>
    <t>41.8%</t>
  </si>
  <si>
    <t>2183. Count Array Pairs Divisible by K</t>
  </si>
  <si>
    <t>29.7%</t>
  </si>
  <si>
    <t>2188. Minimum Time to Finish the Race</t>
  </si>
  <si>
    <t>2193. Minimum Number of Moves to Make Palindrome</t>
  </si>
  <si>
    <t>51.7%</t>
  </si>
  <si>
    <t>2197. Replace Non-Coprime Numbers in Array</t>
  </si>
  <si>
    <t>2199. Finding the Topic of Each Post</t>
  </si>
  <si>
    <t>https://leetcode.com/problems/finding-the-topic-of-each-post</t>
  </si>
  <si>
    <t>2203. Minimum Weighted Subgraph With the Required Paths</t>
  </si>
  <si>
    <t>2204. Distance to a Cycle in Undirected Graph</t>
  </si>
  <si>
    <t>https://leetcode.com/problems/distance-to-a-cycle-in-undirected-graph</t>
  </si>
  <si>
    <t>72.7%</t>
  </si>
  <si>
    <t>https://leetcode.com/problems/distance-to-a-cycle-in-undirected-graph/solution</t>
  </si>
  <si>
    <t>2209. Minimum White Tiles After Covering With Carpets</t>
  </si>
  <si>
    <t>2213. Longest Substring of One Repeating Character</t>
  </si>
  <si>
    <t>2218. Maximum Value of K Coins From Piles</t>
  </si>
  <si>
    <t>2223. Sum of Scores of Built Strings</t>
  </si>
  <si>
    <t>2227. Encrypt and Decrypt Strings</t>
  </si>
  <si>
    <t>41.1%</t>
  </si>
  <si>
    <t>2234. Maximum Total Beauty of the Gardens</t>
  </si>
  <si>
    <t>29.8%</t>
  </si>
  <si>
    <t>2242. Maximum Score of a Node Sequence</t>
  </si>
  <si>
    <t>2246. Longest Path With Different Adjacent Characters</t>
  </si>
  <si>
    <t>2247. Maximum Cost of Trip With K Highways</t>
  </si>
  <si>
    <t>https://leetcode.com/problems/maximum-cost-of-trip-with-k-highways</t>
  </si>
  <si>
    <t>2251. Number of Flowers in Full Bloom</t>
  </si>
  <si>
    <t>2252. Dynamic Pivoting of a Table</t>
  </si>
  <si>
    <t>https://leetcode.com/problems/dynamic-pivoting-of-a-table</t>
  </si>
  <si>
    <t>2253. Dynamic Unpivoting of a Table</t>
  </si>
  <si>
    <t>https://leetcode.com/problems/dynamic-unpivoting-of-a-table</t>
  </si>
  <si>
    <t>2254. Design Video Sharing Platform</t>
  </si>
  <si>
    <t>https://leetcode.com/problems/design-video-sharing-platform</t>
  </si>
  <si>
    <t>63.9%</t>
  </si>
  <si>
    <t>2258. Escape the Spreading Fire</t>
  </si>
  <si>
    <t>35.9%</t>
  </si>
  <si>
    <t>2262. Total Appeal of A String</t>
  </si>
  <si>
    <t>55.8%</t>
  </si>
  <si>
    <t>2263. Make Array Non-decreasing or Non-increasing</t>
  </si>
  <si>
    <t>https://leetcode.com/problems/make-array-non-decreasing-or-non-increasing</t>
  </si>
  <si>
    <t>2267.  Check if There Is a Valid Parentheses String Path</t>
  </si>
  <si>
    <t>2272. Substring With Largest Variance</t>
  </si>
  <si>
    <t>2276. Count Integers in Intervals</t>
  </si>
  <si>
    <t>2277. Closest Node to Path in Tree</t>
  </si>
  <si>
    <t>https://leetcode.com/problems/closest-node-to-path-in-tree</t>
  </si>
  <si>
    <t>62.6%</t>
  </si>
  <si>
    <t>2281. Sum of Total Strength of Wizards</t>
  </si>
  <si>
    <t>28.1%</t>
  </si>
  <si>
    <t>2286. Booking Concert Tickets in Groups</t>
  </si>
  <si>
    <t>18.5%</t>
  </si>
  <si>
    <t>2290. Minimum Obstacle Removal to Reach Corner</t>
  </si>
  <si>
    <t>70.1%</t>
  </si>
  <si>
    <t>2296. Design a Text Editor</t>
  </si>
  <si>
    <t>2301. Match Substring After Replacement</t>
  </si>
  <si>
    <t>2302. Count Subarrays With Score Less Than K</t>
  </si>
  <si>
    <t>2306. Naming a Company</t>
  </si>
  <si>
    <t>2307. Check for Contradictions in Equations</t>
  </si>
  <si>
    <t>https://leetcode.com/problems/check-for-contradictions-in-equations</t>
  </si>
  <si>
    <t>2312. Selling Pieces of Wood</t>
  </si>
  <si>
    <t>51.1%</t>
  </si>
  <si>
    <t>2313. Minimum Flips in Binary Tree to Get Result</t>
  </si>
  <si>
    <t>https://leetcode.com/problems/minimum-flips-in-binary-tree-to-get-result</t>
  </si>
  <si>
    <t>56.7%</t>
  </si>
  <si>
    <t>2318. Number of Distinct Roll Sequences</t>
  </si>
  <si>
    <t>57.2%</t>
  </si>
  <si>
    <t>2321. Maximum Score Of Spliced Array</t>
  </si>
  <si>
    <t>2322. Minimum Score After Removals on a Tree</t>
  </si>
  <si>
    <t>2328. Number of Increasing Paths in a Grid</t>
  </si>
  <si>
    <t>2334. Subarray With Elements Greater Than Varying Threshold</t>
  </si>
  <si>
    <t>2338. Count the Number of Ideal Arrays</t>
  </si>
  <si>
    <t>27.3%</t>
  </si>
  <si>
    <t>2344. Minimum Deletions to Make Array Divisible</t>
  </si>
  <si>
    <t>2350. Shortest Impossible Sequence of Rolls</t>
  </si>
  <si>
    <t>68.6%</t>
  </si>
  <si>
    <t>2354. Number of Excellent Pairs</t>
  </si>
  <si>
    <t>2355. Maximum Number of Books You Can Take</t>
  </si>
  <si>
    <t>https://leetcode.com/problems/maximum-number-of-books-you-can-take</t>
  </si>
  <si>
    <t>https://leetcode.com/problems/maximum-number-of-books-you-can-take/solution</t>
  </si>
  <si>
    <t>2360. Longest Cycle in a Graph</t>
  </si>
  <si>
    <t>2361. Minimum Costs Using the Train Line</t>
  </si>
  <si>
    <t>https://leetcode.com/problems/minimum-costs-using-the-train-line</t>
  </si>
  <si>
    <t>https://leetcode.com/problems/minimum-costs-using-the-train-line/solution</t>
  </si>
  <si>
    <t>2362. Generate the Invoice</t>
  </si>
  <si>
    <t>https://leetcode.com/problems/generate-the-invoice</t>
  </si>
  <si>
    <t>75.7%</t>
  </si>
  <si>
    <t>2366. Minimum Replacements to Sort the Array</t>
  </si>
  <si>
    <t>2371. Minimize Maximum Value in a Grid</t>
  </si>
  <si>
    <t>https://leetcode.com/problems/minimize-maximum-value-in-a-grid</t>
  </si>
  <si>
    <t>70.7%</t>
  </si>
  <si>
    <t>https://leetcode.com/problems/minimize-maximum-value-in-a-grid/solution</t>
  </si>
  <si>
    <t>2376. Count Special Integers</t>
  </si>
  <si>
    <t>2382. Maximum Segment Sum After Removals</t>
  </si>
  <si>
    <t>48.1%</t>
  </si>
  <si>
    <t>2386. Find the K-Sum of an Array</t>
  </si>
  <si>
    <t>2392. Build a Matrix With Conditions</t>
  </si>
  <si>
    <t>79.4%</t>
  </si>
  <si>
    <t>2398. Maximum Number of Robots Within Budget</t>
  </si>
  <si>
    <t>2402. Meeting Rooms III</t>
  </si>
  <si>
    <t>2403. Minimum Time to Kill All Monsters</t>
  </si>
  <si>
    <t>https://leetcode.com/problems/minimum-time-to-kill-all-monsters</t>
  </si>
  <si>
    <t>2407. Longest Increasing Subsequence II</t>
  </si>
  <si>
    <t>24.8%</t>
  </si>
  <si>
    <t>2412. Minimum Money Required Before Transactions</t>
  </si>
  <si>
    <t>2416. Sum of Prefix Scores of Strings</t>
  </si>
  <si>
    <t>2421. Number of Good Paths</t>
  </si>
  <si>
    <t>2426. Number of Pairs Satisfying Inequality</t>
  </si>
  <si>
    <t>44.7%</t>
  </si>
  <si>
    <t>2430. Maximum Deletions on a String</t>
  </si>
  <si>
    <t>34.3%</t>
  </si>
  <si>
    <t>2435. Paths in Matrix Whose Sum Is Divisible by K</t>
  </si>
  <si>
    <t>2440. Create Components With Same Value</t>
  </si>
  <si>
    <t>53.1%</t>
  </si>
  <si>
    <t>2444. Count Subarrays With Fixed Bounds</t>
  </si>
  <si>
    <t>67.7%</t>
  </si>
  <si>
    <t>2448. Minimum Cost to Make Array Equal</t>
  </si>
  <si>
    <t>2449. Minimum Number of Operations to Make Arrays Similar</t>
  </si>
  <si>
    <t>2454. Next Greater Element IV</t>
  </si>
  <si>
    <t>2458. Height of Binary Tree After Subtree Removal Queries</t>
  </si>
  <si>
    <t>2459. Sort Array by Moving Items to Empty Space</t>
  </si>
  <si>
    <t>https://leetcode.com/problems/sort-array-by-moving-items-to-empty-space</t>
  </si>
  <si>
    <t>2463. Minimum Total Distance Traveled</t>
  </si>
  <si>
    <t>2468. Split Message Based on Limit</t>
  </si>
  <si>
    <t>43.1%</t>
  </si>
  <si>
    <t>2472. Maximum Number of Non-overlapping Palindrome Substrings</t>
  </si>
  <si>
    <t>2474. Customers With Strictly Increasing Purchases</t>
  </si>
  <si>
    <t>https://leetcode.com/problems/customers-with-strictly-increasing-purchases</t>
  </si>
  <si>
    <t>47.3%</t>
  </si>
  <si>
    <t>2478. Number of Beautiful Partitions</t>
  </si>
  <si>
    <t>2479. Maximum XOR of Two Non-Overlapping Subtrees</t>
  </si>
  <si>
    <t>https://leetcode.com/problems/maximum-xor-of-two-non-overlapping-subtrees</t>
  </si>
  <si>
    <t>48.5%</t>
  </si>
  <si>
    <t>2484. Count Palindromic Subsequences</t>
  </si>
  <si>
    <t>2488. Count Subarrays With Median K</t>
  </si>
  <si>
    <t>2493. Divide Nodes Into the Maximum Number of Groups</t>
  </si>
  <si>
    <t>2494. Merge Overlapping Events in the Same Hall</t>
  </si>
  <si>
    <t>https://leetcode.com/problems/merge-overlapping-events-in-the-same-hall</t>
  </si>
  <si>
    <t>2499. Minimum Total Cost to Make Arrays Unequal</t>
  </si>
  <si>
    <t>2503. Maximum Number of Points From Grid Queries</t>
  </si>
  <si>
    <t>2508. Add Edges to Make Degrees of All Nodes Even</t>
  </si>
  <si>
    <t>2509. Cycle Length Queries in a Tree</t>
  </si>
  <si>
    <t>2514. Count Anagrams</t>
  </si>
  <si>
    <t>2518. Number of Great Partitions</t>
  </si>
  <si>
    <t>2519. Count the Number of K-Big Indices</t>
  </si>
  <si>
    <t>https://leetcode.com/problems/count-the-number-of-k-big-indices</t>
  </si>
  <si>
    <t>53.2%</t>
  </si>
  <si>
    <t>2524. Maximum Frequency Score of a Subarray</t>
  </si>
  <si>
    <t>https://leetcode.com/problems/maximum-frequency-score-of-a-subarray</t>
  </si>
  <si>
    <t>35.1%</t>
  </si>
  <si>
    <t>2528. Maximize the Minimum Powered City</t>
  </si>
  <si>
    <t>2532. Time to Cross a Bridge</t>
  </si>
  <si>
    <t>2534. Time Taken to Cross the Door</t>
  </si>
  <si>
    <t>https://leetcode.com/problems/time-taken-to-cross-the-door</t>
  </si>
  <si>
    <t>2538. Difference Between Maximum and Minimum Price Sum</t>
  </si>
  <si>
    <t>2543. Check if Point Is Reachable</t>
  </si>
  <si>
    <t>2547. Minimum Cost to Split an Array</t>
  </si>
  <si>
    <t>2551. Put Marbles in Bags</t>
  </si>
  <si>
    <t>66.0%</t>
  </si>
  <si>
    <t>2552. Count Increasing Quadruplets</t>
  </si>
  <si>
    <t>33.6%</t>
  </si>
  <si>
    <t>2561. Rearranging Fruits</t>
  </si>
  <si>
    <t>34.4%</t>
  </si>
  <si>
    <t>2565. Subsequence With the Minimum Score</t>
  </si>
  <si>
    <t>32.4%</t>
  </si>
  <si>
    <t>2569. Handling Sum Queries After Update</t>
  </si>
  <si>
    <t>2573. Find the String with LCP</t>
  </si>
  <si>
    <t>31.0%</t>
  </si>
  <si>
    <t>2577. Minimum Time to Visit a Cell In a Grid</t>
  </si>
  <si>
    <t>2581. Count Number of Possible Root Nodes</t>
  </si>
  <si>
    <t>2584. Split the Array to Make Coprime Products</t>
  </si>
  <si>
    <t>23.6%</t>
  </si>
  <si>
    <t>2585. Number of Ways to Earn Points</t>
  </si>
  <si>
    <t>2589. Minimum Time to Complete All Tasks</t>
  </si>
  <si>
    <t>38.3%</t>
  </si>
  <si>
    <t>2603. Collect Coins in a Tree</t>
  </si>
  <si>
    <t>36.1%</t>
  </si>
  <si>
    <t>2604. Minimum Time to Eat All Grains</t>
  </si>
  <si>
    <t>https://leetcode.com/problems/minimum-time-to-eat-all-grains</t>
  </si>
  <si>
    <t>2608. Shortest Cycle in a Graph</t>
  </si>
  <si>
    <t>2612. Minimum Reverse Operations</t>
  </si>
  <si>
    <t>16.5%</t>
  </si>
  <si>
    <t>2613. Beautiful Pairs</t>
  </si>
  <si>
    <t>https://leetcode.com/problems/beautiful-pairs</t>
  </si>
  <si>
    <t>2617. Minimum Number of Visited Cells in a Grid</t>
  </si>
  <si>
    <t>2630. Memoize II</t>
  </si>
  <si>
    <t>2642. Design Graph With Shortest Path Calculator</t>
  </si>
  <si>
    <t>2646. Minimize the Total Price of the Trips</t>
  </si>
  <si>
    <t>2647. Color the Triangle Red</t>
  </si>
  <si>
    <t>https://leetcode.com/problems/color-the-triangle-red</t>
  </si>
  <si>
    <t>58.7%</t>
  </si>
  <si>
    <t>2650. Design Cancellable Function</t>
  </si>
  <si>
    <t>2659. Make Array Empty</t>
  </si>
  <si>
    <t>25.4%</t>
  </si>
  <si>
    <t>2663. Lexicographically Smallest Beautiful String</t>
  </si>
  <si>
    <t>38.9%</t>
  </si>
  <si>
    <t>2675. Array of Objects to Matrix</t>
  </si>
  <si>
    <t>https://leetcode.com/problems/array-of-objects-to-matrix</t>
  </si>
  <si>
    <t>https://leetcode.com/problems/array-of-objects-to-matrix/solution</t>
  </si>
  <si>
    <t>2681. Power of Heroes</t>
  </si>
  <si>
    <t>2691. Immutability Helper</t>
  </si>
  <si>
    <t>https://leetcode.com/problems/immutability-helper</t>
  </si>
  <si>
    <t>42.8%</t>
  </si>
  <si>
    <t>2699. Modify Graph Edge Weights</t>
  </si>
  <si>
    <t>2701. Consecutive Transactions with Increasing Amounts</t>
  </si>
  <si>
    <t>https://leetcode.com/problems/consecutive-transactions-with-increasing-amounts</t>
  </si>
  <si>
    <t>https://leetcode.com/problems/consecutive-transactions-with-increasing-amounts/solution</t>
  </si>
  <si>
    <t>2702. Minimum Operations to Make Numbers Non-positive</t>
  </si>
  <si>
    <t>https://leetcode.com/problems/minimum-operations-to-make-numbers-non-positive</t>
  </si>
  <si>
    <t>2709. Greatest Common Divisor Traversal</t>
  </si>
  <si>
    <t>2713. Maximum Strictly Increasing Cells in a Matrix</t>
  </si>
  <si>
    <t>30.4%</t>
  </si>
  <si>
    <t>2714. Find Shortest Path with K Hops</t>
  </si>
  <si>
    <t>https://leetcode.com/problems/find-shortest-path-with-k-hops</t>
  </si>
  <si>
    <t>61.2%</t>
  </si>
  <si>
    <t>2719. Count of Integers</t>
  </si>
  <si>
    <t>2720. Popularity Percentage</t>
  </si>
  <si>
    <t>https://leetcode.com/problems/popularity-percentage</t>
  </si>
  <si>
    <t>54.2%</t>
  </si>
  <si>
    <t>https://leetcode.com/problems/popularity-percentage/solution</t>
  </si>
  <si>
    <t>1910. Remove All Occurrences of a Substring</t>
  </si>
  <si>
    <t>https://leetcode.com/problems/remove-all-occurrences-of-a-substring/?envType=daily-question&amp;envId=2025-02-11</t>
  </si>
  <si>
    <t>https://leetcode.com/problems/remove-all-occurrences-of-a-substring/solution</t>
  </si>
  <si>
    <t>78.3%</t>
  </si>
  <si>
    <t>2752. Customers with Maximum Number of Transactions on Consecutive Days</t>
  </si>
  <si>
    <t>https://leetcode.com/problems/customers-with-maximum-number-of-transactions-on-consecutive-days</t>
  </si>
  <si>
    <t>2753. Count Houses in a Circular Street II</t>
  </si>
  <si>
    <t>https://leetcode.com/problems/count-houses-in-a-circular-street-ii</t>
  </si>
  <si>
    <t>2756. Query Batching</t>
  </si>
  <si>
    <t>https://leetcode.com/problems/query-batching</t>
  </si>
  <si>
    <t>2759. Convert JSON String to Object</t>
  </si>
  <si>
    <t>https://leetcode.com/problems/convert-json-string-to-object</t>
  </si>
  <si>
    <t>61.7%</t>
  </si>
  <si>
    <t>2792. Count Nodes That Are Great Enough</t>
  </si>
  <si>
    <t>https://leetcode.com/problems/count-nodes-that-are-great-enough</t>
  </si>
  <si>
    <t>2793. Status of Flight Tickets</t>
  </si>
  <si>
    <t>https://leetcode.com/problems/status-of-flight-tickets</t>
  </si>
  <si>
    <t>77.5%</t>
  </si>
  <si>
    <t>2814. Minimum Time Takes to Reach Destination Without Drowning</t>
  </si>
  <si>
    <t>https://leetcode.com/problems/minimum-time-takes-to-reach-destination-without-drowning</t>
  </si>
  <si>
    <t>2819. Minimum Relative Loss After Buying Chocolates</t>
  </si>
  <si>
    <t>https://leetcode.com/problems/minimum-relative-loss-after-buying-chocolates</t>
  </si>
  <si>
    <t>2868. The Wording Game</t>
  </si>
  <si>
    <t>https://leetcode.com/problems/the-wording-game</t>
  </si>
  <si>
    <t>53.4%</t>
  </si>
  <si>
    <t>2912. Number of Ways to Reach Destination in the Grid</t>
  </si>
  <si>
    <t>https://leetcode.com/problems/number-of-ways-to-reach-destination-in-the-grid</t>
  </si>
  <si>
    <t>59.2%</t>
  </si>
  <si>
    <t>2921. Maximum Profitable Triplets With Increasing Prices II</t>
  </si>
  <si>
    <t>https://leetcode.com/problems/maximum-profitable-triplets-with-increasing-prices-ii</t>
  </si>
  <si>
    <t>2927. Distribute Candies Among Children III</t>
  </si>
  <si>
    <t>https://leetcode.com/problems/distribute-candies-among-children-iii</t>
  </si>
  <si>
    <t>2941. Maximum GCD-Sum of a Subarray</t>
  </si>
  <si>
    <t>https://leetcode.com/problems/maximum-gcd-sum-of-a-subarray</t>
  </si>
  <si>
    <t>2969. Minimum Number of Coins for Fruits II</t>
  </si>
  <si>
    <t>https://leetcode.com/problems/minimum-number-of-coins-for-fruits-ii</t>
  </si>
  <si>
    <t>45.0%</t>
  </si>
  <si>
    <t>2991. Top Three Wineries</t>
  </si>
  <si>
    <t>https://leetcode.com/problems/top-three-wineries</t>
  </si>
  <si>
    <t>56.2%</t>
  </si>
  <si>
    <t>2994. Friday Purchases II</t>
  </si>
  <si>
    <t>https://leetcode.com/problems/friday-purchases-ii</t>
  </si>
  <si>
    <t>75.1%</t>
  </si>
  <si>
    <t>2995. Viewers Turned Streamers</t>
  </si>
  <si>
    <t>https://leetcode.com/problems/viewers-turned-streamers</t>
  </si>
  <si>
    <t>43.3%</t>
  </si>
  <si>
    <t>3009. Maximum Number of Intersections on the Chart</t>
  </si>
  <si>
    <t>https://leetcode.com/problems/maximum-number-of-intersections-on-the-chart</t>
  </si>
  <si>
    <t>45.3%</t>
  </si>
  <si>
    <t>3018. Maximum Number of Removal Queries That Can Be Processed I</t>
  </si>
  <si>
    <t>https://leetcode.com/problems/maximum-number-of-removal-queries-that-can-be-processed-i</t>
  </si>
  <si>
    <t>3037. Find Pattern in Infinite Stream II</t>
  </si>
  <si>
    <t>https://leetcode.com/problems/find-pattern-in-infinite-stream-ii</t>
  </si>
  <si>
    <t>69.1%</t>
  </si>
  <si>
    <t>3052. Maximize Items</t>
  </si>
  <si>
    <t>https://leetcode.com/problems/maximize-items</t>
  </si>
  <si>
    <t>73.9%</t>
  </si>
  <si>
    <t>3057. Employees Project Allocation</t>
  </si>
  <si>
    <t>https://leetcode.com/problems/employees-project-allocation</t>
  </si>
  <si>
    <t>69.0%</t>
  </si>
  <si>
    <t>3060. User Activities within Time Bounds</t>
  </si>
  <si>
    <t>https://leetcode.com/problems/user-activities-within-time-bounds</t>
  </si>
  <si>
    <t>3061. Calculate Trapping Rain Water</t>
  </si>
  <si>
    <t>https://leetcode.com/problems/calculate-trapping-rain-water</t>
  </si>
  <si>
    <t>3088. Make String Anti-palindrome</t>
  </si>
  <si>
    <t>https://leetcode.com/problems/make-string-anti-palindrome</t>
  </si>
  <si>
    <t>3103. Find Trending Hashtags II</t>
  </si>
  <si>
    <t>https://leetcode.com/problems/find-trending-hashtags-ii</t>
  </si>
  <si>
    <t>3104. Find Longest Self-Contained Substring</t>
  </si>
  <si>
    <t>https://leetcode.com/problems/find-longest-self-contained-substring</t>
  </si>
  <si>
    <t>3141. Maximum Hamming Distances</t>
  </si>
  <si>
    <t>https://leetcode.com/problems/maximum-hamming-distances</t>
  </si>
  <si>
    <t>47.4%</t>
  </si>
  <si>
    <t>3156. Employee Task Duration and Concurrent Tasks</t>
  </si>
  <si>
    <t>https://leetcode.com/problems/employee-task-duration-and-concurrent-tasks</t>
  </si>
  <si>
    <t>3188. Find Top Scoring Students II</t>
  </si>
  <si>
    <t>https://leetcode.com/problems/find-top-scoring-students-ii</t>
  </si>
  <si>
    <t>3214. Year on Year Growth Rate</t>
  </si>
  <si>
    <t>https://leetcode.com/problems/year-on-year-growth-rate</t>
  </si>
  <si>
    <t>3231. Minimum Number of Increasing Subsequence to Be Removed</t>
  </si>
  <si>
    <t>https://leetcode.com/problems/minimum-number-of-increasing-subsequence-to-be-removed</t>
  </si>
  <si>
    <t>3236. CEO Subordinate Hierarchy</t>
  </si>
  <si>
    <t>https://leetcode.com/problems/ceo-subordinate-hierarchy</t>
  </si>
  <si>
    <t>3268. Find Overlapping Shifts II</t>
  </si>
  <si>
    <t>https://leetcode.com/problems/find-overlapping-shifts-ii</t>
  </si>
  <si>
    <t>3269. Constructing Two Increasing Arrays</t>
  </si>
  <si>
    <t>https://leetcode.com/problems/constructing-two-increasing-arrays</t>
  </si>
  <si>
    <t>3279. Maximum Total Area Occupied by Pistons</t>
  </si>
  <si>
    <t>https://leetcode.com/problems/maximum-total-area-occupied-by-pistons</t>
  </si>
  <si>
    <t>3299. Sum of Consecutive Subsequences</t>
  </si>
  <si>
    <t>https://leetcode.com/problems/sum-of-consecutive-subsequences</t>
  </si>
  <si>
    <t>3313. Find the Last Marked Nodes in Tree</t>
  </si>
  <si>
    <t>https://leetcode.com/problems/find-the-last-marked-nodes-in-tree</t>
  </si>
  <si>
    <t>3329. Count Substrings With K-Frequency Characters II</t>
  </si>
  <si>
    <t>https://leetcode.com/problems/count-substrings-with-k-frequency-characters-ii</t>
  </si>
  <si>
    <t>71.7%</t>
  </si>
  <si>
    <t>3359. Find Sorted Submatrices With Maximum Element at Most K</t>
  </si>
  <si>
    <t>https://leetcode.com/problems/find-sorted-submatrices-with-maximum-element-at-most-k</t>
  </si>
  <si>
    <t>3368. First Letter Capitalization</t>
  </si>
  <si>
    <t>https://leetcode.com/problems/first-letter-capitalization</t>
  </si>
  <si>
    <t>89.4%</t>
  </si>
  <si>
    <t>3369. Design an Array Statistics Tracker</t>
  </si>
  <si>
    <t>https://leetcode.com/problems/design-an-array-statistics-tracker</t>
  </si>
  <si>
    <t>3383. Minimum Runes to Add to Cast Spell</t>
  </si>
  <si>
    <t>https://leetcode.com/problems/minimum-runes-to-add-to-cast-spell</t>
  </si>
  <si>
    <t>3384. Team Dominance by Pass Success</t>
  </si>
  <si>
    <t>https://leetcode.com/problems/team-dominance-by-pass-success</t>
  </si>
  <si>
    <t>82.6%</t>
  </si>
  <si>
    <t>3385. Minimum Time to Break Locks II</t>
  </si>
  <si>
    <t>https://leetcode.com/problems/minimum-time-to-break-locks-ii</t>
  </si>
  <si>
    <t>3390. Longest Team Pass Streak</t>
  </si>
  <si>
    <t>https://leetcode.com/problems/longest-team-pass-streak</t>
  </si>
  <si>
    <t>3401. Find Circular Gift Exchange Chains</t>
  </si>
  <si>
    <t>https://leetcode.com/problems/find-circular-gift-exchange-chains</t>
  </si>
  <si>
    <t>3406. Find the Lexicographically Largest String From the Box II</t>
  </si>
  <si>
    <t>https://leetcode.com/problems/find-the-lexicographically-largest-string-from-the-box-ii</t>
  </si>
  <si>
    <t>3416. Subsequences with a Unique Middle Mode II</t>
  </si>
  <si>
    <t>https://leetcode.com/problems/subsequences-with-a-unique-middle-mode-ii</t>
  </si>
  <si>
    <t>3149. Find the Minimum Cost Array Permutation</t>
  </si>
  <si>
    <t>22.7%</t>
  </si>
  <si>
    <t>3154. Find Number of Ways to Reach the K-th Stair</t>
  </si>
  <si>
    <t>3161. Block Placement Queries</t>
  </si>
  <si>
    <t>15.9%</t>
  </si>
  <si>
    <t>3165. Maximum Sum of Subsequence With Non-adjacent Elements</t>
  </si>
  <si>
    <t>16.4%</t>
  </si>
  <si>
    <t>3171. Find Subarray With Bitwise OR Closest to K</t>
  </si>
  <si>
    <t>30.3%</t>
  </si>
  <si>
    <t>3177. Find the Maximum Length of a Good Subsequence II</t>
  </si>
  <si>
    <t>24.2%</t>
  </si>
  <si>
    <t>3181. Maximum Total Reward Using Operations II</t>
  </si>
  <si>
    <t>20.8%</t>
  </si>
  <si>
    <t>3187. Peaks in Array</t>
  </si>
  <si>
    <t>3193. Count the Number of Inversions</t>
  </si>
  <si>
    <t>33.1%</t>
  </si>
  <si>
    <t>3197. Find the Minimum Area to Cover All Ones II</t>
  </si>
  <si>
    <t>3203. Find Minimum Diameter After Merging Two Trees</t>
  </si>
  <si>
    <t>58.0%</t>
  </si>
  <si>
    <t>3209. Number of Subarrays With AND Value of K</t>
  </si>
  <si>
    <t>34.1%</t>
  </si>
  <si>
    <t>3213. Construct String with Minimum Cost</t>
  </si>
  <si>
    <t>19.7%</t>
  </si>
  <si>
    <t>3219. Minimum Cost for Cutting Cake II</t>
  </si>
  <si>
    <t>55.2%</t>
  </si>
  <si>
    <t>3225. Maximum Score From Grid Operations</t>
  </si>
  <si>
    <t>24.4%</t>
  </si>
  <si>
    <t>3229. Minimum Operations to Make Array Equal to Target</t>
  </si>
  <si>
    <t>3235. Check if the Rectangle Corner Is Reachable</t>
  </si>
  <si>
    <t>26.0%</t>
  </si>
  <si>
    <t>3241. Time Taken to Mark All Nodes</t>
  </si>
  <si>
    <t>25.0%</t>
  </si>
  <si>
    <t>3244. Shortest Distance After Road Addition Queries II</t>
  </si>
  <si>
    <t>25.1%</t>
  </si>
  <si>
    <t>3245. Alternating Groups III</t>
  </si>
  <si>
    <t>14.5%</t>
  </si>
  <si>
    <t>3250. Find the Count of Monotonic Pairs I</t>
  </si>
  <si>
    <t>3251. Find the Count of Monotonic Pairs II</t>
  </si>
  <si>
    <t>23.1%</t>
  </si>
  <si>
    <t>3256. Maximum Value Sum by Placing Three Rooks I</t>
  </si>
  <si>
    <t>14.8%</t>
  </si>
  <si>
    <t>3257. Maximum Value Sum by Placing Three Rooks II</t>
  </si>
  <si>
    <t>3260. Find the Largest Palindrome Divisible by K</t>
  </si>
  <si>
    <t>15.2%</t>
  </si>
  <si>
    <t>3261. Count Substrings That Satisfy K-Constraint II</t>
  </si>
  <si>
    <t>22.3%</t>
  </si>
  <si>
    <t>3266. Final Array State After K Multiplication Operations II</t>
  </si>
  <si>
    <t>11.6%</t>
  </si>
  <si>
    <t>3267. Count Almost Equal Pairs II</t>
  </si>
  <si>
    <t>3272. Find the Count of Good Integers</t>
  </si>
  <si>
    <t>30.7%</t>
  </si>
  <si>
    <t>3273. Minimum Amount of Damage Dealt to Bob</t>
  </si>
  <si>
    <t>38.4%</t>
  </si>
  <si>
    <t>3276. Select Cells in Grid With Maximum Score</t>
  </si>
  <si>
    <t>14.1%</t>
  </si>
  <si>
    <t>3277. Maximum XOR Score Subarray Queries</t>
  </si>
  <si>
    <t>3283. Maximum Number of Moves to Kill All Pawns</t>
  </si>
  <si>
    <t>3287. Find the Maximum Sequence Value of Array</t>
  </si>
  <si>
    <t>3288. Length of the Longest Increasing Path</t>
  </si>
  <si>
    <t>16.8%</t>
  </si>
  <si>
    <t>3292. Minimum Number of Valid Strings to Form Target II</t>
  </si>
  <si>
    <t>17.8%</t>
  </si>
  <si>
    <t>3298. Count Substrings That Can Be Rearranged to Contain a String II</t>
  </si>
  <si>
    <t>3303. Find the Occurrence of First Almost Equal Substring</t>
  </si>
  <si>
    <t>12.7%</t>
  </si>
  <si>
    <t>3307. Find the K-th Character in String Game II</t>
  </si>
  <si>
    <t>29.9%</t>
  </si>
  <si>
    <t>3311. Construct 2D Grid Matching Graph Layout</t>
  </si>
  <si>
    <t>3312. Sorted GCD Pair Queries</t>
  </si>
  <si>
    <t>19.5%</t>
  </si>
  <si>
    <t>3317. Find the Number of Possible Ways for an Event</t>
  </si>
  <si>
    <t>3320. Count The Number of Winning Sequences</t>
  </si>
  <si>
    <t>3321. Find X-Sum of All K-Long Subarrays II</t>
  </si>
  <si>
    <t>15.7%</t>
  </si>
  <si>
    <t>3327. Check if DFS Strings Are Palindromes</t>
  </si>
  <si>
    <t>20.1%</t>
  </si>
  <si>
    <t>3333. Find the Original Typed String II</t>
  </si>
  <si>
    <t>15.6%</t>
  </si>
  <si>
    <t>3336. Find the Number of Subsequences With Equal GCD</t>
  </si>
  <si>
    <t>3337. Total Characters in String After Transformations II</t>
  </si>
  <si>
    <t>3343. Count Number of Balanced Permutations</t>
  </si>
  <si>
    <t>3347. Maximum Frequency of an Element After Performing Operations II</t>
  </si>
  <si>
    <t>38.8%</t>
  </si>
  <si>
    <t>3348. Smallest Divisible Digit Product II</t>
  </si>
  <si>
    <t>9.4%</t>
  </si>
  <si>
    <t>3351. Sum of Good Subsequences</t>
  </si>
  <si>
    <t>3352. Count K-Reducible Numbers Less Than N</t>
  </si>
  <si>
    <t>28.5%</t>
  </si>
  <si>
    <t>3357. Minimize the Maximum Adjacent Element Difference</t>
  </si>
  <si>
    <t>15.3%</t>
  </si>
  <si>
    <t>3363. Find the Maximum Number of Fruits Collected</t>
  </si>
  <si>
    <t>3367. Maximize Sum of Weights after Edge Removals</t>
  </si>
  <si>
    <t>3373. Maximize the Number of Target Nodes After Connecting Trees II</t>
  </si>
  <si>
    <t>3374. First Letter Capitalization II</t>
  </si>
  <si>
    <t>3378. Count Connected Components in LCM Graph</t>
  </si>
  <si>
    <t>3382. Maximum Area Rectangle With Point Constraints II</t>
  </si>
  <si>
    <t>20.7%</t>
  </si>
  <si>
    <t>3389. Minimum Operations to Make Character Frequencies Equal</t>
  </si>
  <si>
    <t>23.4%</t>
  </si>
  <si>
    <t>3395. Subsequences with a Unique Middle Mode I</t>
  </si>
  <si>
    <t>17.2%</t>
  </si>
  <si>
    <t>3398. Smallest Substring With Identical Characters I</t>
  </si>
  <si>
    <t>18.8%</t>
  </si>
  <si>
    <t>3399. Smallest Substring With Identical Characters II</t>
  </si>
  <si>
    <t>3405. Count the Number of Arrays with K Matching Adjacent Elements</t>
  </si>
  <si>
    <t>3410. Maximize Subarray Sum After Removing All Occurrences of One Element</t>
  </si>
  <si>
    <t>18.4%</t>
  </si>
  <si>
    <t>3414. Maximum Score of Non-overlapping Intervals</t>
  </si>
  <si>
    <t>32.1%</t>
  </si>
  <si>
    <t>3420. Count Non-Decreasing Subarrays After K Operations</t>
  </si>
  <si>
    <t>20.3%</t>
  </si>
  <si>
    <t>3425. Longest Special Path</t>
  </si>
  <si>
    <t>18.7%</t>
  </si>
  <si>
    <t>3426. Manhattan Distances of All Arrangements of Pieces</t>
  </si>
  <si>
    <t>3430. Maximum and Minimum Sums of at Most Size K Subarrays</t>
  </si>
  <si>
    <t>3435. Frequencies of Shortest Supersequences</t>
  </si>
  <si>
    <t>3441. Minimum Cost Good Caption</t>
  </si>
  <si>
    <t>3444. Minimum Increments for Target Multiples in an Array</t>
  </si>
  <si>
    <t>3445. Maximum Difference Between Even and Odd Frequency II</t>
  </si>
  <si>
    <t>3448. Count Substrings Divisible By Last Digit</t>
  </si>
  <si>
    <t>17.7%</t>
  </si>
  <si>
    <t>3449. Maximize the Minimum Game Score</t>
  </si>
  <si>
    <t>21.3%</t>
  </si>
  <si>
    <t>2732. Find a Good Subset of the Matrix</t>
  </si>
  <si>
    <t>2736. Maximum Sum Queries</t>
  </si>
  <si>
    <t>2742. Painting the Walls</t>
  </si>
  <si>
    <t>50.3%</t>
  </si>
  <si>
    <t>2751. Robot Collisions</t>
  </si>
  <si>
    <t>56.8%</t>
  </si>
  <si>
    <t>2763. Sum of Imbalance Numbers of All Subarrays</t>
  </si>
  <si>
    <t>2781. Length of the Longest Valid Substring</t>
  </si>
  <si>
    <t>37.9%</t>
  </si>
  <si>
    <t>2790. Maximum Number of Groups With Increasing Length</t>
  </si>
  <si>
    <t>20.2%</t>
  </si>
  <si>
    <t>2791. Count Paths That Can Form a Palindrome in a Tree</t>
  </si>
  <si>
    <t>2801. Count Stepping Numbers in Range</t>
  </si>
  <si>
    <t>27.9%</t>
  </si>
  <si>
    <t>2809. Minimum Time to Make Array Sum At Most x</t>
  </si>
  <si>
    <t>27.4%</t>
  </si>
  <si>
    <t>2813. Maximum Elegance of a K-Length Subsequence</t>
  </si>
  <si>
    <t>2818. Apply Operations to Maximize Score</t>
  </si>
  <si>
    <t>2827. Number of Beautiful Integers in the Range</t>
  </si>
  <si>
    <t>19.0%</t>
  </si>
  <si>
    <t>2835. Minimum Operations to Form Subsequence With Target Sum</t>
  </si>
  <si>
    <t>2836. Maximize Value of Function in a Ball Passing Game</t>
  </si>
  <si>
    <t>2842. Count K-Subsequences of a String With Maximum Beauty</t>
  </si>
  <si>
    <t>2846. Minimum Edge Weight Equilibrium Queries in a Tree</t>
  </si>
  <si>
    <t>2851. String Transformation</t>
  </si>
  <si>
    <t>2858. Minimum Edge Reversals So Every Node Is Reachable</t>
  </si>
  <si>
    <t>2862. Maximum Element-Sum of a Complete Subset of Indices</t>
  </si>
  <si>
    <t>2867. Count Valid Paths in a Tree</t>
  </si>
  <si>
    <t>2872. Maximum Number of K-Divisible Components</t>
  </si>
  <si>
    <t>70.2%</t>
  </si>
  <si>
    <t>2876. Count Visited Nodes in a Directed Graph</t>
  </si>
  <si>
    <t>2897. Apply Operations on Array to Maximize Sum of Squares</t>
  </si>
  <si>
    <t>2902. Count of Sub-Multisets With Bounded Sum</t>
  </si>
  <si>
    <t>21.5%</t>
  </si>
  <si>
    <t>2911. Minimum Changes to Make K Semi-palindromes</t>
  </si>
  <si>
    <t>2916. Subarrays Distinct Element Sum of Squares II</t>
  </si>
  <si>
    <t>21.6%</t>
  </si>
  <si>
    <t>2920. Maximum Points After Collecting Coins From All Nodes</t>
  </si>
  <si>
    <t>2926. Maximum Balanced Subsequence Sum</t>
  </si>
  <si>
    <t>2931. Maximum Spending After Buying Items</t>
  </si>
  <si>
    <t>2935. Maximum Strong Pair XOR II</t>
  </si>
  <si>
    <t>30.1%</t>
  </si>
  <si>
    <t>2940. Find Building Where Alice and Bob Can Meet</t>
  </si>
  <si>
    <t>2945. Find Maximum Non-decreasing Array Length</t>
  </si>
  <si>
    <t>2949. Count Beautiful Substrings II</t>
  </si>
  <si>
    <t>26.1%</t>
  </si>
  <si>
    <t>2953. Count Complete Substrings</t>
  </si>
  <si>
    <t>27.6%</t>
  </si>
  <si>
    <t>2954. Count the Number of Infection Sequences</t>
  </si>
  <si>
    <t>2959. Number of Possible Sets of Closing Branches</t>
  </si>
  <si>
    <t>50.8%</t>
  </si>
  <si>
    <t>2963. Count the Number of Good Partitions</t>
  </si>
  <si>
    <t>2968. Apply Operations to Maximize Frequency Score</t>
  </si>
  <si>
    <t>37.1%</t>
  </si>
  <si>
    <t>2972. Count the Number of Incremovable Subarrays II</t>
  </si>
  <si>
    <t>2973. Find Number of Coins to Place in Tree Nodes</t>
  </si>
  <si>
    <t>2977. Minimum Cost to Convert String II</t>
  </si>
  <si>
    <t>2983. Palindrome Rearrangement Queries</t>
  </si>
  <si>
    <t>2999. Count the Number of Powerful Integers</t>
  </si>
  <si>
    <t>26.6%</t>
  </si>
  <si>
    <t>3003. Maximize the Number of Partitions After Operations</t>
  </si>
  <si>
    <t>27.2%</t>
  </si>
  <si>
    <t>3008. Find Beautiful Indices in the Given Array II</t>
  </si>
  <si>
    <t>3013. Divide an Array Into Subarrays With Minimum Cost II</t>
  </si>
  <si>
    <t>3017. Count the Number of Houses at a Certain Distance II</t>
  </si>
  <si>
    <t>3022. Minimize OR of Remaining Elements Using Operations</t>
  </si>
  <si>
    <t>3027. Find the Number of Ways to Place People II</t>
  </si>
  <si>
    <t>46.6%</t>
  </si>
  <si>
    <t>3031. Minimum Time to Revert Word to Initial State II</t>
  </si>
  <si>
    <t>34.9%</t>
  </si>
  <si>
    <t>3036. Number of Subarrays That Match a Pattern II</t>
  </si>
  <si>
    <t>3041. Maximize Consecutive Elements in an Array After Modification</t>
  </si>
  <si>
    <t>30.9%</t>
  </si>
  <si>
    <t>3045. Count Prefix and Suffix Pairs II</t>
  </si>
  <si>
    <t>3049. Earliest Second to Mark Indices II</t>
  </si>
  <si>
    <t>3068. Find the Maximum Sum of Node Values</t>
  </si>
  <si>
    <t>3072. Distribute Elements Into Two Arrays II</t>
  </si>
  <si>
    <t>3077. Maximum Strength of K Disjoint Subarrays</t>
  </si>
  <si>
    <t>3082. Find the Sum of the Power of All Subsequences</t>
  </si>
  <si>
    <t>36.8%</t>
  </si>
  <si>
    <t>3086. Minimum Moves to Pick K Ones</t>
  </si>
  <si>
    <t>22.5%</t>
  </si>
  <si>
    <t>3093. Longest Common Suffix Queries</t>
  </si>
  <si>
    <t>37.7%</t>
  </si>
  <si>
    <t>3098. Find the Sum of Subsequence Powers</t>
  </si>
  <si>
    <t>3102. Minimize Manhattan Distances</t>
  </si>
  <si>
    <t>31.4%</t>
  </si>
  <si>
    <t>3108. Minimum Cost Walk in Weighted Graph</t>
  </si>
  <si>
    <t>3113. Find the Number of Subarrays Where Boundary Elements Are Maximum</t>
  </si>
  <si>
    <t>30.0%</t>
  </si>
  <si>
    <t>3116. Kth Smallest Amount With Single Denomination Combination</t>
  </si>
  <si>
    <t>17.5%</t>
  </si>
  <si>
    <t>3117. Minimum Sum of Values by Dividing Array</t>
  </si>
  <si>
    <t>3123. Find Edges in Shortest Paths</t>
  </si>
  <si>
    <t>45.9%</t>
  </si>
  <si>
    <t>3130. Find All Possible Stable Binary Arrays II</t>
  </si>
  <si>
    <t>27.0%</t>
  </si>
  <si>
    <t>3134. Find the Median of the Uniqueness Array</t>
  </si>
  <si>
    <t>28.6%</t>
  </si>
  <si>
    <t>3139. Minimum Cost to Equalize Array</t>
  </si>
  <si>
    <t>3145. Find Products of Elements of Big Array</t>
  </si>
  <si>
    <t>22.8%</t>
  </si>
  <si>
    <t xml:space="preserve"> Remove All Occurrences of a Substring</t>
  </si>
  <si>
    <t xml:space="preserve"> Read N Characters Given read4 II - Call Multiple Times</t>
  </si>
  <si>
    <t xml:space="preserve"> Strobogrammatic Number III</t>
  </si>
  <si>
    <t xml:space="preserve"> Paint House II</t>
  </si>
  <si>
    <t xml:space="preserve"> Alien Dictionary</t>
  </si>
  <si>
    <t xml:space="preserve"> Closest Binary Search Tree Value II</t>
  </si>
  <si>
    <t xml:space="preserve"> Best Meeting Point</t>
  </si>
  <si>
    <t xml:space="preserve"> Smallest Rectangle Enclosing Black Pixels</t>
  </si>
  <si>
    <t xml:space="preserve"> Number of Islands II</t>
  </si>
  <si>
    <t xml:space="preserve"> Shortest Distance from All Buildings</t>
  </si>
  <si>
    <t xml:space="preserve"> Rearrange String k Distance Apart</t>
  </si>
  <si>
    <t xml:space="preserve"> Minimum Unique Word Abbreviation</t>
  </si>
  <si>
    <t xml:space="preserve"> Word Squares</t>
  </si>
  <si>
    <t xml:space="preserve"> Serialize and Deserialize N-ary Tree</t>
  </si>
  <si>
    <t xml:space="preserve"> Encode N-ary Tree to Binary Tree</t>
  </si>
  <si>
    <t xml:space="preserve"> Optimal Account Balancing</t>
  </si>
  <si>
    <t xml:space="preserve"> Encode String with Shortest Length</t>
  </si>
  <si>
    <t xml:space="preserve"> Robot Room Cleaner</t>
  </si>
  <si>
    <t xml:space="preserve"> The Maze III</t>
  </si>
  <si>
    <t xml:space="preserve"> Word Abbreviation</t>
  </si>
  <si>
    <t xml:space="preserve"> Split Array with Equal Sum</t>
  </si>
  <si>
    <t xml:space="preserve"> Maximum Vacation Days</t>
  </si>
  <si>
    <t xml:space="preserve"> Median Employee Salary</t>
  </si>
  <si>
    <t xml:space="preserve"> Find Median Given Frequency of Numbers</t>
  </si>
  <si>
    <t xml:space="preserve"> Find Cumulative Salary of an Employee</t>
  </si>
  <si>
    <t xml:space="preserve"> Design In-Memory File System</t>
  </si>
  <si>
    <t xml:space="preserve"> Average Salary: Departments VS Company</t>
  </si>
  <si>
    <t xml:space="preserve"> Students Report By Geography</t>
  </si>
  <si>
    <t xml:space="preserve"> Design Excel Sum Formula</t>
  </si>
  <si>
    <t xml:space="preserve"> Design Search Autocomplete System</t>
  </si>
  <si>
    <t xml:space="preserve"> Maximum Average Subarray II</t>
  </si>
  <si>
    <t xml:space="preserve"> Coin Path</t>
  </si>
  <si>
    <t xml:space="preserve"> Remove 9</t>
  </si>
  <si>
    <t xml:space="preserve"> K Empty Slots</t>
  </si>
  <si>
    <t xml:space="preserve"> Number of Distinct Islands II</t>
  </si>
  <si>
    <t xml:space="preserve"> Max Stack</t>
  </si>
  <si>
    <t xml:space="preserve"> Minimum Window Subsequence</t>
  </si>
  <si>
    <t xml:space="preserve"> Employee Free Time</t>
  </si>
  <si>
    <t xml:space="preserve"> Basic Calculator III</t>
  </si>
  <si>
    <t xml:space="preserve"> Minimize Max Distance to Gas Station</t>
  </si>
  <si>
    <t xml:space="preserve"> Number of Valid Subarrays</t>
  </si>
  <si>
    <t xml:space="preserve"> Digit Count in Range</t>
  </si>
  <si>
    <t xml:space="preserve"> Confusing Number II</t>
  </si>
  <si>
    <t xml:space="preserve"> Game Play Analysis V</t>
  </si>
  <si>
    <t xml:space="preserve"> Divide Array Into Increasing Sequences</t>
  </si>
  <si>
    <t xml:space="preserve"> User Purchase Platform</t>
  </si>
  <si>
    <t xml:space="preserve"> String Transforms Into Another String</t>
  </si>
  <si>
    <t xml:space="preserve"> Market Analysis II</t>
  </si>
  <si>
    <t xml:space="preserve"> Optimize Water Distribution in a Village</t>
  </si>
  <si>
    <t xml:space="preserve"> Maximum Number of Ones</t>
  </si>
  <si>
    <t xml:space="preserve"> Tournament Winners</t>
  </si>
  <si>
    <t xml:space="preserve"> Minimum Time to Build Blocks</t>
  </si>
  <si>
    <t xml:space="preserve"> Valid Palindrome III</t>
  </si>
  <si>
    <t xml:space="preserve"> Report Contiguous Dates</t>
  </si>
  <si>
    <t xml:space="preserve"> Divide Chocolate</t>
  </si>
  <si>
    <t xml:space="preserve"> Palindrome Removal</t>
  </si>
  <si>
    <t xml:space="preserve"> Handshakes That Don't Cross</t>
  </si>
  <si>
    <t xml:space="preserve"> Number of Ships in a Rectangle</t>
  </si>
  <si>
    <t xml:space="preserve"> Number of Transactions per Visit</t>
  </si>
  <si>
    <t xml:space="preserve"> Get the Second Most Recent Activity</t>
  </si>
  <si>
    <t xml:space="preserve"> Total Sales Amount by Year</t>
  </si>
  <si>
    <t xml:space="preserve"> Find the Quiet Students in All Exams</t>
  </si>
  <si>
    <t xml:space="preserve"> Sales by Day of the Week</t>
  </si>
  <si>
    <t xml:space="preserve"> Move Sub-Tree of N-Ary Tree</t>
  </si>
  <si>
    <t xml:space="preserve"> The Most Similar Path in a Graph</t>
  </si>
  <si>
    <t xml:space="preserve"> Build Binary Expression Tree From Infix Expression</t>
  </si>
  <si>
    <t xml:space="preserve"> Hopper Company Queries I</t>
  </si>
  <si>
    <t xml:space="preserve"> Hopper Company Queries II</t>
  </si>
  <si>
    <t xml:space="preserve"> Hopper Company Queries III</t>
  </si>
  <si>
    <t xml:space="preserve"> Count Ways to Distribute Candies</t>
  </si>
  <si>
    <t xml:space="preserve"> Sum Of Special Evenly-Spaced Elements In Array</t>
  </si>
  <si>
    <t xml:space="preserve"> Checking Existence of Edge Length Limited Paths II</t>
  </si>
  <si>
    <t xml:space="preserve"> Find the Subtasks That Did Not Execute</t>
  </si>
  <si>
    <t xml:space="preserve"> Maximize the Beauty of the Garden</t>
  </si>
  <si>
    <t xml:space="preserve"> Next Palindrome Using Same Digits</t>
  </si>
  <si>
    <t xml:space="preserve"> Page Recommendations II</t>
  </si>
  <si>
    <t xml:space="preserve"> Leetcodify Friends Recommendations</t>
  </si>
  <si>
    <t xml:space="preserve"> Leetcodify Similar Friends</t>
  </si>
  <si>
    <t xml:space="preserve"> Erect the Fence II</t>
  </si>
  <si>
    <t xml:space="preserve"> Minimum Time For K Virus Variants to Spread</t>
  </si>
  <si>
    <t xml:space="preserve"> First and Last Call On the Same Day</t>
  </si>
  <si>
    <t xml:space="preserve"> The Number of Seniors and Juniors to Join the Company</t>
  </si>
  <si>
    <t xml:space="preserve"> Subtree Removal Game with Fibonacci Tree</t>
  </si>
  <si>
    <t xml:space="preserve"> The Number of Seniors and Juniors to Join the Company II</t>
  </si>
  <si>
    <t xml:space="preserve"> Build the Equation</t>
  </si>
  <si>
    <t xml:space="preserve"> Minimum Operations to Remove Adjacent Ones in Matrix</t>
  </si>
  <si>
    <t xml:space="preserve"> Choose Numbers From Two Arrays in Range</t>
  </si>
  <si>
    <t xml:space="preserve"> The Number of Passengers in Each Bus II</t>
  </si>
  <si>
    <t xml:space="preserve"> Amount of New Area Painted Each Day</t>
  </si>
  <si>
    <t xml:space="preserve"> Longest Winning Streak</t>
  </si>
  <si>
    <t xml:space="preserve"> Finding the Topic of Each Post</t>
  </si>
  <si>
    <t xml:space="preserve"> Distance to a Cycle in Undirected Graph</t>
  </si>
  <si>
    <t xml:space="preserve"> Maximum Cost of Trip With K Highways</t>
  </si>
  <si>
    <t xml:space="preserve"> Dynamic Pivoting of a Table</t>
  </si>
  <si>
    <t xml:space="preserve"> Dynamic Unpivoting of a Table</t>
  </si>
  <si>
    <t xml:space="preserve"> Design Video Sharing Platform</t>
  </si>
  <si>
    <t xml:space="preserve"> Make Array Non-decreasing or Non-increasing</t>
  </si>
  <si>
    <t xml:space="preserve"> Closest Node to Path in Tree</t>
  </si>
  <si>
    <t xml:space="preserve"> Check for Contradictions in Equations</t>
  </si>
  <si>
    <t xml:space="preserve"> Minimum Flips in Binary Tree to Get Result</t>
  </si>
  <si>
    <t xml:space="preserve"> Maximum Number of Books You Can Take</t>
  </si>
  <si>
    <t xml:space="preserve"> Minimum Costs Using the Train Line</t>
  </si>
  <si>
    <t xml:space="preserve"> Generate the Invoice</t>
  </si>
  <si>
    <t xml:space="preserve"> Minimize Maximum Value in a Grid</t>
  </si>
  <si>
    <t xml:space="preserve"> Minimum Time to Kill All Monsters</t>
  </si>
  <si>
    <t xml:space="preserve"> Sort Array by Moving Items to Empty Space</t>
  </si>
  <si>
    <t xml:space="preserve"> Customers With Strictly Increasing Purchases</t>
  </si>
  <si>
    <t xml:space="preserve"> Maximum XOR of Two Non-Overlapping Subtrees</t>
  </si>
  <si>
    <t xml:space="preserve"> Merge Overlapping Events in the Same Hall</t>
  </si>
  <si>
    <t xml:space="preserve"> Count the Number of K-Big Indices</t>
  </si>
  <si>
    <t xml:space="preserve"> Maximum Frequency Score of a Subarray</t>
  </si>
  <si>
    <t xml:space="preserve"> Time Taken to Cross the Door</t>
  </si>
  <si>
    <t xml:space="preserve"> Minimum Time to Eat All Grains</t>
  </si>
  <si>
    <t xml:space="preserve"> Beautiful Pairs</t>
  </si>
  <si>
    <t xml:space="preserve"> Color the Triangle Red</t>
  </si>
  <si>
    <t xml:space="preserve"> Array of Objects to Matrix</t>
  </si>
  <si>
    <t xml:space="preserve"> Immutability Helper</t>
  </si>
  <si>
    <t xml:space="preserve"> Consecutive Transactions with Increasing Amounts</t>
  </si>
  <si>
    <t xml:space="preserve"> Minimum Operations to Make Numbers Non-positive</t>
  </si>
  <si>
    <t xml:space="preserve"> Find Shortest Path with K Hops</t>
  </si>
  <si>
    <t xml:space="preserve"> Popularity Percentage</t>
  </si>
  <si>
    <t xml:space="preserve"> Customers with Maximum Number of Transactions on Consecutive Days</t>
  </si>
  <si>
    <t xml:space="preserve"> Count Houses in a Circular Street II</t>
  </si>
  <si>
    <t xml:space="preserve"> Query Batching</t>
  </si>
  <si>
    <t xml:space="preserve"> Convert JSON String to Object</t>
  </si>
  <si>
    <t xml:space="preserve"> Count Nodes That Are Great Enough</t>
  </si>
  <si>
    <t xml:space="preserve"> Status of Flight Tickets</t>
  </si>
  <si>
    <t xml:space="preserve"> Minimum Time Takes to Reach Destination Without Drowning</t>
  </si>
  <si>
    <t xml:space="preserve"> Minimum Relative Loss After Buying Chocolates</t>
  </si>
  <si>
    <t xml:space="preserve"> The Wording Game</t>
  </si>
  <si>
    <t xml:space="preserve"> Number of Ways to Reach Destination in the Grid</t>
  </si>
  <si>
    <t xml:space="preserve"> Maximum Profitable Triplets With Increasing Prices II</t>
  </si>
  <si>
    <t xml:space="preserve"> Distribute Candies Among Children III</t>
  </si>
  <si>
    <t xml:space="preserve"> Maximum GCD-Sum of a Subarray</t>
  </si>
  <si>
    <t xml:space="preserve"> Minimum Number of Coins for Fruits II</t>
  </si>
  <si>
    <t xml:space="preserve"> Top Three Wineries</t>
  </si>
  <si>
    <t xml:space="preserve"> Friday Purchases II</t>
  </si>
  <si>
    <t xml:space="preserve"> Viewers Turned Streamers</t>
  </si>
  <si>
    <t xml:space="preserve"> Maximum Number of Intersections on the Chart</t>
  </si>
  <si>
    <t xml:space="preserve"> Maximum Number of Removal Queries That Can Be Processed I</t>
  </si>
  <si>
    <t xml:space="preserve"> Find Pattern in Infinite Stream II</t>
  </si>
  <si>
    <t xml:space="preserve"> Maximize Items</t>
  </si>
  <si>
    <t xml:space="preserve"> Employees Project Allocation</t>
  </si>
  <si>
    <t xml:space="preserve"> User Activities within Time Bounds</t>
  </si>
  <si>
    <t xml:space="preserve"> Calculate Trapping Rain Water</t>
  </si>
  <si>
    <t xml:space="preserve"> Make String Anti-palindrome</t>
  </si>
  <si>
    <t xml:space="preserve"> Find Trending Hashtags II</t>
  </si>
  <si>
    <t xml:space="preserve"> Find Longest Self-Contained Substring</t>
  </si>
  <si>
    <t xml:space="preserve"> Maximum Hamming Distances</t>
  </si>
  <si>
    <t xml:space="preserve"> Employee Task Duration and Concurrent Tasks</t>
  </si>
  <si>
    <t xml:space="preserve"> Find Top Scoring Students II</t>
  </si>
  <si>
    <t xml:space="preserve"> Year on Year Growth Rate</t>
  </si>
  <si>
    <t xml:space="preserve"> Minimum Number of Increasing Subsequence to Be Removed</t>
  </si>
  <si>
    <t xml:space="preserve"> CEO Subordinate Hierarchy</t>
  </si>
  <si>
    <t xml:space="preserve"> Find Overlapping Shifts II</t>
  </si>
  <si>
    <t xml:space="preserve"> Constructing Two Increasing Arrays</t>
  </si>
  <si>
    <t xml:space="preserve"> Maximum Total Area Occupied by Pistons</t>
  </si>
  <si>
    <t xml:space="preserve"> Sum of Consecutive Subsequences</t>
  </si>
  <si>
    <t xml:space="preserve"> Find the Last Marked Nodes in Tree</t>
  </si>
  <si>
    <t xml:space="preserve"> Count Substrings With K-Frequency Characters II</t>
  </si>
  <si>
    <t xml:space="preserve"> Find Sorted Submatrices With Maximum Element at Most K</t>
  </si>
  <si>
    <t xml:space="preserve"> First Letter Capitalization</t>
  </si>
  <si>
    <t xml:space="preserve"> Design an Array Statistics Tracker</t>
  </si>
  <si>
    <t xml:space="preserve"> Minimum Runes to Add to Cast Spell</t>
  </si>
  <si>
    <t xml:space="preserve"> Team Dominance by Pass Success</t>
  </si>
  <si>
    <t xml:space="preserve"> Minimum Time to Break Locks II</t>
  </si>
  <si>
    <t xml:space="preserve"> Longest Team Pass Streak</t>
  </si>
  <si>
    <t xml:space="preserve"> Find Circular Gift Exchange Chains</t>
  </si>
  <si>
    <t xml:space="preserve"> Find the Lexicographically Largest String From the Box II</t>
  </si>
  <si>
    <t xml:space="preserve"> Subsequences with a Unique Middle Mode II</t>
  </si>
  <si>
    <t>Column2</t>
  </si>
  <si>
    <t>Column3</t>
  </si>
  <si>
    <t>Column4</t>
  </si>
  <si>
    <t>Found</t>
  </si>
  <si>
    <t>Maximize the Number of Target Nodes After Connecting Trees II</t>
  </si>
  <si>
    <t>Smallest Substring With Identical Characters II</t>
  </si>
  <si>
    <t>Find the Maximum Number of Fruits Collected</t>
  </si>
  <si>
    <t>Count the Number of Arrays with K Matching Adjacent Elements</t>
  </si>
  <si>
    <t>Manhattan Distances of All Arrangements of Pieces</t>
  </si>
  <si>
    <t>Maximum Score of Non-overlapping Intervals</t>
  </si>
  <si>
    <t>Maximize Sum of Weights after Edge Removals</t>
  </si>
  <si>
    <t>Count Connected Components in LCM Graph</t>
  </si>
  <si>
    <t>Minimum Operations to Make Character Frequencies Equal</t>
  </si>
  <si>
    <t>Maximum Area Rectangle With Point Constraints II</t>
  </si>
  <si>
    <t>Count Non-Decreasing Subarrays After K Operations</t>
  </si>
  <si>
    <t>Smallest Substring With Identical Characters I</t>
  </si>
  <si>
    <t>Longest Special Path</t>
  </si>
  <si>
    <t>Maximize Subarray Sum After Removing All Occurrences of One Element</t>
  </si>
  <si>
    <t>Subsequences with a Unique Middle Mode I</t>
  </si>
  <si>
    <t>Finns på LeetCode men är MEDIUM svår</t>
  </si>
  <si>
    <t>PassedTotal</t>
  </si>
  <si>
    <t>Missed solution class</t>
  </si>
  <si>
    <t>Wrong answer</t>
  </si>
  <si>
    <t>Passed total</t>
  </si>
  <si>
    <t>Error1</t>
  </si>
  <si>
    <t>Error2</t>
  </si>
  <si>
    <t>Error3</t>
  </si>
  <si>
    <t>Runtime error caused by excessive recursion</t>
  </si>
  <si>
    <t>Runtime error casued by  a set is being used incorrectly</t>
  </si>
  <si>
    <r>
      <t xml:space="preserve">Runtime error </t>
    </r>
    <r>
      <rPr>
        <sz val="11"/>
        <color theme="1"/>
        <rFont val="Aptos Narrow"/>
        <family val="2"/>
        <scheme val="minor"/>
      </rPr>
      <t xml:space="preserve">caused by an </t>
    </r>
    <r>
      <rPr>
        <b/>
        <sz val="11"/>
        <color theme="1"/>
        <rFont val="Aptos Narrow"/>
        <family val="2"/>
        <scheme val="minor"/>
      </rPr>
      <t>undefined variable</t>
    </r>
  </si>
  <si>
    <t>Runtime Error is caused by a variable is being used before it has been assigned a value.</t>
  </si>
  <si>
    <t>Runtime Error that WordFilter' is not defined</t>
  </si>
  <si>
    <t>Runtime error:missing solution</t>
  </si>
  <si>
    <t>Runtime error:An UnboundLocalError is a runtime error when a variable is accessed in the current scope before it’s defined.</t>
  </si>
  <si>
    <t>Runtime error: KeyError</t>
  </si>
  <si>
    <r>
      <t>Runtime error</t>
    </r>
    <r>
      <rPr>
        <sz val="11"/>
        <color theme="1"/>
        <rFont val="Aptos Narrow"/>
        <family val="2"/>
        <scheme val="minor"/>
      </rPr>
      <t xml:space="preserve"> is caused by an </t>
    </r>
    <r>
      <rPr>
        <b/>
        <sz val="11"/>
        <color theme="1"/>
        <rFont val="Aptos Narrow"/>
        <family val="2"/>
        <scheme val="minor"/>
      </rPr>
      <t xml:space="preserve">unexpected closing parenthesis </t>
    </r>
    <r>
      <rPr>
        <b/>
        <sz val="10"/>
        <color theme="1"/>
        <rFont val="Arial Unicode MS"/>
      </rPr>
      <t>)</t>
    </r>
    <r>
      <rPr>
        <sz val="11"/>
        <color theme="1"/>
        <rFont val="Aptos Narrow"/>
        <family val="2"/>
        <scheme val="minor"/>
      </rPr>
      <t xml:space="preserve"> while parsing an expression</t>
    </r>
  </si>
  <si>
    <t>Runtime Error is caused by not defined variable</t>
  </si>
  <si>
    <t>Runtime error</t>
  </si>
  <si>
    <t>Runtime Error with Solution not defined</t>
  </si>
  <si>
    <r>
      <t xml:space="preserve">Runtime error </t>
    </r>
    <r>
      <rPr>
        <sz val="11"/>
        <color theme="1"/>
        <rFont val="Aptos Narrow"/>
        <family val="2"/>
        <scheme val="minor"/>
      </rPr>
      <t xml:space="preserve">caused by an </t>
    </r>
    <r>
      <rPr>
        <b/>
        <sz val="11"/>
        <color theme="1"/>
        <rFont val="Aptos Narrow"/>
        <family val="2"/>
        <scheme val="minor"/>
      </rPr>
      <t>undefined variable</t>
    </r>
  </si>
  <si>
    <r>
      <t>Runtime error</t>
    </r>
    <r>
      <rPr>
        <sz val="11"/>
        <color theme="1"/>
        <rFont val="Aptos Narrow"/>
        <family val="2"/>
        <scheme val="minor"/>
      </rPr>
      <t xml:space="preserve"> is caused by an </t>
    </r>
    <r>
      <rPr>
        <b/>
        <sz val="11"/>
        <color theme="1"/>
        <rFont val="Aptos Narrow"/>
        <family val="2"/>
        <scheme val="minor"/>
      </rPr>
      <t xml:space="preserve">unexpected closing parenthesis </t>
    </r>
    <r>
      <rPr>
        <b/>
        <sz val="10"/>
        <color theme="1"/>
        <rFont val="Arial Unicode MS"/>
      </rPr>
      <t>)</t>
    </r>
    <r>
      <rPr>
        <sz val="11"/>
        <color theme="1"/>
        <rFont val="Aptos Narrow"/>
        <family val="2"/>
        <scheme val="minor"/>
      </rPr>
      <t xml:space="preserve"> while parsing an expression</t>
    </r>
  </si>
  <si>
    <t>o1</t>
  </si>
  <si>
    <t>4o</t>
  </si>
  <si>
    <t>0</t>
  </si>
  <si>
    <t>20204-03-10 from LeetCode</t>
  </si>
  <si>
    <t>Index</t>
  </si>
  <si>
    <t>https://leetcode.com/problems/maximize-subarrays-after-removing-one-conflicting-pair</t>
  </si>
  <si>
    <t>https://leetcode.com/problems/lexicographically-smallest-generated-string</t>
  </si>
  <si>
    <t>https://leetcode.com/problems/permutations-iv</t>
  </si>
  <si>
    <t>https://leetcode.com/problems/maximize-the-distance-between-points-on-a-square</t>
  </si>
  <si>
    <t>https://leetcode.com/problems/check-if-digits-are-equal-in-string-after-operations-ii</t>
  </si>
  <si>
    <t>https://leetcode.com/problems/length-of-longest-v-shaped-diagonal-segment</t>
  </si>
  <si>
    <t>https://leetcode.com/problems/shortest-matching-substring</t>
  </si>
  <si>
    <t>https://leetcode.com/problems/separate-squares-ii</t>
  </si>
  <si>
    <t>https://leetcode.com/problems/find-invalid-ip-addresses</t>
  </si>
  <si>
    <t xml:space="preserve"> Find Invalid IP Addresses</t>
  </si>
  <si>
    <t xml:space="preserve"> Separate Squares II</t>
  </si>
  <si>
    <t xml:space="preserve"> Shortest Matching Substring</t>
  </si>
  <si>
    <t xml:space="preserve"> Length of Longest V-Shaped Diagonal Segment</t>
  </si>
  <si>
    <t xml:space="preserve"> Check If Digits Are Equal in String After Operations II</t>
  </si>
  <si>
    <t xml:space="preserve"> Maximize the Distance Between Points on a Square</t>
  </si>
  <si>
    <t xml:space="preserve"> Permutations IV</t>
  </si>
  <si>
    <t xml:space="preserve"> Lexicographically Smallest Generated String</t>
  </si>
  <si>
    <t xml:space="preserve"> Maximize Subarrays After Removing One Conflicting Pair</t>
  </si>
  <si>
    <t>Runtime Error with indented problem</t>
  </si>
  <si>
    <t>Wrong Answer</t>
  </si>
  <si>
    <t>Maximum and minimun Sums of at Most Size K Subarrays</t>
  </si>
  <si>
    <t>Think more than 3 min</t>
  </si>
  <si>
    <t>Note</t>
  </si>
  <si>
    <t>Runtime error with undefined varialbe</t>
  </si>
  <si>
    <t>Runtime Error max recursion depth</t>
  </si>
  <si>
    <t>NameError: name 'list_of_all_vertices' is not defined</t>
  </si>
  <si>
    <t>Missed naming class Solution</t>
  </si>
  <si>
    <t>3:45 min on 2</t>
  </si>
  <si>
    <t>Class Solution not defined</t>
  </si>
  <si>
    <t>Runtime Error with no defined solution</t>
  </si>
  <si>
    <t xml:space="preserve">Runtime error with no defined solution </t>
  </si>
  <si>
    <t>TypeError not supported instance of List and Int</t>
  </si>
  <si>
    <t>Runtime error, no attribute 'get'</t>
  </si>
  <si>
    <t>List index out of range</t>
  </si>
  <si>
    <t>3 round took 4:11</t>
  </si>
  <si>
    <t>Main</t>
  </si>
  <si>
    <t>Post</t>
  </si>
  <si>
    <t xml:space="preserve">Modle </t>
  </si>
  <si>
    <t>3.5</t>
  </si>
  <si>
    <t>Problem Index</t>
  </si>
  <si>
    <t>Modle</t>
  </si>
  <si>
    <t>Model</t>
  </si>
  <si>
    <t>Proportionately</t>
  </si>
  <si>
    <t>Probme Link</t>
  </si>
  <si>
    <t>Models</t>
  </si>
  <si>
    <t>Experiment type</t>
  </si>
  <si>
    <t>Link to the worksheet</t>
  </si>
  <si>
    <t>Experiment</t>
  </si>
  <si>
    <t>Passed(X)</t>
  </si>
  <si>
    <t>Total(N)</t>
  </si>
  <si>
    <t>Pass Rate (p)</t>
  </si>
  <si>
    <t xml:space="preserve">q = (1-p) </t>
  </si>
  <si>
    <t>Std. Error(SE)</t>
  </si>
  <si>
    <t>Margin(z*SE)</t>
  </si>
  <si>
    <t>Lower CI</t>
  </si>
  <si>
    <t>Upper CI</t>
  </si>
  <si>
    <t>95% CI</t>
  </si>
  <si>
    <t xml:space="preserve">4o </t>
  </si>
  <si>
    <t xml:space="preserve">o1 </t>
  </si>
  <si>
    <t xml:space="preserve">3.5 </t>
  </si>
  <si>
    <t>Total Proportion Solved(X)</t>
  </si>
  <si>
    <t>Average Proportional Score (p)</t>
  </si>
  <si>
    <t>p^</t>
  </si>
  <si>
    <t>SE</t>
  </si>
  <si>
    <t>z-value</t>
  </si>
  <si>
    <t>p-value</t>
  </si>
  <si>
    <t>Confidence</t>
  </si>
  <si>
    <t>Significant</t>
  </si>
  <si>
    <t xml:space="preserve">3.5, 4o </t>
  </si>
  <si>
    <t xml:space="preserve">3.5, o1 </t>
  </si>
  <si>
    <t xml:space="preserve"> 4o, o1 </t>
  </si>
  <si>
    <t xml:space="preserve">4o, o1 </t>
  </si>
  <si>
    <t>3.5, 4o</t>
  </si>
  <si>
    <t>Main experiment</t>
  </si>
  <si>
    <t>Post-experiment</t>
  </si>
  <si>
    <t>Main experiment results of o1</t>
  </si>
  <si>
    <t>Main experiment results of 4o</t>
  </si>
  <si>
    <t>Main experiment results of 3.5</t>
  </si>
  <si>
    <t>Post-experiment results of o1</t>
  </si>
  <si>
    <t>Post-experiment results of 4o</t>
  </si>
  <si>
    <t>Unsolved problems by models in Post-experiment</t>
  </si>
  <si>
    <t>Unsolved problems by models in Main experiment</t>
  </si>
  <si>
    <t>3.5, 4o and o1</t>
  </si>
  <si>
    <t>4o and o1</t>
  </si>
  <si>
    <t>Pairwise Model Comparisons with Aggregated Approach (n = 60)</t>
  </si>
  <si>
    <t>Pairwise Model Comparisons with Proportional Approach (n = 30)</t>
  </si>
  <si>
    <t>Aggregated Approach (n = 60)</t>
  </si>
  <si>
    <t>Proportional Approach (n = 30)</t>
  </si>
  <si>
    <t>Aggregated Approach( n = 60)</t>
  </si>
  <si>
    <t>Proportional Approach ( n = 30)</t>
  </si>
  <si>
    <t>Wald Confidence Intervals Using the Proportional Approach ( n= 30)</t>
  </si>
  <si>
    <t>Wald Confidence Intervals Using the Aggregated (2-out-of-3) Approach ( n = 60)</t>
  </si>
  <si>
    <t>Main experiment ( n = 60)</t>
  </si>
  <si>
    <t>Post-experiment ( n = 30)</t>
  </si>
  <si>
    <t>1. Experiment Results by Model</t>
  </si>
  <si>
    <t xml:space="preserve">2. Unsolved Problems </t>
  </si>
  <si>
    <t xml:space="preserve">Link to the worksheet </t>
  </si>
  <si>
    <t>This workbook presents the results and statistical analysis of two experiments of three models—GPT-3.5, GPT-4o, and o1—on solving Hard LeetCode problems. The workbook is organized into the following sections:</t>
  </si>
  <si>
    <t xml:space="preserve">3. Pairwise P-value </t>
  </si>
  <si>
    <t xml:space="preserve">4. Wald Confidence Interval </t>
  </si>
  <si>
    <t>Main experiment of Model o1 (n = 60)</t>
  </si>
  <si>
    <t>Main experiment of Model GPT-4o (n = 60)</t>
  </si>
  <si>
    <t>Main experiment of Model GPT-3.5 (n = 60)</t>
  </si>
  <si>
    <t>Post-experiment of o1 (n = 30)</t>
  </si>
  <si>
    <t>Post-experiment of GPT-4o (n = 30)</t>
  </si>
  <si>
    <t xml:space="preserve">Unsolved problems of models in Main Experiment </t>
  </si>
  <si>
    <t xml:space="preserve">Unsolved problems of models in Post-experiment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</si>
</sst>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mmm\ d\,\ yyyy\ hh:mm"/>
    <numFmt numFmtId="165" formatCode="dd/mm/yyyy"/>
    <numFmt numFmtId="166" formatCode="yyyy/mm/dd\ hh:mm:ss"/>
    <numFmt numFmtId="168" formatCode="0.0000"/>
    <numFmt numFmtId="169" formatCode="#,##0.0000_ ;\-#,##0.0000\ "/>
    <numFmt numFmtId="170" formatCode="0.000"/>
  </numFmts>
  <fonts count="29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u/>
      <sz val="10"/>
      <color theme="9"/>
      <name val="Arial"/>
      <family val="2"/>
    </font>
    <font>
      <b/>
      <sz val="10"/>
      <color theme="1"/>
      <name val="Arial Unicode MS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ptos Narrow"/>
      <family val="2"/>
      <scheme val="minor"/>
    </font>
    <font>
      <u/>
      <sz val="10"/>
      <color rgb="FF1155CC"/>
      <name val="Arial"/>
      <family val="2"/>
    </font>
    <font>
      <b/>
      <u/>
      <sz val="10"/>
      <color rgb="FF1155CC"/>
      <name val="Arial"/>
      <family val="2"/>
    </font>
    <font>
      <sz val="11"/>
      <color theme="9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1"/>
      <name val="Arial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0"/>
      <name val="Arial"/>
      <family val="2"/>
    </font>
    <font>
      <sz val="14"/>
      <color rgb="FF1F1F1F"/>
      <name val="Inherit"/>
    </font>
    <font>
      <b/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theme="0"/>
        <bgColor indexed="64"/>
      </patternFill>
    </fill>
    <fill>
      <patternFill patternType="solid">
        <fgColor theme="1"/>
        <bgColor rgb="FFCFE2F3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rgb="FFCFE2F3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249977111117893"/>
        <bgColor rgb="FFCFE2F3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theme="1"/>
      </patternFill>
    </fill>
    <fill>
      <patternFill patternType="solid">
        <fgColor theme="9"/>
        <bgColor indexed="64"/>
      </patternFill>
    </fill>
  </fills>
  <borders count="36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theme="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theme="4"/>
      </top>
      <bottom style="thin">
        <color rgb="FF000000"/>
      </bottom>
      <diagonal/>
    </border>
    <border>
      <left/>
      <right/>
      <top style="thin">
        <color theme="4"/>
      </top>
      <bottom style="thin">
        <color rgb="FF000000"/>
      </bottom>
      <diagonal/>
    </border>
    <border>
      <left/>
      <right style="thin">
        <color rgb="FF000000"/>
      </right>
      <top style="thin">
        <color theme="4"/>
      </top>
      <bottom style="medium">
        <color rgb="FF000000"/>
      </bottom>
      <diagonal/>
    </border>
    <border>
      <left/>
      <right/>
      <top style="thin">
        <color theme="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theme="4"/>
      </top>
      <bottom style="medium">
        <color rgb="FF000000"/>
      </bottom>
      <diagonal/>
    </border>
    <border>
      <left/>
      <right/>
      <top style="thin">
        <color theme="4"/>
      </top>
      <bottom style="medium">
        <color rgb="FF000000"/>
      </bottom>
      <diagonal/>
    </border>
    <border>
      <left/>
      <right style="thin">
        <color rgb="FF000000"/>
      </right>
      <top style="double">
        <color theme="4"/>
      </top>
      <bottom style="thin">
        <color theme="4"/>
      </bottom>
      <diagonal/>
    </border>
    <border>
      <left/>
      <right/>
      <top style="double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theme="4"/>
      </top>
      <bottom style="thin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1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68">
    <xf numFmtId="0" fontId="0" fillId="0" borderId="0" xfId="0"/>
    <xf numFmtId="2" fontId="0" fillId="0" borderId="0" xfId="0" applyNumberFormat="1"/>
    <xf numFmtId="0" fontId="3" fillId="2" borderId="1" xfId="1" applyFont="1" applyFill="1" applyBorder="1"/>
    <xf numFmtId="0" fontId="3" fillId="2" borderId="2" xfId="1" applyFont="1" applyFill="1" applyBorder="1"/>
    <xf numFmtId="49" fontId="0" fillId="0" borderId="0" xfId="0" applyNumberFormat="1"/>
    <xf numFmtId="0" fontId="6" fillId="0" borderId="0" xfId="0" applyFont="1"/>
    <xf numFmtId="0" fontId="5" fillId="0" borderId="0" xfId="2"/>
    <xf numFmtId="10" fontId="0" fillId="0" borderId="0" xfId="0" applyNumberFormat="1"/>
    <xf numFmtId="0" fontId="3" fillId="2" borderId="0" xfId="1" applyFont="1" applyFill="1"/>
    <xf numFmtId="10" fontId="0" fillId="0" borderId="0" xfId="3" applyNumberFormat="1" applyFont="1" applyAlignment="1">
      <alignment horizontal="right"/>
    </xf>
    <xf numFmtId="10" fontId="6" fillId="0" borderId="0" xfId="0" applyNumberFormat="1" applyFont="1"/>
    <xf numFmtId="166" fontId="0" fillId="0" borderId="0" xfId="0" applyNumberFormat="1"/>
    <xf numFmtId="0" fontId="6" fillId="0" borderId="0" xfId="0" applyFont="1" applyAlignment="1">
      <alignment vertical="top" wrapText="1"/>
    </xf>
    <xf numFmtId="0" fontId="7" fillId="2" borderId="0" xfId="1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7" fillId="2" borderId="1" xfId="1" applyFont="1" applyFill="1" applyBorder="1" applyAlignment="1">
      <alignment vertical="top"/>
    </xf>
    <xf numFmtId="0" fontId="7" fillId="2" borderId="2" xfId="1" applyFont="1" applyFill="1" applyBorder="1" applyAlignment="1">
      <alignment vertical="top"/>
    </xf>
    <xf numFmtId="0" fontId="7" fillId="2" borderId="0" xfId="1" applyFont="1" applyFill="1" applyAlignment="1">
      <alignment vertical="top"/>
    </xf>
    <xf numFmtId="166" fontId="0" fillId="0" borderId="0" xfId="0" applyNumberFormat="1" applyAlignment="1">
      <alignment vertical="top"/>
    </xf>
    <xf numFmtId="0" fontId="6" fillId="0" borderId="12" xfId="0" applyFont="1" applyBorder="1" applyAlignment="1">
      <alignment vertical="top"/>
    </xf>
    <xf numFmtId="10" fontId="0" fillId="0" borderId="0" xfId="0" applyNumberFormat="1" applyAlignment="1">
      <alignment vertical="top"/>
    </xf>
    <xf numFmtId="10" fontId="0" fillId="0" borderId="0" xfId="0" applyNumberFormat="1" applyAlignment="1">
      <alignment horizontal="left" vertical="top"/>
    </xf>
    <xf numFmtId="0" fontId="12" fillId="2" borderId="4" xfId="1" applyFont="1" applyFill="1" applyBorder="1"/>
    <xf numFmtId="0" fontId="12" fillId="2" borderId="5" xfId="1" applyFont="1" applyFill="1" applyBorder="1"/>
    <xf numFmtId="0" fontId="12" fillId="2" borderId="7" xfId="1" applyFont="1" applyFill="1" applyBorder="1"/>
    <xf numFmtId="0" fontId="12" fillId="2" borderId="19" xfId="1" applyFont="1" applyFill="1" applyBorder="1"/>
    <xf numFmtId="0" fontId="11" fillId="0" borderId="8" xfId="1" applyFont="1" applyBorder="1" applyAlignment="1">
      <alignment horizontal="right"/>
    </xf>
    <xf numFmtId="0" fontId="14" fillId="0" borderId="6" xfId="1" applyFont="1" applyBorder="1"/>
    <xf numFmtId="10" fontId="11" fillId="0" borderId="6" xfId="1" applyNumberFormat="1" applyFont="1" applyBorder="1" applyAlignment="1">
      <alignment horizontal="right"/>
    </xf>
    <xf numFmtId="0" fontId="11" fillId="0" borderId="6" xfId="1" applyFont="1" applyBorder="1" applyAlignment="1">
      <alignment horizontal="right"/>
    </xf>
    <xf numFmtId="164" fontId="11" fillId="0" borderId="9" xfId="1" applyNumberFormat="1" applyFont="1" applyBorder="1" applyAlignment="1">
      <alignment horizontal="right"/>
    </xf>
    <xf numFmtId="22" fontId="2" fillId="0" borderId="3" xfId="1" applyNumberFormat="1" applyBorder="1"/>
    <xf numFmtId="0" fontId="11" fillId="0" borderId="6" xfId="1" applyFont="1" applyBorder="1"/>
    <xf numFmtId="0" fontId="11" fillId="0" borderId="9" xfId="1" applyFont="1" applyBorder="1"/>
    <xf numFmtId="0" fontId="12" fillId="0" borderId="6" xfId="1" applyFont="1" applyBorder="1" applyAlignment="1">
      <alignment horizontal="right"/>
    </xf>
    <xf numFmtId="0" fontId="11" fillId="0" borderId="14" xfId="1" applyFont="1" applyBorder="1" applyAlignment="1">
      <alignment horizontal="right"/>
    </xf>
    <xf numFmtId="0" fontId="14" fillId="0" borderId="10" xfId="1" applyFont="1" applyBorder="1"/>
    <xf numFmtId="10" fontId="11" fillId="0" borderId="10" xfId="1" applyNumberFormat="1" applyFont="1" applyBorder="1" applyAlignment="1">
      <alignment horizontal="right"/>
    </xf>
    <xf numFmtId="0" fontId="11" fillId="0" borderId="10" xfId="1" applyFont="1" applyBorder="1" applyAlignment="1">
      <alignment horizontal="right"/>
    </xf>
    <xf numFmtId="164" fontId="11" fillId="0" borderId="15" xfId="1" applyNumberFormat="1" applyFont="1" applyBorder="1" applyAlignment="1">
      <alignment horizontal="right"/>
    </xf>
    <xf numFmtId="0" fontId="11" fillId="0" borderId="10" xfId="1" applyFont="1" applyBorder="1"/>
    <xf numFmtId="0" fontId="11" fillId="0" borderId="15" xfId="1" applyFont="1" applyBorder="1"/>
    <xf numFmtId="0" fontId="11" fillId="2" borderId="8" xfId="1" applyFont="1" applyFill="1" applyBorder="1" applyAlignment="1">
      <alignment horizontal="right"/>
    </xf>
    <xf numFmtId="0" fontId="14" fillId="2" borderId="6" xfId="1" applyFont="1" applyFill="1" applyBorder="1"/>
    <xf numFmtId="10" fontId="11" fillId="2" borderId="6" xfId="1" applyNumberFormat="1" applyFont="1" applyFill="1" applyBorder="1" applyAlignment="1">
      <alignment horizontal="right"/>
    </xf>
    <xf numFmtId="0" fontId="11" fillId="2" borderId="6" xfId="1" applyFont="1" applyFill="1" applyBorder="1" applyAlignment="1">
      <alignment horizontal="right"/>
    </xf>
    <xf numFmtId="165" fontId="11" fillId="2" borderId="9" xfId="1" applyNumberFormat="1" applyFont="1" applyFill="1" applyBorder="1" applyAlignment="1">
      <alignment horizontal="right"/>
    </xf>
    <xf numFmtId="0" fontId="11" fillId="2" borderId="6" xfId="1" applyFont="1" applyFill="1" applyBorder="1"/>
    <xf numFmtId="0" fontId="11" fillId="2" borderId="9" xfId="1" applyFont="1" applyFill="1" applyBorder="1"/>
    <xf numFmtId="0" fontId="11" fillId="2" borderId="14" xfId="1" applyFont="1" applyFill="1" applyBorder="1" applyAlignment="1">
      <alignment horizontal="right"/>
    </xf>
    <xf numFmtId="0" fontId="14" fillId="2" borderId="10" xfId="1" applyFont="1" applyFill="1" applyBorder="1"/>
    <xf numFmtId="10" fontId="11" fillId="2" borderId="10" xfId="1" applyNumberFormat="1" applyFont="1" applyFill="1" applyBorder="1" applyAlignment="1">
      <alignment horizontal="right"/>
    </xf>
    <xf numFmtId="0" fontId="11" fillId="2" borderId="10" xfId="1" applyFont="1" applyFill="1" applyBorder="1" applyAlignment="1">
      <alignment horizontal="right"/>
    </xf>
    <xf numFmtId="165" fontId="11" fillId="2" borderId="15" xfId="1" applyNumberFormat="1" applyFont="1" applyFill="1" applyBorder="1" applyAlignment="1">
      <alignment horizontal="right"/>
    </xf>
    <xf numFmtId="0" fontId="11" fillId="2" borderId="10" xfId="1" applyFont="1" applyFill="1" applyBorder="1"/>
    <xf numFmtId="0" fontId="11" fillId="2" borderId="15" xfId="1" applyFont="1" applyFill="1" applyBorder="1"/>
    <xf numFmtId="0" fontId="2" fillId="0" borderId="3" xfId="1" applyBorder="1"/>
    <xf numFmtId="0" fontId="12" fillId="0" borderId="20" xfId="1" applyFont="1" applyBorder="1" applyAlignment="1">
      <alignment horizontal="right"/>
    </xf>
    <xf numFmtId="0" fontId="15" fillId="0" borderId="16" xfId="1" applyFont="1" applyBorder="1"/>
    <xf numFmtId="10" fontId="12" fillId="0" borderId="16" xfId="1" applyNumberFormat="1" applyFont="1" applyBorder="1" applyAlignment="1">
      <alignment horizontal="right"/>
    </xf>
    <xf numFmtId="0" fontId="12" fillId="0" borderId="16" xfId="1" applyFont="1" applyBorder="1" applyAlignment="1">
      <alignment horizontal="right"/>
    </xf>
    <xf numFmtId="164" fontId="12" fillId="0" borderId="17" xfId="1" applyNumberFormat="1" applyFont="1" applyBorder="1" applyAlignment="1">
      <alignment horizontal="right"/>
    </xf>
    <xf numFmtId="22" fontId="13" fillId="0" borderId="18" xfId="1" applyNumberFormat="1" applyFont="1" applyBorder="1"/>
    <xf numFmtId="0" fontId="12" fillId="0" borderId="16" xfId="1" applyFont="1" applyBorder="1"/>
    <xf numFmtId="0" fontId="12" fillId="0" borderId="17" xfId="1" applyFont="1" applyBorder="1"/>
    <xf numFmtId="10" fontId="12" fillId="0" borderId="16" xfId="1" applyNumberFormat="1" applyFont="1" applyBorder="1"/>
    <xf numFmtId="10" fontId="6" fillId="0" borderId="13" xfId="0" applyNumberFormat="1" applyFont="1" applyBorder="1"/>
    <xf numFmtId="0" fontId="4" fillId="0" borderId="0" xfId="1" applyFont="1"/>
    <xf numFmtId="0" fontId="11" fillId="0" borderId="0" xfId="1" applyFont="1"/>
    <xf numFmtId="0" fontId="16" fillId="0" borderId="0" xfId="0" applyFont="1"/>
    <xf numFmtId="49" fontId="5" fillId="0" borderId="0" xfId="2" applyNumberFormat="1"/>
    <xf numFmtId="0" fontId="17" fillId="0" borderId="0" xfId="0" applyFont="1"/>
    <xf numFmtId="10" fontId="6" fillId="0" borderId="21" xfId="0" applyNumberFormat="1" applyFont="1" applyBorder="1"/>
    <xf numFmtId="9" fontId="0" fillId="0" borderId="0" xfId="0" applyNumberFormat="1"/>
    <xf numFmtId="10" fontId="0" fillId="0" borderId="0" xfId="3" applyNumberFormat="1" applyFont="1" applyAlignment="1">
      <alignment horizontal="right" vertical="top"/>
    </xf>
    <xf numFmtId="0" fontId="18" fillId="2" borderId="0" xfId="1" applyFont="1" applyFill="1" applyAlignment="1">
      <alignment vertical="top"/>
    </xf>
    <xf numFmtId="0" fontId="0" fillId="3" borderId="28" xfId="0" applyFill="1" applyBorder="1" applyAlignment="1">
      <alignment horizontal="left" vertical="top"/>
    </xf>
    <xf numFmtId="0" fontId="0" fillId="3" borderId="28" xfId="1" applyFont="1" applyFill="1" applyBorder="1" applyAlignment="1">
      <alignment horizontal="left" vertical="top"/>
    </xf>
    <xf numFmtId="0" fontId="0" fillId="3" borderId="23" xfId="1" applyFont="1" applyFill="1" applyBorder="1" applyAlignment="1">
      <alignment horizontal="left" vertical="top"/>
    </xf>
    <xf numFmtId="10" fontId="0" fillId="3" borderId="23" xfId="1" applyNumberFormat="1" applyFont="1" applyFill="1" applyBorder="1" applyAlignment="1">
      <alignment horizontal="left" vertical="top"/>
    </xf>
    <xf numFmtId="166" fontId="0" fillId="3" borderId="23" xfId="1" applyNumberFormat="1" applyFont="1" applyFill="1" applyBorder="1" applyAlignment="1">
      <alignment horizontal="left" vertical="top"/>
    </xf>
    <xf numFmtId="166" fontId="0" fillId="3" borderId="23" xfId="0" applyNumberFormat="1" applyFill="1" applyBorder="1" applyAlignment="1">
      <alignment horizontal="left" vertical="top"/>
    </xf>
    <xf numFmtId="0" fontId="0" fillId="3" borderId="23" xfId="0" applyFill="1" applyBorder="1" applyAlignment="1">
      <alignment horizontal="left" vertical="top"/>
    </xf>
    <xf numFmtId="0" fontId="6" fillId="3" borderId="23" xfId="0" applyFont="1" applyFill="1" applyBorder="1" applyAlignment="1">
      <alignment horizontal="left" vertical="top"/>
    </xf>
    <xf numFmtId="0" fontId="0" fillId="3" borderId="26" xfId="1" applyFont="1" applyFill="1" applyBorder="1" applyAlignment="1">
      <alignment horizontal="left" vertical="top"/>
    </xf>
    <xf numFmtId="0" fontId="0" fillId="3" borderId="27" xfId="1" applyFont="1" applyFill="1" applyBorder="1" applyAlignment="1">
      <alignment horizontal="left" vertical="top"/>
    </xf>
    <xf numFmtId="10" fontId="0" fillId="3" borderId="29" xfId="1" applyNumberFormat="1" applyFont="1" applyFill="1" applyBorder="1" applyAlignment="1">
      <alignment horizontal="left" vertical="top"/>
    </xf>
    <xf numFmtId="0" fontId="0" fillId="3" borderId="29" xfId="1" applyFont="1" applyFill="1" applyBorder="1" applyAlignment="1">
      <alignment horizontal="left" vertical="top"/>
    </xf>
    <xf numFmtId="166" fontId="0" fillId="3" borderId="29" xfId="1" applyNumberFormat="1" applyFont="1" applyFill="1" applyBorder="1" applyAlignment="1">
      <alignment horizontal="left" vertical="top"/>
    </xf>
    <xf numFmtId="166" fontId="0" fillId="3" borderId="29" xfId="0" applyNumberFormat="1" applyFill="1" applyBorder="1" applyAlignment="1">
      <alignment horizontal="left" vertical="top"/>
    </xf>
    <xf numFmtId="0" fontId="0" fillId="3" borderId="29" xfId="0" applyFill="1" applyBorder="1" applyAlignment="1">
      <alignment horizontal="left" vertical="top"/>
    </xf>
    <xf numFmtId="0" fontId="0" fillId="3" borderId="24" xfId="0" applyFill="1" applyBorder="1" applyAlignment="1">
      <alignment horizontal="left" vertical="top"/>
    </xf>
    <xf numFmtId="0" fontId="0" fillId="3" borderId="31" xfId="0" applyFill="1" applyBorder="1" applyAlignment="1">
      <alignment horizontal="left" vertical="top"/>
    </xf>
    <xf numFmtId="0" fontId="0" fillId="3" borderId="31" xfId="1" applyFont="1" applyFill="1" applyBorder="1" applyAlignment="1">
      <alignment horizontal="left" vertical="top"/>
    </xf>
    <xf numFmtId="0" fontId="0" fillId="3" borderId="32" xfId="1" applyFont="1" applyFill="1" applyBorder="1" applyAlignment="1">
      <alignment horizontal="left" vertical="top"/>
    </xf>
    <xf numFmtId="10" fontId="0" fillId="3" borderId="32" xfId="1" applyNumberFormat="1" applyFont="1" applyFill="1" applyBorder="1" applyAlignment="1">
      <alignment horizontal="left" vertical="top"/>
    </xf>
    <xf numFmtId="166" fontId="0" fillId="3" borderId="32" xfId="1" applyNumberFormat="1" applyFont="1" applyFill="1" applyBorder="1" applyAlignment="1">
      <alignment horizontal="left" vertical="top"/>
    </xf>
    <xf numFmtId="166" fontId="0" fillId="3" borderId="32" xfId="0" applyNumberFormat="1" applyFill="1" applyBorder="1" applyAlignment="1">
      <alignment horizontal="left" vertical="top"/>
    </xf>
    <xf numFmtId="0" fontId="0" fillId="3" borderId="32" xfId="0" applyFill="1" applyBorder="1" applyAlignment="1">
      <alignment horizontal="left" vertical="top"/>
    </xf>
    <xf numFmtId="0" fontId="6" fillId="3" borderId="32" xfId="0" applyFont="1" applyFill="1" applyBorder="1" applyAlignment="1">
      <alignment horizontal="left" vertical="top"/>
    </xf>
    <xf numFmtId="0" fontId="0" fillId="3" borderId="33" xfId="0" applyFill="1" applyBorder="1" applyAlignment="1">
      <alignment horizontal="left" vertical="top"/>
    </xf>
    <xf numFmtId="0" fontId="21" fillId="4" borderId="0" xfId="1" applyFont="1" applyFill="1" applyAlignment="1">
      <alignment horizontal="left" vertical="top" wrapText="1"/>
    </xf>
    <xf numFmtId="0" fontId="21" fillId="4" borderId="25" xfId="1" applyFont="1" applyFill="1" applyBorder="1" applyAlignment="1">
      <alignment horizontal="left" vertical="top" wrapText="1"/>
    </xf>
    <xf numFmtId="0" fontId="21" fillId="4" borderId="30" xfId="1" applyFont="1" applyFill="1" applyBorder="1" applyAlignment="1">
      <alignment horizontal="left" vertical="top" wrapText="1"/>
    </xf>
    <xf numFmtId="10" fontId="0" fillId="3" borderId="23" xfId="3" applyNumberFormat="1" applyFont="1" applyFill="1" applyBorder="1" applyAlignment="1">
      <alignment horizontal="left" vertical="top"/>
    </xf>
    <xf numFmtId="0" fontId="6" fillId="3" borderId="29" xfId="0" applyFont="1" applyFill="1" applyBorder="1" applyAlignment="1">
      <alignment horizontal="left" vertical="top"/>
    </xf>
    <xf numFmtId="0" fontId="0" fillId="3" borderId="0" xfId="0" applyFill="1"/>
    <xf numFmtId="0" fontId="0" fillId="3" borderId="26" xfId="0" applyFill="1" applyBorder="1" applyAlignment="1">
      <alignment horizontal="left" vertical="top"/>
    </xf>
    <xf numFmtId="0" fontId="0" fillId="3" borderId="27" xfId="0" applyFill="1" applyBorder="1" applyAlignment="1">
      <alignment horizontal="left" vertical="top"/>
    </xf>
    <xf numFmtId="0" fontId="0" fillId="3" borderId="23" xfId="0" applyFill="1" applyBorder="1" applyAlignment="1">
      <alignment horizontal="left" vertical="top" wrapText="1"/>
    </xf>
    <xf numFmtId="9" fontId="0" fillId="3" borderId="23" xfId="3" applyFont="1" applyFill="1" applyBorder="1" applyAlignment="1">
      <alignment horizontal="left" vertical="top"/>
    </xf>
    <xf numFmtId="0" fontId="6" fillId="3" borderId="23" xfId="0" applyFont="1" applyFill="1" applyBorder="1" applyAlignment="1">
      <alignment horizontal="left" vertical="top" wrapText="1"/>
    </xf>
    <xf numFmtId="0" fontId="4" fillId="3" borderId="28" xfId="1" applyFont="1" applyFill="1" applyBorder="1" applyAlignment="1">
      <alignment horizontal="left" vertical="top"/>
    </xf>
    <xf numFmtId="0" fontId="9" fillId="3" borderId="23" xfId="1" applyFont="1" applyFill="1" applyBorder="1" applyAlignment="1">
      <alignment horizontal="left" vertical="top"/>
    </xf>
    <xf numFmtId="10" fontId="0" fillId="3" borderId="23" xfId="0" applyNumberFormat="1" applyFill="1" applyBorder="1" applyAlignment="1">
      <alignment horizontal="left" vertical="top"/>
    </xf>
    <xf numFmtId="22" fontId="0" fillId="3" borderId="23" xfId="0" applyNumberFormat="1" applyFill="1" applyBorder="1" applyAlignment="1">
      <alignment horizontal="left" vertical="top"/>
    </xf>
    <xf numFmtId="0" fontId="0" fillId="3" borderId="29" xfId="0" applyFill="1" applyBorder="1" applyAlignment="1">
      <alignment horizontal="left" vertical="top" wrapText="1"/>
    </xf>
    <xf numFmtId="0" fontId="3" fillId="2" borderId="1" xfId="1" applyFont="1" applyFill="1" applyBorder="1" applyAlignment="1">
      <alignment vertical="top"/>
    </xf>
    <xf numFmtId="0" fontId="20" fillId="5" borderId="0" xfId="0" applyFont="1" applyFill="1"/>
    <xf numFmtId="0" fontId="21" fillId="6" borderId="1" xfId="1" applyFont="1" applyFill="1" applyBorder="1" applyAlignment="1">
      <alignment vertical="top"/>
    </xf>
    <xf numFmtId="0" fontId="21" fillId="6" borderId="1" xfId="1" applyFont="1" applyFill="1" applyBorder="1"/>
    <xf numFmtId="0" fontId="21" fillId="6" borderId="2" xfId="1" applyFont="1" applyFill="1" applyBorder="1" applyAlignment="1">
      <alignment vertical="top"/>
    </xf>
    <xf numFmtId="0" fontId="21" fillId="6" borderId="0" xfId="1" applyFont="1" applyFill="1" applyAlignment="1">
      <alignment vertical="top"/>
    </xf>
    <xf numFmtId="0" fontId="20" fillId="7" borderId="0" xfId="0" applyFont="1" applyFill="1"/>
    <xf numFmtId="0" fontId="21" fillId="8" borderId="1" xfId="1" applyFont="1" applyFill="1" applyBorder="1" applyAlignment="1">
      <alignment vertical="top"/>
    </xf>
    <xf numFmtId="0" fontId="21" fillId="8" borderId="1" xfId="1" applyFont="1" applyFill="1" applyBorder="1"/>
    <xf numFmtId="0" fontId="21" fillId="8" borderId="2" xfId="1" applyFont="1" applyFill="1" applyBorder="1" applyAlignment="1">
      <alignment vertical="top"/>
    </xf>
    <xf numFmtId="0" fontId="21" fillId="8" borderId="0" xfId="1" applyFont="1" applyFill="1" applyAlignment="1">
      <alignment vertical="top"/>
    </xf>
    <xf numFmtId="0" fontId="20" fillId="9" borderId="0" xfId="0" applyFont="1" applyFill="1"/>
    <xf numFmtId="170" fontId="0" fillId="0" borderId="0" xfId="0" applyNumberFormat="1"/>
    <xf numFmtId="0" fontId="22" fillId="0" borderId="0" xfId="0" applyFont="1" applyAlignment="1">
      <alignment horizontal="left" vertical="center"/>
    </xf>
    <xf numFmtId="0" fontId="23" fillId="0" borderId="0" xfId="0" applyFont="1"/>
    <xf numFmtId="0" fontId="23" fillId="0" borderId="0" xfId="0" applyFont="1" applyAlignment="1">
      <alignment horizontal="left" vertical="top"/>
    </xf>
    <xf numFmtId="10" fontId="0" fillId="0" borderId="1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24" fillId="0" borderId="0" xfId="0" applyFont="1"/>
    <xf numFmtId="0" fontId="25" fillId="0" borderId="0" xfId="2" quotePrefix="1" applyFont="1"/>
    <xf numFmtId="0" fontId="25" fillId="0" borderId="0" xfId="2" applyFont="1"/>
    <xf numFmtId="49" fontId="24" fillId="0" borderId="0" xfId="0" applyNumberFormat="1" applyFont="1"/>
    <xf numFmtId="0" fontId="24" fillId="0" borderId="0" xfId="0" applyFont="1" applyAlignment="1">
      <alignment horizontal="left"/>
    </xf>
    <xf numFmtId="49" fontId="19" fillId="9" borderId="0" xfId="0" applyNumberFormat="1" applyFont="1" applyFill="1" applyAlignment="1">
      <alignment horizontal="center"/>
    </xf>
    <xf numFmtId="168" fontId="0" fillId="3" borderId="0" xfId="0" applyNumberFormat="1" applyFill="1"/>
    <xf numFmtId="169" fontId="0" fillId="3" borderId="0" xfId="0" applyNumberFormat="1" applyFill="1"/>
    <xf numFmtId="170" fontId="0" fillId="3" borderId="0" xfId="0" applyNumberFormat="1" applyFill="1"/>
    <xf numFmtId="9" fontId="0" fillId="3" borderId="0" xfId="0" applyNumberFormat="1" applyFill="1"/>
    <xf numFmtId="49" fontId="19" fillId="12" borderId="0" xfId="0" applyNumberFormat="1" applyFont="1" applyFill="1" applyAlignment="1">
      <alignment horizontal="center"/>
    </xf>
    <xf numFmtId="0" fontId="20" fillId="12" borderId="0" xfId="0" applyFont="1" applyFill="1"/>
    <xf numFmtId="170" fontId="20" fillId="12" borderId="0" xfId="0" applyNumberFormat="1" applyFont="1" applyFill="1"/>
    <xf numFmtId="49" fontId="19" fillId="9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168" fontId="0" fillId="3" borderId="0" xfId="0" applyNumberFormat="1" applyFill="1" applyAlignment="1">
      <alignment horizontal="left"/>
    </xf>
    <xf numFmtId="168" fontId="0" fillId="3" borderId="0" xfId="4" applyNumberFormat="1" applyFont="1" applyFill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wrapText="1"/>
    </xf>
    <xf numFmtId="49" fontId="19" fillId="10" borderId="0" xfId="0" applyNumberFormat="1" applyFont="1" applyFill="1" applyAlignment="1">
      <alignment horizontal="center" vertical="center"/>
    </xf>
    <xf numFmtId="0" fontId="27" fillId="0" borderId="0" xfId="0" applyFont="1" applyAlignment="1">
      <alignment horizontal="left"/>
    </xf>
    <xf numFmtId="0" fontId="27" fillId="0" borderId="0" xfId="0" applyFont="1"/>
    <xf numFmtId="0" fontId="28" fillId="0" borderId="0" xfId="0" applyFont="1" applyAlignment="1">
      <alignment horizontal="left"/>
    </xf>
    <xf numFmtId="0" fontId="24" fillId="10" borderId="0" xfId="0" applyFont="1" applyFill="1" applyAlignment="1">
      <alignment horizontal="left"/>
    </xf>
    <xf numFmtId="0" fontId="26" fillId="11" borderId="22" xfId="0" applyFont="1" applyFill="1" applyBorder="1" applyAlignment="1">
      <alignment horizontal="left"/>
    </xf>
    <xf numFmtId="0" fontId="27" fillId="0" borderId="0" xfId="0" applyFont="1" applyAlignment="1">
      <alignment horizontal="left" vertical="top" wrapText="1"/>
    </xf>
    <xf numFmtId="0" fontId="5" fillId="0" borderId="34" xfId="2" applyFont="1" applyBorder="1"/>
    <xf numFmtId="0" fontId="5" fillId="3" borderId="35" xfId="2" applyFont="1" applyFill="1" applyBorder="1"/>
    <xf numFmtId="0" fontId="27" fillId="0" borderId="0" xfId="0" applyFont="1" applyAlignment="1">
      <alignment horizontal="left"/>
    </xf>
    <xf numFmtId="0" fontId="23" fillId="0" borderId="0" xfId="0" applyFont="1" applyAlignment="1">
      <alignment horizontal="left"/>
    </xf>
  </cellXfs>
  <cellStyles count="5">
    <cellStyle name="Comma" xfId="4" builtinId="3"/>
    <cellStyle name="Hyperlink" xfId="2" builtinId="8"/>
    <cellStyle name="Normal" xfId="0" builtinId="0"/>
    <cellStyle name="Normal 2" xfId="1" xr:uid="{132F717D-655A-42A4-8173-0D7696D38741}"/>
    <cellStyle name="Percent" xfId="3" builtinId="5"/>
  </cellStyles>
  <dxfs count="295">
    <dxf>
      <fill>
        <patternFill patternType="solid">
          <fgColor rgb="FFFFC7CE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/>
        <vertical/>
        <horizontal/>
      </border>
    </dxf>
    <dxf>
      <border outline="0">
        <bottom style="thin">
          <color theme="5"/>
        </bottom>
      </border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  <fill>
        <patternFill>
          <bgColor theme="9" tint="-0.249977111117893"/>
        </patternFill>
      </fill>
      <alignment horizontal="left" vertical="bottom" textRotation="0" wrapText="0" indent="0" justifyLastLine="0" shrinkToFit="0" readingOrder="0"/>
    </dxf>
    <dxf>
      <fill>
        <patternFill>
          <fgColor indexed="64"/>
          <bgColor theme="9" tint="-0.249977111117893"/>
        </patternFill>
      </fill>
    </dxf>
    <dxf>
      <fill>
        <patternFill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>
          <fgColor indexed="64"/>
          <bgColor theme="0"/>
        </patternFill>
      </fill>
      <alignment horizontal="left" vertical="bottom" textRotation="0" indent="0" justifyLastLine="0" shrinkToFit="0" readingOrder="0"/>
    </dxf>
    <dxf>
      <font>
        <b/>
      </font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/>
      </font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ont>
        <b/>
      </font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/>
      </font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3" formatCode="0%"/>
      <fill>
        <patternFill patternType="solid">
          <fgColor indexed="64"/>
          <bgColor theme="0"/>
        </patternFill>
      </fill>
    </dxf>
    <dxf>
      <numFmt numFmtId="170" formatCode="0.000"/>
      <fill>
        <patternFill patternType="solid">
          <fgColor indexed="64"/>
          <bgColor theme="0"/>
        </patternFill>
      </fill>
    </dxf>
    <dxf>
      <numFmt numFmtId="169" formatCode="#,##0.0000_ ;\-#,##0.0000\ "/>
      <fill>
        <patternFill patternType="solid">
          <fgColor indexed="64"/>
          <bgColor theme="0"/>
        </patternFill>
      </fill>
    </dxf>
    <dxf>
      <numFmt numFmtId="168" formatCode="0.0000"/>
      <fill>
        <patternFill patternType="solid">
          <fgColor indexed="64"/>
          <bgColor theme="0"/>
        </patternFill>
      </fill>
    </dxf>
    <dxf>
      <numFmt numFmtId="168" formatCode="0.00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3" formatCode="0%"/>
      <fill>
        <patternFill patternType="solid">
          <fgColor indexed="64"/>
          <bgColor theme="0"/>
        </patternFill>
      </fill>
    </dxf>
    <dxf>
      <numFmt numFmtId="170" formatCode="0.000"/>
      <fill>
        <patternFill patternType="solid">
          <fgColor indexed="64"/>
          <bgColor theme="0"/>
        </patternFill>
      </fill>
    </dxf>
    <dxf>
      <numFmt numFmtId="169" formatCode="#,##0.0000_ ;\-#,##0.0000\ "/>
      <fill>
        <patternFill patternType="solid">
          <fgColor indexed="64"/>
          <bgColor theme="0"/>
        </patternFill>
      </fill>
    </dxf>
    <dxf>
      <numFmt numFmtId="168" formatCode="0.0000"/>
      <fill>
        <patternFill patternType="solid">
          <fgColor indexed="64"/>
          <bgColor theme="0"/>
        </patternFill>
      </fill>
    </dxf>
    <dxf>
      <numFmt numFmtId="168" formatCode="0.00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font>
        <strike val="0"/>
        <outline val="0"/>
        <shadow val="0"/>
        <vertAlign val="baseline"/>
        <sz val="12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9C0006"/>
          <bgColor rgb="FFFFFF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color theme="0"/>
      </font>
      <fill>
        <patternFill>
          <bgColor theme="4" tint="-0.249977111117893"/>
        </patternFill>
      </fill>
    </dxf>
    <dxf>
      <font>
        <b/>
      </font>
      <numFmt numFmtId="14" formatCode="0.00%"/>
      <alignment horizontal="left" vertical="top" textRotation="0" wrapText="0" indent="0" justifyLastLine="0" shrinkToFit="0" readingOrder="0"/>
    </dxf>
    <dxf>
      <numFmt numFmtId="14" formatCode="0.00%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/>
      </font>
      <numFmt numFmtId="0" formatCode="General"/>
    </dxf>
    <dxf>
      <numFmt numFmtId="166" formatCode="yyyy/mm/dd\ hh:mm:ss"/>
    </dxf>
    <dxf>
      <numFmt numFmtId="166" formatCode="yyyy/mm/dd\ hh:mm:ss"/>
    </dxf>
    <dxf>
      <numFmt numFmtId="166" formatCode="yyyy/mm/dd\ hh:mm:ss"/>
    </dxf>
    <dxf>
      <numFmt numFmtId="14" formatCode="0.00%"/>
    </dxf>
    <dxf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family val="2"/>
        <scheme val="none"/>
      </font>
      <border diagonalUp="0" diagonalDown="0" outline="0">
        <left/>
        <right style="thin">
          <color rgb="FF000000"/>
        </right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scheme val="none"/>
      </font>
      <border diagonalUp="0" diagonalDown="0" outline="0">
        <left/>
        <right/>
        <top style="thin">
          <color theme="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family val="2"/>
        <scheme val="none"/>
      </font>
      <border diagonalUp="0" diagonalDown="0" outline="0">
        <left/>
        <right style="thin">
          <color rgb="FF000000"/>
        </right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scheme val="none"/>
      </font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alignment horizontal="left" vertical="top" textRotation="0" wrapText="0" indent="0" justifyLastLine="0" shrinkToFit="0" readingOrder="0"/>
    </dxf>
    <dxf>
      <border outline="0">
        <left style="thin">
          <color rgb="FF000000"/>
        </left>
        <top style="thin">
          <color rgb="FF000000"/>
        </top>
      </border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</dxf>
    <dxf>
      <numFmt numFmtId="14" formatCode="0.00%"/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scheme val="none"/>
      </font>
      <alignment vertical="top" textRotation="0" indent="0" justifyLastLine="0" shrinkToFit="0" readingOrder="0"/>
      <border diagonalUp="0" diagonalDown="0" outline="0">
        <left/>
        <right style="thin">
          <color rgb="FF000000"/>
        </right>
        <top style="thin">
          <color theme="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scheme val="none"/>
      </font>
      <alignment vertical="top" textRotation="0" indent="0" justifyLastLine="0" shrinkToFit="0" readingOrder="0"/>
      <border diagonalUp="0" diagonalDown="0" outline="0">
        <left/>
        <right style="thin">
          <color rgb="FF000000"/>
        </right>
        <top style="thin">
          <color theme="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top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theme="4"/>
        </top>
        <bottom style="thin">
          <color rgb="FF000000"/>
        </bottom>
      </border>
    </dxf>
    <dxf>
      <border outline="0">
        <left style="thin">
          <color rgb="FF000000"/>
        </left>
        <top style="thin">
          <color rgb="FF000000"/>
        </top>
      </border>
    </dxf>
    <dxf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155CC"/>
        <name val="Arial"/>
        <family val="2"/>
        <scheme val="none"/>
      </font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theme="4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rgb="FFCFE2F3"/>
          <bgColor rgb="FFCFE2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yyyy/mm/dd\ hh:mm:ss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yyyy/mm/dd\ hh:mm:ss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yyyy/mm/dd\ hh:mm:ss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ill>
        <patternFill patternType="solid">
          <fgColor rgb="FFFFC7CE"/>
          <bgColor rgb="FF000000"/>
        </patternFill>
      </fill>
    </dxf>
    <dxf>
      <border outline="0">
        <left style="thin">
          <color rgb="FF000000"/>
        </left>
        <right style="thin">
          <color theme="1"/>
        </right>
        <top style="thin">
          <color rgb="FF000000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solid">
          <fgColor rgb="FFCFE2F3"/>
          <bgColor theme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</dxf>
  </dxfs>
  <tableStyles count="3" defaultTableStyle="TableStyleMedium2" defaultPivotStyle="PivotStyleLight16">
    <tableStyle name="Pivottabellformat 1" table="0" count="0" xr9:uid="{EF56F3DA-82BD-49FB-BA39-280B3018B718}"/>
    <tableStyle name="Pivottabellformat 2" table="0" count="0" xr9:uid="{6AB59565-F85C-4767-9FE5-FF6CD4125EEF}"/>
    <tableStyle name="Tabellformat 1" pivot="0" count="0" xr9:uid="{56A74465-6963-4CDC-A4CA-650E87F1C7B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krse-my.sharepoint.com/personal/beilan_guo0002_stud_hkr_se/Documents/Thesis/data.xlsx" TargetMode="External"/><Relationship Id="rId1" Type="http://schemas.openxmlformats.org/officeDocument/2006/relationships/externalLinkPath" Target="https://hkrse-my.sharepoint.com/personal/beilan_guo0002_stud_hkr_se/Documents/Thesis/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terval"/>
      <sheetName val="p-value"/>
      <sheetName val="pre"/>
      <sheetName val="post"/>
      <sheetName val="post (2)"/>
      <sheetName val="summery"/>
      <sheetName val="Main"/>
      <sheetName val="Sheet4"/>
      <sheetName val="Sheet3"/>
    </sheetNames>
    <sheetDataSet>
      <sheetData sheetId="0">
        <row r="3">
          <cell r="C3">
            <v>16</v>
          </cell>
          <cell r="D3">
            <v>60</v>
          </cell>
          <cell r="E3">
            <v>0.26666666666666666</v>
          </cell>
        </row>
        <row r="4">
          <cell r="C4">
            <v>51</v>
          </cell>
          <cell r="D4">
            <v>60</v>
          </cell>
          <cell r="E4">
            <v>0.85</v>
          </cell>
        </row>
        <row r="5">
          <cell r="C5">
            <v>54</v>
          </cell>
          <cell r="D5">
            <v>60</v>
          </cell>
          <cell r="E5">
            <v>0.9</v>
          </cell>
        </row>
        <row r="6">
          <cell r="C6">
            <v>15</v>
          </cell>
          <cell r="D6">
            <v>30</v>
          </cell>
          <cell r="E6">
            <v>0.5</v>
          </cell>
        </row>
        <row r="7">
          <cell r="C7">
            <v>20</v>
          </cell>
          <cell r="D7">
            <v>30</v>
          </cell>
          <cell r="E7">
            <v>0.66666666666666663</v>
          </cell>
        </row>
        <row r="23">
          <cell r="C23">
            <v>17</v>
          </cell>
          <cell r="D23">
            <v>60</v>
          </cell>
          <cell r="E23">
            <v>0.28333333333333333</v>
          </cell>
        </row>
        <row r="24">
          <cell r="C24">
            <v>49.67</v>
          </cell>
          <cell r="D24">
            <v>60</v>
          </cell>
          <cell r="E24">
            <v>0.82783333333333331</v>
          </cell>
        </row>
        <row r="25">
          <cell r="C25">
            <v>52</v>
          </cell>
          <cell r="D25">
            <v>60</v>
          </cell>
          <cell r="E25">
            <v>0.8666666666666667</v>
          </cell>
        </row>
        <row r="26">
          <cell r="C26">
            <v>13.67</v>
          </cell>
          <cell r="D26">
            <v>30</v>
          </cell>
          <cell r="E26">
            <v>0.45566666666666666</v>
          </cell>
        </row>
        <row r="27">
          <cell r="C27">
            <v>18.670000000000002</v>
          </cell>
          <cell r="D27">
            <v>30</v>
          </cell>
          <cell r="E27">
            <v>0.6223333333333334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" xr16:uid="{32C701B5-EAD9-497B-B8AC-1208225B50EE}" autoFormatId="16" applyNumberFormats="0" applyBorderFormats="0" applyFontFormats="0" applyPatternFormats="0" applyAlignmentFormats="0" applyWidthHeightFormats="0">
  <queryTableRefresh nextId="25" unboundColumnsRight="12">
    <queryTableFields count="18">
      <queryTableField id="1" name="Column1" tableColumnId="1"/>
      <queryTableField id="5" dataBound="0" tableColumnId="5"/>
      <queryTableField id="20" dataBound="0" tableColumnId="9"/>
      <queryTableField id="19" dataBound="0" tableColumnId="2"/>
      <queryTableField id="3" name="Column3" tableColumnId="3"/>
      <queryTableField id="4" name="Column4" tableColumnId="4"/>
      <queryTableField id="7" dataBound="0" tableColumnId="6"/>
      <queryTableField id="8" dataBound="0" tableColumnId="7"/>
      <queryTableField id="9" dataBound="0" tableColumnId="8"/>
      <queryTableField id="11" dataBound="0" tableColumnId="10"/>
      <queryTableField id="12" dataBound="0" tableColumnId="11"/>
      <queryTableField id="13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3" dataBound="0" tableColumnId="19"/>
      <queryTableField id="24" dataBound="0" tableColumnId="17"/>
    </queryTableFields>
    <queryTableDeletedFields count="1"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" xr16:uid="{33049B74-8F7D-452B-B349-24DFC7500E79}" autoFormatId="16" applyNumberFormats="0" applyBorderFormats="0" applyFontFormats="0" applyPatternFormats="0" applyAlignmentFormats="0" applyWidthHeightFormats="0">
  <queryTableRefresh nextId="20" unboundColumnsRight="11">
    <queryTableFields count="15">
      <queryTableField id="1" name="Column1" tableColumnId="1"/>
      <queryTableField id="5" dataBound="0" tableColumnId="5"/>
      <queryTableField id="3" name="Column3" tableColumnId="3"/>
      <queryTableField id="4" name="Column4" tableColumnId="4"/>
      <queryTableField id="7" dataBound="0" tableColumnId="6"/>
      <queryTableField id="8" dataBound="0" tableColumnId="7"/>
      <queryTableField id="9" dataBound="0" tableColumnId="8"/>
      <queryTableField id="11" dataBound="0" tableColumnId="10"/>
      <queryTableField id="12" dataBound="0" tableColumnId="11"/>
      <queryTableField id="13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19" dataBound="0" tableColumnId="2"/>
    </queryTableFields>
    <queryTableDeletedFields count="1">
      <deletedField name="Column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BA82BF5-4C7A-4FC5-B52D-760CA78DA4EB}" autoFormatId="16" applyNumberFormats="0" applyBorderFormats="0" applyFontFormats="0" applyPatternFormats="0" applyAlignmentFormats="0" applyWidthHeightFormats="0">
  <queryTableRefresh nextId="10">
    <queryTableFields count="9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truncate href" tableColumnId="6"/>
      <queryTableField id="7" name="mx-2" tableColumnId="7"/>
      <queryTableField id="8" name="text-pink" tableColumnId="8"/>
      <queryTableField id="9" name="inline-flex 4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1F49D55D-4959-4E76-9AE2-B61C03CBB4D2}" autoFormatId="16" applyNumberFormats="0" applyBorderFormats="0" applyFontFormats="0" applyPatternFormats="0" applyAlignmentFormats="0" applyWidthHeightFormats="0">
  <queryTableRefresh nextId="9">
    <queryTableFields count="8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truncate href" tableColumnId="5"/>
      <queryTableField id="6" name="mx-2" tableColumnId="6"/>
      <queryTableField id="7" name="inline-flex 3" tableColumnId="7"/>
      <queryTableField id="8" name="inline-flex 4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9C08C573-85C0-45BC-A9CD-A192C2CF9CF7}" autoFormatId="16" applyNumberFormats="0" applyBorderFormats="0" applyFontFormats="0" applyPatternFormats="0" applyAlignmentFormats="0" applyWidthHeightFormats="0">
  <queryTableRefresh nextId="9">
    <queryTableFields count="8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truncate href" tableColumnId="5"/>
      <queryTableField id="6" name="mx-2" tableColumnId="6"/>
      <queryTableField id="7" name="inline-flex 3" tableColumnId="7"/>
      <queryTableField id="8" name="inline-flex 4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71808DE6-2F99-4E74-83BE-24192E0CC681}" autoFormatId="16" applyNumberFormats="0" applyBorderFormats="0" applyFontFormats="0" applyPatternFormats="0" applyAlignmentFormats="0" applyWidthHeightFormats="0">
  <queryTableRefresh nextId="9">
    <queryTableFields count="8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truncate href" tableColumnId="6"/>
      <queryTableField id="7" name="mx-2" tableColumnId="7"/>
      <queryTableField id="8" name="inline-flex 4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0AE724BF-F490-4962-9BA1-2DF4990CA7E9}" autoFormatId="16" applyNumberFormats="0" applyBorderFormats="0" applyFontFormats="0" applyPatternFormats="0" applyAlignmentFormats="0" applyWidthHeightFormats="0">
  <queryTableRefresh nextId="9">
    <queryTableFields count="8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inline-flex 4" tableColumnId="6"/>
      <queryTableField id="7" name="mx-2" tableColumnId="7"/>
      <queryTableField id="8" name="truncate href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5101CAD5-2FBC-4679-8461-0904FC562273}" autoFormatId="16" applyNumberFormats="0" applyBorderFormats="0" applyFontFormats="0" applyPatternFormats="0" applyAlignmentFormats="0" applyWidthHeightFormats="0">
  <queryTableRefresh nextId="9">
    <queryTableFields count="8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inline-flex 4" tableColumnId="6"/>
      <queryTableField id="7" name="mx-2" tableColumnId="7"/>
      <queryTableField id="8" name="truncate href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530D9DB-A07E-46AB-9DAD-16794856C3A0}" autoFormatId="16" applyNumberFormats="0" applyBorderFormats="0" applyFontFormats="0" applyPatternFormats="0" applyAlignmentFormats="0" applyWidthHeightFormats="0">
  <queryTableRefresh nextId="10">
    <queryTableFields count="9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truncate href" tableColumnId="6"/>
      <queryTableField id="7" name="mx-2" tableColumnId="7"/>
      <queryTableField id="8" name="text-pink" tableColumnId="8"/>
      <queryTableField id="9" name="inline-flex 4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8BCD4B85-DCC2-4505-BD86-5CBB29246996}" autoFormatId="16" applyNumberFormats="0" applyBorderFormats="0" applyFontFormats="0" applyPatternFormats="0" applyAlignmentFormats="0" applyWidthHeightFormats="0">
  <queryTableRefresh nextId="11">
    <queryTableFields count="10">
      <queryTableField id="1" name="h-5" tableColumnId="1"/>
      <queryTableField id="10" dataBound="0" tableColumnId="10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truncate href" tableColumnId="6"/>
      <queryTableField id="7" name="mx-2" tableColumnId="7"/>
      <queryTableField id="8" name="text-pink" tableColumnId="8"/>
      <queryTableField id="9" name="inline-flex 4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DCF123DB-7D26-4EFA-B468-5721A01DCCA3}" autoFormatId="16" applyNumberFormats="0" applyBorderFormats="0" applyFontFormats="0" applyPatternFormats="0" applyAlignmentFormats="0" applyWidthHeightFormats="0">
  <queryTableRefresh nextId="10">
    <queryTableFields count="9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truncate href" tableColumnId="6"/>
      <queryTableField id="7" name="mx-2" tableColumnId="7"/>
      <queryTableField id="8" name="text-pink" tableColumnId="8"/>
      <queryTableField id="9" name="inline-flex 4" tableColumnId="9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B63F43F-C510-4ECA-A8A9-5216B4B55599}" autoFormatId="16" applyNumberFormats="0" applyBorderFormats="0" applyFontFormats="0" applyPatternFormats="0" applyAlignmentFormats="0" applyWidthHeightFormats="0">
  <queryTableRefresh nextId="8">
    <queryTableFields count="7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mx-2" tableColumnId="5"/>
      <queryTableField id="6" name="inline-flex 3" tableColumnId="6"/>
      <queryTableField id="7" name="inline-flex 4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431E8DC-0742-4310-B452-95B414A7C137}" autoFormatId="16" applyNumberFormats="0" applyBorderFormats="0" applyFontFormats="0" applyPatternFormats="0" applyAlignmentFormats="0" applyWidthHeightFormats="0">
  <queryTableRefresh nextId="11">
    <queryTableFields count="10">
      <queryTableField id="1" name="h-5" tableColumnId="1"/>
      <queryTableField id="10" dataBound="0" tableColumnId="10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mx-2" tableColumnId="6"/>
      <queryTableField id="7" name="inline-flex 4" tableColumnId="7"/>
      <queryTableField id="8" name="truncate href" tableColumnId="8"/>
      <queryTableField id="9" name="text-pink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B918D573-DEC8-4B77-9DAC-BACC5C81B659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h-5" tableColumnId="5"/>
      <queryTableField id="6" name="h-5 href" tableColumnId="6"/>
      <queryTableField id="7" name="inline-flex" tableColumnId="7"/>
      <queryTableField id="8" name="inline-flex 2" tableColumnId="8"/>
      <queryTableField id="9" name="inline-flex 3" tableColumnId="9"/>
      <queryTableField id="10" name="truncate href" tableColumnId="10"/>
      <queryTableField id="11" name="mx-2" tableColumnId="11"/>
      <queryTableField id="12" name="text-pink" tableColumnId="12"/>
      <queryTableField id="13" name="inline-flex 4" tableColumnId="1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C6E7122A-3865-40AB-A83A-2661FE540133}" autoFormatId="16" applyNumberFormats="0" applyBorderFormats="0" applyFontFormats="0" applyPatternFormats="0" applyAlignmentFormats="0" applyWidthHeightFormats="0">
  <queryTableRefresh nextId="8">
    <queryTableFields count="7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inline-flex 4" tableColumnId="6"/>
      <queryTableField id="7" name="mx-2" tableColumnId="7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6FE66FAF-4D57-4D71-A111-A80916FA3D89}" autoFormatId="16" applyNumberFormats="0" applyBorderFormats="0" applyFontFormats="0" applyPatternFormats="0" applyAlignmentFormats="0" applyWidthHeightFormats="0">
  <queryTableRefresh nextId="8">
    <queryTableFields count="7">
      <queryTableField id="1" name="h-5" tableColumnId="1"/>
      <queryTableField id="2" name="h-5 href" tableColumnId="2"/>
      <queryTableField id="3" name="inline-flex" tableColumnId="3"/>
      <queryTableField id="4" name="inline-flex 2" tableColumnId="4"/>
      <queryTableField id="5" name="inline-flex 3" tableColumnId="5"/>
      <queryTableField id="6" name="mx-2" tableColumnId="6"/>
      <queryTableField id="7" name="inline-flex 4" tableColumnId="7"/>
    </queryTableFields>
  </queryTableRefresh>
</queryTable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0362E01-2FB9-4557-9D66-16583D374840}" name="Table28" displayName="Table28" ref="A3:C8" totalsRowShown="0" headerRowDxfId="70" dataDxfId="69">
  <autoFilter ref="A3:C8" xr:uid="{40362E01-2FB9-4557-9D66-16583D374840}"/>
  <tableColumns count="3">
    <tableColumn id="1" xr3:uid="{F5C2DA74-5CA9-4DA3-BED8-D5CFFB4E7DF2}" name="Model" dataDxfId="73"/>
    <tableColumn id="2" xr3:uid="{E7914867-74E7-40A4-BA05-532A0D139E5F}" name="Experiment type" dataDxfId="72"/>
    <tableColumn id="3" xr3:uid="{0495F863-65C0-4B42-8690-74E7C7B35F17}" name="Link to the worksheet" dataDxfId="71" dataCellStyle="Hyperlink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D21D626-0B87-44A4-BA35-CB74D4AFB1AC}" name="Table29" displayName="Table29" ref="A11:C13" totalsRowShown="0" headerRowDxfId="20" dataDxfId="65">
  <autoFilter ref="A11:C13" xr:uid="{7D21D626-0B87-44A4-BA35-CB74D4AFB1AC}"/>
  <tableColumns count="3">
    <tableColumn id="1" xr3:uid="{55DDEBC3-F778-4BCF-84AE-D46DF3C2AD57}" name="Experiment type" dataDxfId="68"/>
    <tableColumn id="3" xr3:uid="{15925C3B-594E-442A-A3F7-86CD07022B36}" name="Models" dataDxfId="67" dataCellStyle="Hyperlink"/>
    <tableColumn id="4" xr3:uid="{78ECE437-B5DB-44FE-AFB4-E1E3B729AAE0}" name="Link to the worksheet" dataDxfId="66" dataCellStyle="Hyperlink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E4DC065-BCCC-4C04-9EEB-BD061E6C4721}" name="Table30" displayName="Table30" ref="A16:A18" totalsRowShown="0" headerRowDxfId="16" dataDxfId="17" tableBorderDxfId="19" dataCellStyle="Hyperlink">
  <autoFilter ref="A16:A18" xr:uid="{5E4DC065-BCCC-4C04-9EEB-BD061E6C4721}"/>
  <tableColumns count="1">
    <tableColumn id="1" xr3:uid="{50E59091-47D5-45B2-B1BD-DCE66676DC21}" name="Link to the worksheet " dataDxfId="18" dataCellStyle="Hyperlink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27F54CA-5FD1-45A4-A227-08CC06A5288E}" name="Table31" displayName="Table31" ref="A21:A23" totalsRowShown="0" headerRowDxfId="12" dataDxfId="13" tableBorderDxfId="15" dataCellStyle="Hyperlink">
  <autoFilter ref="A21:A23" xr:uid="{B27F54CA-5FD1-45A4-A227-08CC06A5288E}"/>
  <tableColumns count="1">
    <tableColumn id="1" xr3:uid="{F4BEDD28-3177-4860-8234-8BE69B1959FB}" name="Link to the worksheet " dataDxfId="14" dataCellStyle="Hyperlink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C06705F-543E-456D-B505-0D38CF34ADE7}" name="Tabell17" displayName="Tabell17" ref="A2:H6" totalsRowShown="0" headerRowDxfId="294" dataDxfId="56">
  <autoFilter ref="A2:H6" xr:uid="{49488E79-EC3D-455C-B3E8-BA54D667CD61}"/>
  <tableColumns count="8">
    <tableColumn id="1" xr3:uid="{3AB8D498-AE96-429E-A616-F31857D24D0B}" name="Experiment" dataDxfId="64"/>
    <tableColumn id="2" xr3:uid="{2AC9512F-DAB1-4A96-8EE7-CE65B1D85912}" name="Models" dataDxfId="63"/>
    <tableColumn id="3" xr3:uid="{E4F75712-A683-4E4C-A0C9-956519E139CA}" name="p^" dataDxfId="62"/>
    <tableColumn id="4" xr3:uid="{A064706A-F90D-4C08-B226-F3F06C69085A}" name="SE" dataDxfId="61"/>
    <tableColumn id="5" xr3:uid="{A1023F39-F033-4A68-97D5-141A5737B789}" name="z-value" dataDxfId="60"/>
    <tableColumn id="6" xr3:uid="{571B002D-A685-4F63-8833-6EA827400134}" name="p-value" dataDxfId="59">
      <calculatedColumnFormula xml:space="preserve"> 2 * (1 - _xlfn.NORM.DIST(ABS(E3),0,1, TRUE))</calculatedColumnFormula>
    </tableColumn>
    <tableColumn id="7" xr3:uid="{9C8D19D6-C62B-46A4-8C9F-9835527CEEFF}" name="Confidence" dataDxfId="58"/>
    <tableColumn id="8" xr3:uid="{C8F26C0B-AA7C-42CA-96BE-46B73B4DACB2}" name="Significant" dataDxfId="57">
      <calculatedColumnFormula>IF(1-G3&gt;F3, TRUE)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71FEB87-0961-471C-946A-FA0A6F8E3DCC}" name="Tabell171920" displayName="Tabell171920" ref="A10:H14" totalsRowShown="0" headerRowDxfId="46" dataDxfId="47">
  <autoFilter ref="A10:H14" xr:uid="{F66B1DBD-5366-4608-AE06-F89665376ADE}"/>
  <tableColumns count="8">
    <tableColumn id="1" xr3:uid="{650B6FE5-AE95-4E20-A0C9-74F8C28B935D}" name="Experiment" dataDxfId="55"/>
    <tableColumn id="2" xr3:uid="{D2E4C8C4-2B44-419C-9C19-479652398FDE}" name="Models" dataDxfId="54"/>
    <tableColumn id="3" xr3:uid="{58D149D5-0FDA-4F43-A41C-95D07D6DE840}" name="p^" dataDxfId="53"/>
    <tableColumn id="4" xr3:uid="{790F54DE-4FDB-4954-B0E6-EE191A84A14C}" name="SE" dataDxfId="52"/>
    <tableColumn id="5" xr3:uid="{56254625-1512-4570-985E-DCADED831E8B}" name="z-value" dataDxfId="51"/>
    <tableColumn id="6" xr3:uid="{BC95ADA2-3E6E-4ABA-8186-68FE80D1BAC1}" name="p-value" dataDxfId="50">
      <calculatedColumnFormula xml:space="preserve"> 2 * (1 - _xlfn.NORM.DIST(ABS(E11),0,1, TRUE))</calculatedColumnFormula>
    </tableColumn>
    <tableColumn id="7" xr3:uid="{DA039979-2AF1-4AA2-9240-DD54540EF9BB}" name="Confidence" dataDxfId="49"/>
    <tableColumn id="8" xr3:uid="{A8F5220F-3D0C-454C-8F6B-F6B142E85AC8}" name="Significant" dataDxfId="48">
      <calculatedColumnFormula>IF(1-G11&gt;F11, TRUE)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56DB358-6FA6-4E06-934D-6EE69354D09A}" name="Table5816" displayName="Table5816" ref="A2:K7" totalsRowShown="0" dataDxfId="34">
  <autoFilter ref="A2:K7" xr:uid="{E6CD8AE3-3566-4EE0-AEB4-5482601E5E22}"/>
  <tableColumns count="11">
    <tableColumn id="1" xr3:uid="{763DD8FB-5D0F-422C-8808-ECEA797EDCA7}" name="Experiment" dataDxfId="45"/>
    <tableColumn id="11" xr3:uid="{243B2311-051D-4A35-A67B-71A67CC65AC0}" name="Model" dataDxfId="44"/>
    <tableColumn id="2" xr3:uid="{4A2EEFFD-8D72-4D4B-A850-3EE8E3D6CB72}" name="Passed(X)" dataDxfId="43"/>
    <tableColumn id="3" xr3:uid="{9076DA0E-4EC9-4FE4-8A73-CC499B43BE0B}" name="Total(N)" dataDxfId="42"/>
    <tableColumn id="4" xr3:uid="{B03A24E0-0699-4578-8FBB-1F531455BF29}" name="Pass Rate (p)" dataDxfId="41">
      <calculatedColumnFormula>C3/D3</calculatedColumnFormula>
    </tableColumn>
    <tableColumn id="5" xr3:uid="{4182CFE7-EB28-4384-8BAB-83432D37F740}" name="q = (1-p) " dataDxfId="40">
      <calculatedColumnFormula>1-Table5816[[#This Row],[Pass Rate (p)]]</calculatedColumnFormula>
    </tableColumn>
    <tableColumn id="6" xr3:uid="{6BE17CBF-4AD4-4F4A-976E-5D5E33727975}" name="Std. Error(SE)" dataDxfId="39">
      <calculatedColumnFormula>SQRT(Table5816[[#This Row],[Pass Rate (p)]]*Table5816[[#This Row],[q = (1-p) ]]/Table5816[[#This Row],[Total(N)]])</calculatedColumnFormula>
    </tableColumn>
    <tableColumn id="7" xr3:uid="{45FE20D6-595B-4E86-ABDA-4CCF2E4E8B41}" name="Margin(z*SE)" dataDxfId="38">
      <calculatedColumnFormula>Table5816[[#This Row],[Std. Error(SE)]]*Table5816[[#This Row],[95% CI]]</calculatedColumnFormula>
    </tableColumn>
    <tableColumn id="8" xr3:uid="{41D2521C-B097-4B2E-BDA3-1E21EA27D9CF}" name="Lower CI" dataDxfId="37">
      <calculatedColumnFormula>Table5816[[#This Row],[Pass Rate (p)]]-Table5816[[#This Row],[Margin(z*SE)]]</calculatedColumnFormula>
    </tableColumn>
    <tableColumn id="9" xr3:uid="{B980DB10-F134-4CC5-9E22-AAD4CC8AC5E7}" name="Upper CI" dataDxfId="36">
      <calculatedColumnFormula>Table5816[[#This Row],[Pass Rate (p)]]+Table5816[[#This Row],[Margin(z*SE)]]</calculatedColumnFormula>
    </tableColumn>
    <tableColumn id="10" xr3:uid="{74C76121-D609-409F-99C8-E4D8B30B4CD4}" name="95% CI" dataDxfId="35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AAFF4C-237F-4435-9543-84BAF4B41E34}" name="Table58161721" displayName="Table58161721" ref="A11:K16" totalsRowShown="0" headerRowDxfId="21" dataDxfId="22">
  <autoFilter ref="A11:K16" xr:uid="{8A877584-2BDA-46CB-B9E9-DA3E36E7A5EE}"/>
  <tableColumns count="11">
    <tableColumn id="1" xr3:uid="{DFB83518-95C0-4127-8A78-5FB3E33E154F}" name="Experiment" dataDxfId="33"/>
    <tableColumn id="11" xr3:uid="{41634A97-2E97-45E8-B1B4-A3C2B446A6AD}" name="Model" dataDxfId="32"/>
    <tableColumn id="2" xr3:uid="{4DD98B2F-BEFF-420A-BDA4-96BA25535829}" name="Total Proportion Solved(X)" dataDxfId="31"/>
    <tableColumn id="3" xr3:uid="{41563500-6D64-4EA4-81F8-257A3FE1396F}" name="Total(N)" dataDxfId="30"/>
    <tableColumn id="4" xr3:uid="{0F023730-1386-4B6E-BA8E-5A37E270DF8B}" name="Average Proportional Score (p)" dataDxfId="29">
      <calculatedColumnFormula>C12/D12</calculatedColumnFormula>
    </tableColumn>
    <tableColumn id="5" xr3:uid="{ADCAADC5-9815-4CD8-81A3-E068D6D5EAC9}" name="q = (1-p) " dataDxfId="28">
      <calculatedColumnFormula>1-Table58161721[[#This Row],[Average Proportional Score (p)]]</calculatedColumnFormula>
    </tableColumn>
    <tableColumn id="6" xr3:uid="{7A9624C3-B441-498A-92E4-DA0E301BC5D7}" name="Std. Error(SE)" dataDxfId="27">
      <calculatedColumnFormula>SQRT(Table58161721[[#This Row],[Average Proportional Score (p)]]*Table58161721[[#This Row],[q = (1-p) ]]/Table58161721[[#This Row],[Total(N)]])</calculatedColumnFormula>
    </tableColumn>
    <tableColumn id="7" xr3:uid="{002B3114-D8A2-473D-9A03-58BC14C38506}" name="Margin(z*SE)" dataDxfId="26">
      <calculatedColumnFormula>Table58161721[[#This Row],[Std. Error(SE)]]*Table58161721[[#This Row],[95% CI]]</calculatedColumnFormula>
    </tableColumn>
    <tableColumn id="8" xr3:uid="{51EEDC41-AF2D-4C69-8621-AE26F2FEA744}" name="Lower CI" dataDxfId="25">
      <calculatedColumnFormula>Table58161721[[#This Row],[Average Proportional Score (p)]]-Table58161721[[#This Row],[Margin(z*SE)]]</calculatedColumnFormula>
    </tableColumn>
    <tableColumn id="9" xr3:uid="{D1DA1CFD-83BF-4C61-AED3-CC3CC22CCA26}" name="Upper CI" dataDxfId="24">
      <calculatedColumnFormula>Table58161721[[#This Row],[Average Proportional Score (p)]]+Table58161721[[#This Row],[Margin(z*SE)]]</calculatedColumnFormula>
    </tableColumn>
    <tableColumn id="10" xr3:uid="{9637510D-07FC-4CD1-B9F8-BF17A3CDC5F7}" name="95% CI" dataDxfId="2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B843C1B-6446-4590-9BEA-E2BDB44F3796}" name="Table8" displayName="Table8" ref="A2:P27" totalsRowShown="0">
  <autoFilter ref="A2:P27" xr:uid="{11CC4D22-83F3-474A-97E1-3E16F5FBB389}"/>
  <sortState xmlns:xlrd2="http://schemas.microsoft.com/office/spreadsheetml/2017/richdata2" ref="A3:P27">
    <sortCondition sortBy="cellColor" ref="B2:B27" dxfId="293"/>
  </sortState>
  <tableColumns count="16">
    <tableColumn id="1" xr3:uid="{198CDFE6-2D58-4814-8C5A-882B3715BBE6}" name="Model"/>
    <tableColumn id="2" xr3:uid="{482FD202-E280-4AF7-81F2-103669E2DFB1}" name="Index"/>
    <tableColumn id="3" xr3:uid="{85FD0316-A26E-458B-8DF4-7F111B33F1BD}" name="Column1"/>
    <tableColumn id="4" xr3:uid="{E0292A6C-F20B-4710-AA60-9F3B4C8D8B35}" name="Difficulty (Percentage)"/>
    <tableColumn id="5" xr3:uid="{8AD6A459-E532-4548-AA6A-528760C5AAF6}" name="Problem Popularity"/>
    <tableColumn id="6" xr3:uid="{D8957969-0CE6-41C7-95C3-2B74A76434D6}" name="Timestamp1"/>
    <tableColumn id="7" xr3:uid="{6989C620-98BD-4F54-8D98-116A682560D3}" name="Timestamp2"/>
    <tableColumn id="8" xr3:uid="{00B4F34D-D538-4D7A-AA21-AD2613679846}" name="Timestamp3"/>
    <tableColumn id="9" xr3:uid="{DB37944B-4E10-4A18-BE82-F4A0E284900E}" name="Passed1"/>
    <tableColumn id="10" xr3:uid="{85B0452E-2847-4C31-B5CD-B5529077774A}" name="Passed2"/>
    <tableColumn id="11" xr3:uid="{B022EF8D-BD2A-4081-9C01-0EAE3635FB46}" name="Passed3"/>
    <tableColumn id="12" xr3:uid="{39CD9B5B-ECD4-405C-9917-84DE44CB0523}" name="PassedTotal"/>
    <tableColumn id="13" xr3:uid="{EC5D7603-5E8E-4E89-B8FB-85DFDE7A8BA7}" name="Error1"/>
    <tableColumn id="14" xr3:uid="{EE863260-DE64-4B17-92BC-BAE4F91FF694}" name="Error2"/>
    <tableColumn id="15" xr3:uid="{49A37595-641F-4901-80A6-0BF69B8FA2E3}" name="Error3"/>
    <tableColumn id="16" xr3:uid="{65864243-62E9-4186-BD4F-689C92E79675}" name="Column2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B2D40C-E298-4038-9712-B6ACB1064AD9}" name="Table2" displayName="Table2" ref="A2:Q60" totalsRowShown="0" headerRowDxfId="292" dataDxfId="291" tableBorderDxfId="290" headerRowCellStyle="Normal 2">
  <autoFilter ref="A2:Q60" xr:uid="{00B2D40C-E298-4038-9712-B6ACB1064AD9}"/>
  <sortState xmlns:xlrd2="http://schemas.microsoft.com/office/spreadsheetml/2017/richdata2" ref="A3:Q60">
    <sortCondition sortBy="cellColor" ref="B2:B60" dxfId="289"/>
  </sortState>
  <tableColumns count="17">
    <tableColumn id="1" xr3:uid="{DE051F7A-2E3D-482D-A88B-6AC822DA7604}" name="Modle" dataDxfId="288"/>
    <tableColumn id="2" xr3:uid="{C620EA14-B1E3-4E3D-9325-86F8E5A44DB4}" name="Problem Index" dataDxfId="287" dataCellStyle="Normal 2"/>
    <tableColumn id="3" xr3:uid="{A0D76081-AFCC-4A3A-9E28-C6FBE2F24483}" name="Problem Link" dataDxfId="286" dataCellStyle="Normal 2"/>
    <tableColumn id="4" xr3:uid="{D1F0A920-99B3-4044-8890-E574E19ED29C}" name="Problem Topic" dataDxfId="285" dataCellStyle="Normal 2"/>
    <tableColumn id="5" xr3:uid="{83CFDBF9-8E34-4C20-ACE0-664A67366DB5}" name="Difficulty (Percentage)" dataDxfId="284" dataCellStyle="Normal 2"/>
    <tableColumn id="6" xr3:uid="{B02477DB-998D-483F-AC88-DAB0821697F0}" name="Problem Popularity" dataDxfId="283" dataCellStyle="Normal 2"/>
    <tableColumn id="7" xr3:uid="{E43CE178-007D-4B68-8D83-A6B78910CB8C}" name="Timestamp1" dataDxfId="282" dataCellStyle="Normal 2">
      <calculatedColumnFormula>IF(COUNTA(D3:F3)=0, "", IF(SUM(D3:F3)&gt;1, 1, 0))</calculatedColumnFormula>
    </tableColumn>
    <tableColumn id="8" xr3:uid="{95B80D8B-C464-4B2E-9854-03205E641D52}" name="Timestamp2" dataDxfId="281"/>
    <tableColumn id="9" xr3:uid="{8C7360D8-F555-46B7-8734-FA2E461EEC35}" name="Timestamp3" dataDxfId="280"/>
    <tableColumn id="10" xr3:uid="{E6C80AAD-6FA5-4E38-8E2A-34EA3267052F}" name="Difficulty" dataDxfId="279"/>
    <tableColumn id="11" xr3:uid="{4097658C-7027-4706-92FE-FF1D4A66D786}" name="Passed1" dataDxfId="278"/>
    <tableColumn id="12" xr3:uid="{76D7C35F-0241-4F85-B67B-F67DF7053856}" name="Passed2" dataDxfId="277"/>
    <tableColumn id="13" xr3:uid="{E32AB152-32EE-455B-871D-E8F570057951}" name="Passed3" dataDxfId="276"/>
    <tableColumn id="14" xr3:uid="{22D1578C-DF42-409C-A232-42C6364A16F9}" name="PassedTotal" dataDxfId="275"/>
    <tableColumn id="15" xr3:uid="{CD79B0CB-796D-4B97-9B11-2788C1F61618}" name="Error1" dataDxfId="274"/>
    <tableColumn id="16" xr3:uid="{C873265A-EFA6-4475-AC16-229B0F9A563D}" name="Error2" dataDxfId="273"/>
    <tableColumn id="17" xr3:uid="{122E33A6-7786-4E80-B637-CAD7B6B79B52}" name="Error3" dataDxfId="272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D76FC8F-A2C9-47BC-AEF4-B61DFBC96482}" name="Table22" displayName="Table22" ref="B1:G61" totalsRowShown="0" headerRowDxfId="271" tableBorderDxfId="270" headerRowCellStyle="Normal 2">
  <autoFilter ref="B1:G61" xr:uid="{3D76FC8F-A2C9-47BC-AEF4-B61DFBC96482}"/>
  <sortState xmlns:xlrd2="http://schemas.microsoft.com/office/spreadsheetml/2017/richdata2" ref="B2:G61">
    <sortCondition ref="G1:G61"/>
  </sortState>
  <tableColumns count="6">
    <tableColumn id="1" xr3:uid="{19AF8548-43E2-4016-8128-C5F7B9B9F773}" name="No." dataDxfId="269" dataCellStyle="Normal 2"/>
    <tableColumn id="2" xr3:uid="{FE695768-07BB-4AE7-89C2-65950D1AEABF}" name="Problem Link" dataDxfId="268" dataCellStyle="Normal 2"/>
    <tableColumn id="10" xr3:uid="{343BB0DE-677F-4071-A1CF-4EEFE89FC98C}" name="Passed1" dataDxfId="267" dataCellStyle="Normal 2"/>
    <tableColumn id="11" xr3:uid="{8BE7CB4C-B36C-470F-BF23-2D781B4C7B33}" name="Passed2" dataDxfId="266" dataCellStyle="Normal 2"/>
    <tableColumn id="12" xr3:uid="{29549BA8-B2D2-4C34-8F2A-654E424D87E5}" name="Passed3" dataDxfId="265" dataCellStyle="Normal 2"/>
    <tableColumn id="26" xr3:uid="{CBC5629F-0370-4CA6-BBA5-3A502B2F1ACE}" name="Passed total" dataDxfId="264" dataCellStyle="Normal 2">
      <calculatedColumnFormula>IF(COUNTA(D2:F2)=0, "", IF(SUM(D2:F2)&gt;1, 1, 0))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BCAEB-CD24-4802-9740-A4912F4BF383}" name="Table1719" displayName="Table1719" ref="A2:Q62" totalsRowShown="0" headerRowDxfId="263" dataDxfId="262" tableBorderDxfId="261" headerRowCellStyle="Normal 2">
  <autoFilter ref="A2:Q62" xr:uid="{72C622E2-EB8C-4BD0-9BAF-90499CAAD87E}"/>
  <tableColumns count="17">
    <tableColumn id="1" xr3:uid="{7827A696-8AEA-484A-BE8A-0B195E1C0F20}" name="No." dataDxfId="260" dataCellStyle="Normal 2"/>
    <tableColumn id="2" xr3:uid="{F24BE0F2-3EBB-4E45-9FE5-199DD9374AA0}" name="Problem Link" dataDxfId="259" dataCellStyle="Normal 2"/>
    <tableColumn id="3" xr3:uid="{585DEBE7-A57A-469A-A528-4636099C9429}" name="Problem Topic" dataDxfId="258" dataCellStyle="Normal 2"/>
    <tableColumn id="4" xr3:uid="{12275F49-E004-4946-8F43-86D851DFA056}" name="Difficulty (Percentage)" dataDxfId="257"/>
    <tableColumn id="5" xr3:uid="{1564900E-832B-4F35-9470-375F5C0A96A8}" name="Problem Popularity" dataDxfId="256"/>
    <tableColumn id="6" xr3:uid="{40C47780-32F0-4F73-BADC-A4E410B3567B}" name="Timestamp1" dataDxfId="255"/>
    <tableColumn id="7" xr3:uid="{F326D4BF-9495-48D9-B32F-211B2D45BB7B}" name="Timestamp2" dataDxfId="254"/>
    <tableColumn id="8" xr3:uid="{B559BB97-36A1-4C8B-B2E1-1979137C71C2}" name="Timestamp3" dataDxfId="253"/>
    <tableColumn id="9" xr3:uid="{BCC0ACE4-7520-4374-9BE6-52FC942A915D}" name="Difficulty" dataDxfId="252"/>
    <tableColumn id="10" xr3:uid="{D2F906EB-0116-47F1-B2E2-2AE8117DED95}" name="Passed1" dataDxfId="251"/>
    <tableColumn id="11" xr3:uid="{237E3B4B-A436-4B62-85D2-2175845BDDE3}" name="Passed2" dataDxfId="250"/>
    <tableColumn id="12" xr3:uid="{46A0F3AA-C1EB-46E9-88FD-99F0B2B03F99}" name="Passed3" dataDxfId="249"/>
    <tableColumn id="13" xr3:uid="{6167EA8E-1CA3-439B-8BE3-0F6CAFC69724}" name="PassedTotal" dataDxfId="248"/>
    <tableColumn id="14" xr3:uid="{0999C486-E3BA-4648-9FA6-801CFA93F334}" name="Error1" dataDxfId="247"/>
    <tableColumn id="15" xr3:uid="{BC94780B-4A62-40E8-A72A-0952C7247D90}" name="Error2" dataDxfId="246"/>
    <tableColumn id="16" xr3:uid="{70D5BB93-19ED-48BB-9642-0390BC0557EF}" name="Error3" dataDxfId="245"/>
    <tableColumn id="17" xr3:uid="{634C7BC4-C032-4FD4-B19C-FED73AF8A2A8}" name="Proportionately" dataDxfId="244">
      <calculatedColumnFormula array="1">SUM((Table1719[[#This Row],[Passed1]:[Passed3]])/3)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2C622E2-EB8C-4BD0-9BAF-90499CAAD87E}" name="Table17" displayName="Table17" ref="A2:Q62" totalsRowShown="0" headerRowDxfId="243" dataDxfId="242" totalsRowDxfId="240" tableBorderDxfId="241" headerRowCellStyle="Normal 2">
  <autoFilter ref="A2:Q62" xr:uid="{72C622E2-EB8C-4BD0-9BAF-90499CAAD87E}"/>
  <sortState xmlns:xlrd2="http://schemas.microsoft.com/office/spreadsheetml/2017/richdata2" ref="A3:P62">
    <sortCondition ref="A2:A62"/>
  </sortState>
  <tableColumns count="17">
    <tableColumn id="1" xr3:uid="{2C4D923E-719D-48F0-8E97-9F9B5F2CAE92}" name="No." dataDxfId="239" totalsRowDxfId="238" dataCellStyle="Normal 2"/>
    <tableColumn id="2" xr3:uid="{E53042C4-EEA4-49EF-BA93-5121B2C16188}" name="Problem Link" dataDxfId="237" totalsRowDxfId="236" dataCellStyle="Normal 2"/>
    <tableColumn id="3" xr3:uid="{4E0C50EE-A02A-4637-9B93-689DA20CC59A}" name="Problem Topic" dataDxfId="235" totalsRowDxfId="234" dataCellStyle="Normal 2"/>
    <tableColumn id="4" xr3:uid="{5EE3A107-30D2-4641-AC79-749493CC8B1B}" name="Difficulty (Percentage)" dataDxfId="233" totalsRowDxfId="232" dataCellStyle="Percent"/>
    <tableColumn id="5" xr3:uid="{A3FD0F0B-E839-402D-8BF0-DF2B567F7524}" name="Problem Popularity"/>
    <tableColumn id="6" xr3:uid="{8D961827-6074-41E8-97B7-BC760C831EAF}" name="Timestamp1" dataDxfId="231"/>
    <tableColumn id="7" xr3:uid="{E4FCBBB4-0CF2-4CAA-9648-3E7EDAB66772}" name="Timestamp2" dataDxfId="230"/>
    <tableColumn id="8" xr3:uid="{485CE375-D98E-4626-B649-DB6680CB1A29}" name="Timestamp3" dataDxfId="229"/>
    <tableColumn id="9" xr3:uid="{A243FADA-A957-4431-8CDC-C2F622426F10}" name="Difficulty"/>
    <tableColumn id="10" xr3:uid="{4C445FF4-6835-4D10-9382-20ED5D4C3D97}" name="Passed1"/>
    <tableColumn id="11" xr3:uid="{D887D075-7D58-4E74-83DB-AFA9A98804D6}" name="Passed2"/>
    <tableColumn id="12" xr3:uid="{248EF2E7-46C1-4302-9B18-AFB201BFC96F}" name="Passed3"/>
    <tableColumn id="13" xr3:uid="{915E2DCD-6D9A-449D-BBBD-8EB8BFB1FDD1}" name="Passed total" dataDxfId="228" totalsRowDxfId="227">
      <calculatedColumnFormula>IF(COUNTA(Table17[[#This Row],[Passed1]:[Passed3]])=0, "", IF(SUM(Table17[[#This Row],[Passed1]:[Passed3]])&gt;1, 1, 0))</calculatedColumnFormula>
    </tableColumn>
    <tableColumn id="14" xr3:uid="{F9917837-AB37-4F75-9289-25D2F4467E26}" name="Error1" dataDxfId="226" totalsRowDxfId="225"/>
    <tableColumn id="15" xr3:uid="{22CEDE43-17AA-4770-9D80-599EB41D3DA8}" name="Error2" dataDxfId="224" totalsRowDxfId="223"/>
    <tableColumn id="16" xr3:uid="{2AE7CBFD-954C-454E-A9B7-3E6B62D36C31}" name="Error3" dataDxfId="222" totalsRowDxfId="221"/>
    <tableColumn id="17" xr3:uid="{59E43161-3E61-4DEF-9614-2D2EE01AE8A6}" name="Proportionately" dataDxfId="220" totalsRowDxfId="219">
      <calculatedColumnFormula array="1">SUM((Table17[[#This Row],[Passed1]:[Passed3]])/3)</calculatedColumnFormula>
    </tableColumn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DF93F2C-4AD3-49F8-8083-B82E92AEED2A}" name="https___leetcode_com_problemse__11" displayName="https___leetcode_com_problemse__11" ref="A2:R32" tableType="queryTable" totalsRowShown="0" headerRowDxfId="218">
  <autoFilter ref="A2:R32" xr:uid="{3DF93F2C-4AD3-49F8-8083-B82E92AEED2A}"/>
  <sortState xmlns:xlrd2="http://schemas.microsoft.com/office/spreadsheetml/2017/richdata2" ref="A3:Q32">
    <sortCondition ref="A2:A32"/>
  </sortState>
  <tableColumns count="18">
    <tableColumn id="1" xr3:uid="{D83D7F6C-A629-4BCA-9A2D-DE61591E7AF9}" uniqueName="1" name="Index" queryTableFieldId="1" dataDxfId="217"/>
    <tableColumn id="5" xr3:uid="{CB0D3581-56DE-47C2-9B24-43B98810DB91}" uniqueName="5" name="Problem Link" queryTableFieldId="5" dataDxfId="216"/>
    <tableColumn id="9" xr3:uid="{4CDE9983-A3A5-4419-B734-8DADBBE9565B}" uniqueName="9" name="Column2" queryTableFieldId="20" dataDxfId="215"/>
    <tableColumn id="2" xr3:uid="{77E0880E-0D5A-42E2-A4E3-FA4F1EBB696D}" uniqueName="2" name="Probme Link" queryTableFieldId="19" dataDxfId="214"/>
    <tableColumn id="3" xr3:uid="{A58A01BD-3C74-4F3A-9991-614A8A858F45}" uniqueName="3" name="Difficulty (Percentage)" queryTableFieldId="3" dataDxfId="213"/>
    <tableColumn id="4" xr3:uid="{F5EB2390-06AB-42BC-9CB7-EE361E7DC1C7}" uniqueName="4" name="Problem Popularity" queryTableFieldId="4" dataDxfId="212"/>
    <tableColumn id="6" xr3:uid="{9B5E4348-E204-4B7B-BC20-E38D56A60A4B}" uniqueName="6" name="Timestamp1" queryTableFieldId="7" dataDxfId="211"/>
    <tableColumn id="7" xr3:uid="{67D3655F-DD78-4080-A120-AB2C86B98F65}" uniqueName="7" name="Timestamp2" queryTableFieldId="8" dataDxfId="210"/>
    <tableColumn id="8" xr3:uid="{09E965BF-9940-41B9-AB73-B78130CAB4CA}" uniqueName="8" name="Timestamp3" queryTableFieldId="9" dataDxfId="209"/>
    <tableColumn id="10" xr3:uid="{F7899F48-6123-424D-9541-8ED0B63E1844}" uniqueName="10" name="Passed1" queryTableFieldId="11" dataDxfId="208"/>
    <tableColumn id="11" xr3:uid="{23B9001C-4596-4BA5-8704-98A8F4A61B44}" uniqueName="11" name="Passed2" queryTableFieldId="12" dataDxfId="207"/>
    <tableColumn id="12" xr3:uid="{5374724C-C536-4697-A899-962D22CD4EE8}" uniqueName="12" name="Passed3" queryTableFieldId="13" dataDxfId="206"/>
    <tableColumn id="13" xr3:uid="{CC8C5775-BE10-46C3-9A8D-EF3EDC3BF372}" uniqueName="13" name="PassedTotal" queryTableFieldId="14" dataDxfId="205"/>
    <tableColumn id="14" xr3:uid="{65A54532-B2BA-4F5E-A198-4662DE4AA28C}" uniqueName="14" name="Error1" queryTableFieldId="15" dataDxfId="204"/>
    <tableColumn id="15" xr3:uid="{B5E630CB-4557-4896-9CB1-F23F545FB8B3}" uniqueName="15" name="Error2" queryTableFieldId="16" dataDxfId="203"/>
    <tableColumn id="16" xr3:uid="{49FF3717-83B8-44CD-913A-D7DBD8B5A7D4}" uniqueName="16" name="Error3" queryTableFieldId="17" dataDxfId="202"/>
    <tableColumn id="19" xr3:uid="{64896599-3BE4-4C2B-A4D6-5146EB5893EB}" uniqueName="19" name="Note" queryTableFieldId="23" dataDxfId="201"/>
    <tableColumn id="17" xr3:uid="{E215FB23-1818-490C-9664-43069091F7D9}" uniqueName="17" name="Proportionately" queryTableFieldId="24" dataDxfId="200">
      <calculatedColumnFormula array="1">SUM((https___leetcode_com_problemse__11[[#This Row],[Passed1]:[Passed3]])/3)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7C78265-DFF6-4BF6-AEFD-6C218E8F1702}" name="https___leetcode_com_problemse__1122" displayName="https___leetcode_com_problemse__1122" ref="A2:O32" tableType="queryTable" totalsRowShown="0">
  <autoFilter ref="A2:O32" xr:uid="{17C78265-DFF6-4BF6-AEFD-6C218E8F1702}"/>
  <sortState xmlns:xlrd2="http://schemas.microsoft.com/office/spreadsheetml/2017/richdata2" ref="A3:N32">
    <sortCondition ref="A2:A32"/>
  </sortState>
  <tableColumns count="15">
    <tableColumn id="1" xr3:uid="{6668F214-3875-4E2F-880F-7A8265EE3DE3}" uniqueName="1" name="Index" queryTableFieldId="1" dataDxfId="199"/>
    <tableColumn id="5" xr3:uid="{0E9725ED-B2BE-40A4-B674-B5F940B3225D}" uniqueName="5" name="Problem Link" queryTableFieldId="5" dataDxfId="198"/>
    <tableColumn id="3" xr3:uid="{95A41B92-58A1-4DF3-923C-47336C6770CE}" uniqueName="3" name="Difficulty (Percentage)" queryTableFieldId="3" dataDxfId="197" totalsRowDxfId="196"/>
    <tableColumn id="4" xr3:uid="{316F4F3F-B17A-4F52-ABFF-78D12EFED9BF}" uniqueName="4" name="Problem Popularity" queryTableFieldId="4" dataDxfId="195"/>
    <tableColumn id="6" xr3:uid="{95368236-5B41-4E53-874F-51992768319E}" uniqueName="6" name="Timestamp1" queryTableFieldId="7" dataDxfId="194"/>
    <tableColumn id="7" xr3:uid="{F2CEF00B-1580-4EBD-9FA3-1C0954D04021}" uniqueName="7" name="Timestamp2" queryTableFieldId="8" dataDxfId="193"/>
    <tableColumn id="8" xr3:uid="{45A28D24-B541-4A07-A3E6-273551C85756}" uniqueName="8" name="Timestamp3" queryTableFieldId="9" dataDxfId="192"/>
    <tableColumn id="10" xr3:uid="{47071D03-1816-4ECE-A441-8EFCB3E46FB8}" uniqueName="10" name="Passed1" queryTableFieldId="11" dataDxfId="191"/>
    <tableColumn id="11" xr3:uid="{F865C170-A6EF-4ED9-B82A-E5C64001A97C}" uniqueName="11" name="Passed2" queryTableFieldId="12" dataDxfId="190"/>
    <tableColumn id="12" xr3:uid="{A37323ED-ED5F-4A8A-9AC3-E74381E6F060}" uniqueName="12" name="Passed3" queryTableFieldId="13" dataDxfId="189"/>
    <tableColumn id="13" xr3:uid="{BF45FF67-6B28-40C8-A356-68E87D38DE07}" uniqueName="13" name="PassedTotal" queryTableFieldId="14" dataDxfId="188" totalsRowDxfId="187">
      <calculatedColumnFormula>IF(COUNTA(https___leetcode_com_problemse__1122[[#This Row],[Passed1]:[Passed3]])=0, "", IF(SUM(https___leetcode_com_problemse__1122[[#This Row],[Passed1]:[Passed3]])&gt;1, 1, 0))</calculatedColumnFormula>
    </tableColumn>
    <tableColumn id="14" xr3:uid="{AE063516-825B-4474-B7DC-76B7F4261634}" uniqueName="14" name="Error1" queryTableFieldId="15" dataDxfId="186"/>
    <tableColumn id="15" xr3:uid="{41D95EB9-290B-4F30-86DB-60E0228E93D3}" uniqueName="15" name="Error2" queryTableFieldId="16" dataDxfId="185"/>
    <tableColumn id="16" xr3:uid="{47AB44E2-1EAC-444F-9712-75E43571666D}" uniqueName="16" name="Error3" queryTableFieldId="17" dataDxfId="184"/>
    <tableColumn id="2" xr3:uid="{D211AF63-BC92-4E6F-BE58-23AF9B0A920A}" uniqueName="2" name="Proportionately" queryTableFieldId="19" dataDxfId="183" totalsRowDxfId="182">
      <calculatedColumnFormula array="1">SUM((https___leetcode_com_problemse__1122[[#This Row],[Passed1]:[Passed3]])/3)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21755C-087F-45EF-B238-E2D456280470}" name="https___leetcode_com_problemse" displayName="https___leetcode_com_problemse" ref="A1:I101" tableType="queryTable" totalsRowShown="0">
  <autoFilter ref="A1:I101" xr:uid="{4421755C-087F-45EF-B238-E2D456280470}"/>
  <tableColumns count="9">
    <tableColumn id="1" xr3:uid="{E445298F-D8DA-440E-A22A-614857B48718}" uniqueName="1" name="h-5" queryTableFieldId="1" dataDxfId="181"/>
    <tableColumn id="2" xr3:uid="{6CBA7A47-5B40-4014-8F59-1A6F7BF41DA5}" uniqueName="2" name="h-5 href" queryTableFieldId="2" dataDxfId="180"/>
    <tableColumn id="3" xr3:uid="{6C17B807-AB6B-4A7F-9B3F-ADE3F9080179}" uniqueName="3" name="inline-flex" queryTableFieldId="3" dataDxfId="179"/>
    <tableColumn id="4" xr3:uid="{9D6C306A-AED7-4B70-A32F-5D3B2DCF960F}" uniqueName="4" name="inline-flex 2" queryTableFieldId="4" dataDxfId="178"/>
    <tableColumn id="5" xr3:uid="{69A2450C-F6A2-4E53-A6D3-2A877970D764}" uniqueName="5" name="inline-flex 3" queryTableFieldId="5" dataDxfId="177"/>
    <tableColumn id="6" xr3:uid="{F3B515B2-0469-4434-8DD6-CEFDD7CB0E65}" uniqueName="6" name="truncate href" queryTableFieldId="6" dataDxfId="176"/>
    <tableColumn id="7" xr3:uid="{ADCD6175-1346-4A15-818D-1E394AB32188}" uniqueName="7" name="mx-2" queryTableFieldId="7" dataDxfId="175"/>
    <tableColumn id="8" xr3:uid="{1C97D784-810E-4EEA-AAC1-0DA5050EF756}" uniqueName="8" name="text-pink" queryTableFieldId="8" dataDxfId="174"/>
    <tableColumn id="9" xr3:uid="{34FF35AD-C1DE-42AC-A3B7-D2281D4581EB}" uniqueName="9" name="inline-flex 4" queryTableFieldId="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561698-A2DC-42D0-B013-81A5AD8641AD}" name="https___leetcode_com_problemse__2" displayName="https___leetcode_com_problemse__2" ref="A1:H101" tableType="queryTable" totalsRowShown="0">
  <autoFilter ref="A1:H101" xr:uid="{E7561698-A2DC-42D0-B013-81A5AD8641AD}"/>
  <tableColumns count="8">
    <tableColumn id="1" xr3:uid="{7BE28A4B-1158-4B27-AFCC-FB8D61789B1C}" uniqueName="1" name="h-5" queryTableFieldId="1" dataDxfId="173"/>
    <tableColumn id="2" xr3:uid="{A3C411A1-1816-4F3C-96D2-A0BCA152732B}" uniqueName="2" name="h-5 href" queryTableFieldId="2" dataDxfId="172"/>
    <tableColumn id="3" xr3:uid="{8DBBBAD0-591E-4C89-BD40-8825430EF512}" uniqueName="3" name="inline-flex" queryTableFieldId="3" dataDxfId="171"/>
    <tableColumn id="4" xr3:uid="{856D3FDD-D648-4527-9F13-BBB1493EDCA2}" uniqueName="4" name="inline-flex 2" queryTableFieldId="4" dataDxfId="170"/>
    <tableColumn id="5" xr3:uid="{8BF45F83-8967-40DE-8FC0-5A354CE3B5E9}" uniqueName="5" name="truncate href" queryTableFieldId="5" dataDxfId="169"/>
    <tableColumn id="6" xr3:uid="{DF2FF73D-7E88-4F9A-8500-359BA7353CC0}" uniqueName="6" name="mx-2" queryTableFieldId="6" dataDxfId="168"/>
    <tableColumn id="7" xr3:uid="{CEABA942-09DC-467F-B986-FAC59AC16614}" uniqueName="7" name="inline-flex 3" queryTableFieldId="7" dataDxfId="167"/>
    <tableColumn id="8" xr3:uid="{7EBEFF5D-3E25-4D61-858E-B40AFB469CFD}" uniqueName="8" name="inline-flex 4" queryTableField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874186-49BA-42DA-A00C-4637C2990643}" name="https___leetcode_com_problemse__3" displayName="https___leetcode_com_problemse__3" ref="A1:H101" tableType="queryTable" totalsRowShown="0">
  <autoFilter ref="A1:H101" xr:uid="{F7874186-49BA-42DA-A00C-4637C2990643}"/>
  <tableColumns count="8">
    <tableColumn id="1" xr3:uid="{715C0E1B-9084-48FB-9487-D33EE58DF553}" uniqueName="1" name="h-5" queryTableFieldId="1" dataDxfId="166"/>
    <tableColumn id="2" xr3:uid="{C76DDDCD-C1FC-47EB-A244-E2E913CD77C2}" uniqueName="2" name="h-5 href" queryTableFieldId="2" dataDxfId="165"/>
    <tableColumn id="3" xr3:uid="{9011A039-3BE7-4CC8-9E65-66287377239D}" uniqueName="3" name="inline-flex" queryTableFieldId="3" dataDxfId="164"/>
    <tableColumn id="4" xr3:uid="{16F52065-CDFA-488D-9FCF-6B662BC2C9A0}" uniqueName="4" name="inline-flex 2" queryTableFieldId="4" dataDxfId="163"/>
    <tableColumn id="5" xr3:uid="{6F8BEBDF-457F-4B7E-8492-2A29D4617E41}" uniqueName="5" name="truncate href" queryTableFieldId="5" dataDxfId="162"/>
    <tableColumn id="6" xr3:uid="{66DD5F72-C352-4BE3-85A3-1677A38288C7}" uniqueName="6" name="mx-2" queryTableFieldId="6" dataDxfId="161"/>
    <tableColumn id="7" xr3:uid="{795F4398-BB92-4C06-8D96-5FCB5677CE4E}" uniqueName="7" name="inline-flex 3" queryTableFieldId="7" dataDxfId="160"/>
    <tableColumn id="8" xr3:uid="{14AA9A5F-94EA-4E18-9422-03FB601B1671}" uniqueName="8" name="inline-flex 4" queryTableField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CEC7F4-3944-44DA-AB42-AE38D0792533}" name="https___leetcode_com_problemse__4" displayName="https___leetcode_com_problemse__4" ref="A1:H101" tableType="queryTable" totalsRowShown="0">
  <autoFilter ref="A1:H101" xr:uid="{41CEC7F4-3944-44DA-AB42-AE38D0792533}"/>
  <tableColumns count="8">
    <tableColumn id="1" xr3:uid="{6916FAB8-C699-4DEC-AACD-729B8F5A8526}" uniqueName="1" name="h-5" queryTableFieldId="1" dataDxfId="159"/>
    <tableColumn id="2" xr3:uid="{6A3CCDB0-4524-4ED5-B129-153DC67FA22B}" uniqueName="2" name="h-5 href" queryTableFieldId="2" dataDxfId="158"/>
    <tableColumn id="3" xr3:uid="{8C1B1AC6-05E5-4388-906C-8EC5956D80F2}" uniqueName="3" name="inline-flex" queryTableFieldId="3" dataDxfId="157"/>
    <tableColumn id="4" xr3:uid="{169D7AE2-3E2C-48E7-A850-6C31A26FCD4D}" uniqueName="4" name="inline-flex 2" queryTableFieldId="4" dataDxfId="156"/>
    <tableColumn id="5" xr3:uid="{D39C1686-3E73-4D60-85AE-8C43E6DBE861}" uniqueName="5" name="inline-flex 3" queryTableFieldId="5" dataDxfId="155"/>
    <tableColumn id="6" xr3:uid="{B0B0DFEB-B340-416C-AE9D-249BDBB262F0}" uniqueName="6" name="truncate href" queryTableFieldId="6" dataDxfId="154"/>
    <tableColumn id="7" xr3:uid="{69DA44BD-3A31-4EF1-88A3-8A5665BFFC04}" uniqueName="7" name="mx-2" queryTableFieldId="7" dataDxfId="153"/>
    <tableColumn id="8" xr3:uid="{FEC06F45-2694-4030-BD89-4A8509A18F51}" uniqueName="8" name="inline-flex 4" queryTableFieldId="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921241-ED2C-4110-9240-87B78796E5A3}" name="https___leetcode_com_problemse__5" displayName="https___leetcode_com_problemse__5" ref="A1:H101" tableType="queryTable" totalsRowShown="0">
  <autoFilter ref="A1:H101" xr:uid="{C2921241-ED2C-4110-9240-87B78796E5A3}"/>
  <tableColumns count="8">
    <tableColumn id="1" xr3:uid="{474EA645-3271-4FA6-8480-2983BC2D9074}" uniqueName="1" name="h-5" queryTableFieldId="1" dataDxfId="152"/>
    <tableColumn id="2" xr3:uid="{271D4A9B-E275-4315-B042-EA507B453C92}" uniqueName="2" name="h-5 href" queryTableFieldId="2" dataDxfId="151"/>
    <tableColumn id="3" xr3:uid="{5A98F983-2EC1-4C64-8B7F-CFA348D54A4A}" uniqueName="3" name="inline-flex" queryTableFieldId="3" dataDxfId="150"/>
    <tableColumn id="4" xr3:uid="{D64F5784-2CCB-4A46-95A2-854D8B734010}" uniqueName="4" name="inline-flex 2" queryTableFieldId="4" dataDxfId="149"/>
    <tableColumn id="5" xr3:uid="{C37A8CE3-2C26-4F08-A9EB-775D6AEC468C}" uniqueName="5" name="inline-flex 3" queryTableFieldId="5" dataDxfId="148"/>
    <tableColumn id="6" xr3:uid="{E89EE44F-3AE1-4696-8F45-84150F27BFDB}" uniqueName="6" name="inline-flex 4" queryTableFieldId="6"/>
    <tableColumn id="7" xr3:uid="{135518DC-5495-468F-A465-8ECB11EDF0FB}" uniqueName="7" name="mx-2" queryTableFieldId="7" dataDxfId="147"/>
    <tableColumn id="8" xr3:uid="{2D4A45D6-B33B-4A58-A77E-7AF1CADC3993}" uniqueName="8" name="truncate href" queryTableFieldId="8" dataDxfId="14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8C711A-49EF-4472-9C16-B796118277B7}" name="https___leetcode_com_problemse__6" displayName="https___leetcode_com_problemse__6" ref="A1:H101" tableType="queryTable" totalsRowShown="0">
  <autoFilter ref="A1:H101" xr:uid="{218C711A-49EF-4472-9C16-B796118277B7}"/>
  <tableColumns count="8">
    <tableColumn id="1" xr3:uid="{255EFDA9-DB11-452B-A4CC-6C86D6AA7E4E}" uniqueName="1" name="h-5" queryTableFieldId="1" dataDxfId="145"/>
    <tableColumn id="2" xr3:uid="{3BBBBCB4-C50D-4CC4-BD7B-FAA1461773D9}" uniqueName="2" name="h-5 href" queryTableFieldId="2" dataDxfId="144"/>
    <tableColumn id="3" xr3:uid="{00EC99CC-936D-49C4-A69E-D806536D8BC7}" uniqueName="3" name="inline-flex" queryTableFieldId="3" dataDxfId="143"/>
    <tableColumn id="4" xr3:uid="{1AC5B18D-7103-4E73-9A5A-B1479804639A}" uniqueName="4" name="inline-flex 2" queryTableFieldId="4" dataDxfId="142"/>
    <tableColumn id="5" xr3:uid="{B09475B1-3840-4DDE-8F1E-3AF073191005}" uniqueName="5" name="inline-flex 3" queryTableFieldId="5" dataDxfId="141"/>
    <tableColumn id="6" xr3:uid="{9BFDF0EA-E8AF-4B57-A2CD-74F0A2004868}" uniqueName="6" name="inline-flex 4" queryTableFieldId="6"/>
    <tableColumn id="7" xr3:uid="{24B1B719-0998-47F5-99E9-B656B50120A4}" uniqueName="7" name="mx-2" queryTableFieldId="7" dataDxfId="140"/>
    <tableColumn id="8" xr3:uid="{AE1CAB54-A345-4E2F-B529-52CB03881546}" uniqueName="8" name="truncate href" queryTableFieldId="8" dataDxfId="13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4F1E62-82EB-40AD-97E7-9A5F7DEC3C8A}" name="Append4" displayName="Append4" ref="A1:I970" tableType="queryTable" totalsRowShown="0">
  <autoFilter ref="A1:I970" xr:uid="{B44F1E62-82EB-40AD-97E7-9A5F7DEC3C8A}">
    <filterColumn colId="0">
      <colorFilter dxfId="138" cellColor="0"/>
    </filterColumn>
  </autoFilter>
  <tableColumns count="9">
    <tableColumn id="1" xr3:uid="{2889E466-57E0-4499-BEA8-70B9E5526DD7}" uniqueName="1" name="h-5" queryTableFieldId="1" dataDxfId="137"/>
    <tableColumn id="2" xr3:uid="{2286B5C0-F024-4264-9BF7-332071730BFA}" uniqueName="2" name="h-5 href" queryTableFieldId="2" dataDxfId="136"/>
    <tableColumn id="3" xr3:uid="{5AFAEB00-BE81-47F7-AB0D-01092024E84F}" uniqueName="3" name="inline-flex" queryTableFieldId="3" dataDxfId="135"/>
    <tableColumn id="4" xr3:uid="{043471BD-7A83-4BE5-BED5-E116017C23CA}" uniqueName="4" name="inline-flex 2" queryTableFieldId="4" dataDxfId="134"/>
    <tableColumn id="5" xr3:uid="{EBEE2FB7-B7A7-4A42-A00B-E03BA1AAB1F3}" uniqueName="5" name="inline-flex 3" queryTableFieldId="5" dataDxfId="133"/>
    <tableColumn id="6" xr3:uid="{75DC88B2-B31E-4E88-9554-874548EF1F35}" uniqueName="6" name="truncate href" queryTableFieldId="6" dataDxfId="132"/>
    <tableColumn id="7" xr3:uid="{AEE6C040-B220-415F-8DD4-F48966DC8FE3}" uniqueName="7" name="mx-2" queryTableFieldId="7" dataDxfId="131"/>
    <tableColumn id="8" xr3:uid="{8A31E9F8-BFC7-460C-A6BA-17C080F5A882}" uniqueName="8" name="text-pink" queryTableFieldId="8" dataDxfId="130"/>
    <tableColumn id="9" xr3:uid="{57388BED-BCD5-46EE-A929-257E41C6D513}" uniqueName="9" name="inline-flex 4" queryTableFieldId="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5C42A71-7E7F-4289-B3DC-C5F4F5DD4380}" name="Append3" displayName="Append3" ref="A1:J171" tableType="queryTable" totalsRowShown="0">
  <autoFilter ref="A1:J171" xr:uid="{75C42A71-7E7F-4289-B3DC-C5F4F5DD4380}"/>
  <tableColumns count="10">
    <tableColumn id="1" xr3:uid="{CB42B83A-C268-4710-B760-76E9DC2BE06C}" uniqueName="1" name="h-5" queryTableFieldId="1" dataDxfId="129"/>
    <tableColumn id="10" xr3:uid="{C982AA5B-7652-4D18-9D2A-07774FD71BF8}" uniqueName="10" name="h-6" queryTableFieldId="10" dataDxfId="128"/>
    <tableColumn id="2" xr3:uid="{C6CE7215-DD3A-456A-B9AA-733C4945C4E9}" uniqueName="2" name="h-5 href" queryTableFieldId="2" dataDxfId="127"/>
    <tableColumn id="3" xr3:uid="{BB277DE9-1B5F-46E9-9E37-231A0F64C42F}" uniqueName="3" name="inline-flex" queryTableFieldId="3" dataDxfId="126"/>
    <tableColumn id="4" xr3:uid="{A424C0D1-C78E-42FB-8A00-59E31116E8D0}" uniqueName="4" name="inline-flex 2" queryTableFieldId="4" dataDxfId="125"/>
    <tableColumn id="5" xr3:uid="{4B542997-2421-4485-AEA2-AACCDED282EE}" uniqueName="5" name="inline-flex 3" queryTableFieldId="5" dataDxfId="124"/>
    <tableColumn id="6" xr3:uid="{B28E63A1-73D9-4CA4-A0B7-23B910B3E823}" uniqueName="6" name="truncate href" queryTableFieldId="6" dataDxfId="123"/>
    <tableColumn id="7" xr3:uid="{1FC5EF44-94E6-4775-9341-AB6CDC916F5A}" uniqueName="7" name="mx-2" queryTableFieldId="7" dataDxfId="122"/>
    <tableColumn id="8" xr3:uid="{D8558F7E-1FE6-4DAE-A714-956861CD36F7}" uniqueName="8" name="text-pink" queryTableFieldId="8" dataDxfId="121"/>
    <tableColumn id="9" xr3:uid="{E392FB7C-4917-4C1B-8324-5C0B95301B87}" uniqueName="9" name="inline-flex 4" queryTableFieldId="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6F2F2BB-7199-4CCA-BF09-DE4545143620}" name="https___leetcode_com_problemse__9" displayName="https___leetcode_com_problemse__9" ref="A1:I102" tableType="queryTable" totalsRowShown="0">
  <autoFilter ref="A1:I102" xr:uid="{16F2F2BB-7199-4CCA-BF09-DE4545143620}"/>
  <tableColumns count="9">
    <tableColumn id="1" xr3:uid="{937545F8-2DB6-47FC-85DC-9C09A9A52826}" uniqueName="1" name="h-5" queryTableFieldId="1" dataDxfId="120"/>
    <tableColumn id="2" xr3:uid="{6B923A3F-3536-4D4F-B804-F69F179AA06B}" uniqueName="2" name="h-5 href" queryTableFieldId="2" dataDxfId="119"/>
    <tableColumn id="3" xr3:uid="{505D2DBE-A035-45E0-9498-9C2432B641ED}" uniqueName="3" name="inline-flex" queryTableFieldId="3" dataDxfId="118"/>
    <tableColumn id="4" xr3:uid="{FA8E69B5-08EB-4270-AC57-6DF846ABC4AD}" uniqueName="4" name="inline-flex 2" queryTableFieldId="4" dataDxfId="117"/>
    <tableColumn id="5" xr3:uid="{636BAEAE-553C-4005-9C12-10E7603DBDD7}" uniqueName="5" name="inline-flex 3" queryTableFieldId="5" dataDxfId="116"/>
    <tableColumn id="6" xr3:uid="{892F87E5-2F50-40EA-A714-95435BBDBE87}" uniqueName="6" name="truncate href" queryTableFieldId="6" dataDxfId="115"/>
    <tableColumn id="7" xr3:uid="{4B3FCBCF-F009-4DF2-9F4B-A17943EFADC0}" uniqueName="7" name="mx-2" queryTableFieldId="7" dataDxfId="114"/>
    <tableColumn id="8" xr3:uid="{683855C9-E8FE-4894-9863-774E35EFFBAB}" uniqueName="8" name="text-pink" queryTableFieldId="8" dataDxfId="113"/>
    <tableColumn id="9" xr3:uid="{B87A9DD0-E0AA-49A9-9FC8-E96F35D80941}" uniqueName="9" name="inline-flex 4" queryTableFieldId="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AED6D99-5F5F-43C8-8EAC-E363CEAAF4E3}" name="https___leetcode_com_problemse__10" displayName="https___leetcode_com_problemse__10" ref="A1:G70" tableType="queryTable" totalsRowShown="0">
  <autoFilter ref="A1:G70" xr:uid="{5AED6D99-5F5F-43C8-8EAC-E363CEAAF4E3}"/>
  <tableColumns count="7">
    <tableColumn id="1" xr3:uid="{6931BF36-4288-404A-AF55-2335316AF3ED}" uniqueName="1" name="h-5" queryTableFieldId="1" dataDxfId="112"/>
    <tableColumn id="2" xr3:uid="{820292CB-1B6C-419E-8340-C73BC1789D49}" uniqueName="2" name="h-5 href" queryTableFieldId="2" dataDxfId="111"/>
    <tableColumn id="3" xr3:uid="{F06678EA-89E4-4B1B-99F0-85DC2CE53547}" uniqueName="3" name="inline-flex" queryTableFieldId="3" dataDxfId="110"/>
    <tableColumn id="4" xr3:uid="{BDCDBDFF-8F52-412E-90A5-204D5902CE18}" uniqueName="4" name="inline-flex 2" queryTableFieldId="4" dataDxfId="109"/>
    <tableColumn id="5" xr3:uid="{2AD8B1AF-81D3-4476-9D5C-CC90373BA421}" uniqueName="5" name="mx-2" queryTableFieldId="5" dataDxfId="108"/>
    <tableColumn id="6" xr3:uid="{E85636B5-8A96-49A2-B1FC-D3A8C33E4DFB}" uniqueName="6" name="inline-flex 3" queryTableFieldId="6" dataDxfId="107"/>
    <tableColumn id="7" xr3:uid="{C187A8EE-BFD4-4DCE-88F6-9B72613A4CF7}" uniqueName="7" name="inline-flex 4" queryTableFieldId="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055F4A9-977A-44A4-88AC-1150C1BE50D6}" name="Append2" displayName="Append2" ref="A1:J800" tableType="queryTable" totalsRowShown="0">
  <autoFilter ref="A1:J800" xr:uid="{9055F4A9-977A-44A4-88AC-1150C1BE50D6}"/>
  <sortState xmlns:xlrd2="http://schemas.microsoft.com/office/spreadsheetml/2017/richdata2" ref="A2:J800">
    <sortCondition ref="A1:A800"/>
  </sortState>
  <tableColumns count="10">
    <tableColumn id="1" xr3:uid="{531B7EAD-F83B-4C6C-BD50-A30A6956B54B}" uniqueName="1" name="h-5" queryTableFieldId="1" dataDxfId="106"/>
    <tableColumn id="10" xr3:uid="{E9C70DAD-7DFB-4852-B21B-49745276321A}" uniqueName="10" name="h-6" queryTableFieldId="10" dataDxfId="105"/>
    <tableColumn id="2" xr3:uid="{BA1B6E75-F2A2-4717-8BE4-4CE1BF55D24B}" uniqueName="2" name="h-5 href" queryTableFieldId="2" dataDxfId="104"/>
    <tableColumn id="3" xr3:uid="{170E8F0F-DE12-4F33-BC68-4D750D719EA8}" uniqueName="3" name="inline-flex" queryTableFieldId="3" dataDxfId="103"/>
    <tableColumn id="4" xr3:uid="{FBE87FBD-A969-49FE-9BE7-B060A237B80A}" uniqueName="4" name="inline-flex 2" queryTableFieldId="4" dataDxfId="102"/>
    <tableColumn id="5" xr3:uid="{744F9A38-7998-4A5D-AD84-F7F98DDBFD5C}" uniqueName="5" name="inline-flex 3" queryTableFieldId="5" dataDxfId="101"/>
    <tableColumn id="6" xr3:uid="{939C6BC5-58C6-418B-9639-79C98CFC6287}" uniqueName="6" name="mx-2" queryTableFieldId="6" dataDxfId="100"/>
    <tableColumn id="7" xr3:uid="{9DB420A9-006E-4122-AFD2-E9173ADA706C}" uniqueName="7" name="inline-flex 4" queryTableFieldId="7"/>
    <tableColumn id="8" xr3:uid="{944F8D2D-318F-495D-8F70-7660BFD16241}" uniqueName="8" name="truncate href" queryTableFieldId="8" dataDxfId="99"/>
    <tableColumn id="9" xr3:uid="{7E35D9E1-F6DF-4D77-BCFF-EB3E0649B952}" uniqueName="9" name="text-pink" queryTableFieldId="9" dataDxfId="9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54E1588-55E2-4CCA-8A7B-BB8FE32513A7}" name="Append1" displayName="Append1" ref="A1:M203" tableType="queryTable" totalsRowShown="0">
  <autoFilter ref="A1:M203" xr:uid="{754E1588-55E2-4CCA-8A7B-BB8FE32513A7}"/>
  <tableColumns count="13">
    <tableColumn id="1" xr3:uid="{F5C23B62-03AD-45A7-AFB0-239CDC0C8B7E}" uniqueName="1" name="Column1" queryTableFieldId="1" dataDxfId="97"/>
    <tableColumn id="2" xr3:uid="{0B16B303-B064-409D-BD09-721077AA26C8}" uniqueName="2" name="Column2" queryTableFieldId="2" dataDxfId="96"/>
    <tableColumn id="3" xr3:uid="{BA77AACD-4081-4338-B39B-9EDD67CF4BA6}" uniqueName="3" name="Column3" queryTableFieldId="3" dataDxfId="95"/>
    <tableColumn id="4" xr3:uid="{E506F353-2875-439F-A10C-78E15A306807}" uniqueName="4" name="Column4" queryTableFieldId="4" dataDxfId="94"/>
    <tableColumn id="5" xr3:uid="{10D3493C-AC0F-4EA4-AAE8-9045529C0E0C}" uniqueName="5" name="h-5" queryTableFieldId="5" dataDxfId="93"/>
    <tableColumn id="6" xr3:uid="{6E805244-5B13-422D-9935-7F35D5D76795}" uniqueName="6" name="h-5 href" queryTableFieldId="6" dataDxfId="92"/>
    <tableColumn id="7" xr3:uid="{6C6C3497-CA3A-4E48-B01F-A79BC01CB52A}" uniqueName="7" name="inline-flex" queryTableFieldId="7" dataDxfId="91"/>
    <tableColumn id="8" xr3:uid="{F9334BDA-0B38-4E47-A943-78D55037C1CE}" uniqueName="8" name="inline-flex 2" queryTableFieldId="8" dataDxfId="90"/>
    <tableColumn id="9" xr3:uid="{F0AC948F-029A-4DB3-A168-67FB89F8DF2A}" uniqueName="9" name="inline-flex 3" queryTableFieldId="9" dataDxfId="89"/>
    <tableColumn id="10" xr3:uid="{33351E59-A69E-4168-BE1C-04F5D5EB39FA}" uniqueName="10" name="truncate href" queryTableFieldId="10" dataDxfId="88"/>
    <tableColumn id="11" xr3:uid="{BB7CD7A9-E440-489B-A24D-22CC44A89BB0}" uniqueName="11" name="mx-2" queryTableFieldId="11" dataDxfId="87"/>
    <tableColumn id="12" xr3:uid="{2DD8B739-75B3-4D07-A0B1-6FC9B053A863}" uniqueName="12" name="text-pink" queryTableFieldId="12" dataDxfId="86"/>
    <tableColumn id="13" xr3:uid="{CE4EE330-C9E1-477E-883D-A932C703751E}" uniqueName="13" name="inline-flex 4" queryTableFieldId="13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02BD9B-39DB-43F2-BFCF-B8876429A458}" name="https___leetcode_com_problemse__7" displayName="https___leetcode_com_problemse__7" ref="A1:G101" tableType="queryTable" totalsRowShown="0">
  <autoFilter ref="A1:G101" xr:uid="{1202BD9B-39DB-43F2-BFCF-B8876429A458}"/>
  <tableColumns count="7">
    <tableColumn id="1" xr3:uid="{50604329-9EFE-4AAF-A41A-F680F3F30980}" uniqueName="1" name="h-5" queryTableFieldId="1" dataDxfId="85"/>
    <tableColumn id="2" xr3:uid="{0FA715EF-3843-4545-B85D-DDF857C8FAE4}" uniqueName="2" name="h-5 href" queryTableFieldId="2" dataDxfId="84"/>
    <tableColumn id="3" xr3:uid="{4BCA947C-1813-4AC4-ACFB-FEF311672A81}" uniqueName="3" name="inline-flex" queryTableFieldId="3" dataDxfId="83"/>
    <tableColumn id="4" xr3:uid="{ABFEE8D8-2471-4145-88A3-427089430FEA}" uniqueName="4" name="inline-flex 2" queryTableFieldId="4" dataDxfId="82"/>
    <tableColumn id="5" xr3:uid="{BA9D5FC6-EC21-4490-B83B-EA7F4DB90796}" uniqueName="5" name="inline-flex 3" queryTableFieldId="5" dataDxfId="81"/>
    <tableColumn id="6" xr3:uid="{00018975-0344-4557-A791-1DAB583E6B91}" uniqueName="6" name="inline-flex 4" queryTableFieldId="6"/>
    <tableColumn id="7" xr3:uid="{8283F264-BD58-46AC-B420-DD2221B0A2AB}" uniqueName="7" name="mx-2" queryTableFieldId="7" dataDxfId="8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AFD29B-CDC9-4B84-9C5B-3501DACEA51B}" name="https___leetcode_com_problemse__8" displayName="https___leetcode_com_problemse__8" ref="A1:G99" tableType="queryTable" totalsRowShown="0">
  <autoFilter ref="A1:G99" xr:uid="{0FAFD29B-CDC9-4B84-9C5B-3501DACEA51B}"/>
  <tableColumns count="7">
    <tableColumn id="1" xr3:uid="{284C8DC7-5238-4008-81E5-40C1315E1286}" uniqueName="1" name="h-5" queryTableFieldId="1" dataDxfId="79"/>
    <tableColumn id="2" xr3:uid="{7A909932-9ADD-4A16-8E23-DEA914267A89}" uniqueName="2" name="h-5 href" queryTableFieldId="2" dataDxfId="78"/>
    <tableColumn id="3" xr3:uid="{20CB1CCE-BE01-4874-89D3-21B77E16FDC1}" uniqueName="3" name="inline-flex" queryTableFieldId="3" dataDxfId="77"/>
    <tableColumn id="4" xr3:uid="{9FD34247-A70D-4983-B967-4CC3A4DD452C}" uniqueName="4" name="inline-flex 2" queryTableFieldId="4" dataDxfId="76"/>
    <tableColumn id="5" xr3:uid="{8B4A66C0-49D6-49D5-AC74-E7DB793AD7F4}" uniqueName="5" name="inline-flex 3" queryTableFieldId="5" dataDxfId="75"/>
    <tableColumn id="6" xr3:uid="{793482AB-ADFB-47BB-B503-0888729933F1}" uniqueName="6" name="mx-2" queryTableFieldId="6" dataDxfId="74"/>
    <tableColumn id="7" xr3:uid="{EB5DF4AD-7C3E-4F66-8005-D657D7DBE45C}" uniqueName="7" name="inline-flex 4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leetcode.com/tag/topological-sort/" TargetMode="External"/><Relationship Id="rId21" Type="http://schemas.openxmlformats.org/officeDocument/2006/relationships/hyperlink" Target="https://leetcode.com/problems/merge-bsts-to-create-single-bst" TargetMode="External"/><Relationship Id="rId42" Type="http://schemas.openxmlformats.org/officeDocument/2006/relationships/hyperlink" Target="https://leetcode.com/problems/count-ways-to-build-rooms-in-an-ant-colony" TargetMode="External"/><Relationship Id="rId47" Type="http://schemas.openxmlformats.org/officeDocument/2006/relationships/hyperlink" Target="https://leetcode.com/problems/rank-transform-of-a-matrix/" TargetMode="External"/><Relationship Id="rId63" Type="http://schemas.openxmlformats.org/officeDocument/2006/relationships/hyperlink" Target="https://leetcode.com/problems/distinct-echo-substrings" TargetMode="External"/><Relationship Id="rId68" Type="http://schemas.openxmlformats.org/officeDocument/2006/relationships/hyperlink" Target="https://leetcode.com/problems/count-integers-in-intervals" TargetMode="External"/><Relationship Id="rId2" Type="http://schemas.openxmlformats.org/officeDocument/2006/relationships/hyperlink" Target="https://leetcode.com/tag/hash-table/" TargetMode="External"/><Relationship Id="rId16" Type="http://schemas.openxmlformats.org/officeDocument/2006/relationships/hyperlink" Target="https://leetcode.com/tag/hash-table/" TargetMode="External"/><Relationship Id="rId29" Type="http://schemas.openxmlformats.org/officeDocument/2006/relationships/hyperlink" Target="https://leetcode.com/problems/partition-array-into-two-arrays-to-minimize-sum-difference" TargetMode="External"/><Relationship Id="rId11" Type="http://schemas.openxmlformats.org/officeDocument/2006/relationships/hyperlink" Target="https://leetcode.com/problems/design-movie-rental-system" TargetMode="External"/><Relationship Id="rId24" Type="http://schemas.openxmlformats.org/officeDocument/2006/relationships/hyperlink" Target="https://leetcode.com/tag/topological-sort/" TargetMode="External"/><Relationship Id="rId32" Type="http://schemas.openxmlformats.org/officeDocument/2006/relationships/hyperlink" Target="https://leetcode.com/problems/count-anagrams/" TargetMode="External"/><Relationship Id="rId37" Type="http://schemas.openxmlformats.org/officeDocument/2006/relationships/hyperlink" Target="https://leetcode.com/problems/parse-lisp-expression" TargetMode="External"/><Relationship Id="rId40" Type="http://schemas.openxmlformats.org/officeDocument/2006/relationships/hyperlink" Target="https://leetcode.com/problems/maximum-employees-to-be-invited-to-a-meeting" TargetMode="External"/><Relationship Id="rId45" Type="http://schemas.openxmlformats.org/officeDocument/2006/relationships/hyperlink" Target="https://leetcode.com/problems/largest-color-value-in-a-directed-graph" TargetMode="External"/><Relationship Id="rId53" Type="http://schemas.openxmlformats.org/officeDocument/2006/relationships/hyperlink" Target="https://leetcode.com/problems/number-of-different-subsequences-gcds" TargetMode="External"/><Relationship Id="rId58" Type="http://schemas.openxmlformats.org/officeDocument/2006/relationships/hyperlink" Target="https://leetcode.com/problems/prefix-and-suffix-search" TargetMode="External"/><Relationship Id="rId66" Type="http://schemas.openxmlformats.org/officeDocument/2006/relationships/hyperlink" Target="https://leetcode.com/problems/partition-array-into-two-arrays-to-minimize-sum-difference" TargetMode="External"/><Relationship Id="rId74" Type="http://schemas.openxmlformats.org/officeDocument/2006/relationships/hyperlink" Target="https://leetcode.com/problems/number-of-pairs-satisfying-inequality" TargetMode="External"/><Relationship Id="rId5" Type="http://schemas.openxmlformats.org/officeDocument/2006/relationships/hyperlink" Target="https://leetcode.com/problems/merge-bsts-to-create-single-bst" TargetMode="External"/><Relationship Id="rId61" Type="http://schemas.openxmlformats.org/officeDocument/2006/relationships/hyperlink" Target="https://leetcode.com/problems/number-of-valid-words-for-each-puzzle" TargetMode="External"/><Relationship Id="rId19" Type="http://schemas.openxmlformats.org/officeDocument/2006/relationships/hyperlink" Target="https://leetcode.com/problems/maximum-employees-to-be-invited-to-a-meeting" TargetMode="External"/><Relationship Id="rId14" Type="http://schemas.openxmlformats.org/officeDocument/2006/relationships/hyperlink" Target="https://leetcode.com/tag/hash-table/" TargetMode="External"/><Relationship Id="rId22" Type="http://schemas.openxmlformats.org/officeDocument/2006/relationships/hyperlink" Target="https://leetcode.com/tag/binary-tree/" TargetMode="External"/><Relationship Id="rId27" Type="http://schemas.openxmlformats.org/officeDocument/2006/relationships/hyperlink" Target="https://leetcode.com/problems/delete-duplicate-folders-in-system" TargetMode="External"/><Relationship Id="rId30" Type="http://schemas.openxmlformats.org/officeDocument/2006/relationships/hyperlink" Target="https://leetcode.com/tag/ordered-set/" TargetMode="External"/><Relationship Id="rId35" Type="http://schemas.openxmlformats.org/officeDocument/2006/relationships/hyperlink" Target="https://leetcode.com/problems/encrypt-and-decrypt-strings/" TargetMode="External"/><Relationship Id="rId43" Type="http://schemas.openxmlformats.org/officeDocument/2006/relationships/hyperlink" Target="https://leetcode.com/problems/parallel-courses-iii" TargetMode="External"/><Relationship Id="rId48" Type="http://schemas.openxmlformats.org/officeDocument/2006/relationships/hyperlink" Target="https://leetcode.com/problems/cat-and-mouse-ii" TargetMode="External"/><Relationship Id="rId56" Type="http://schemas.openxmlformats.org/officeDocument/2006/relationships/hyperlink" Target="https://leetcode.com/problems/encrypt-and-decrypt-strings" TargetMode="External"/><Relationship Id="rId64" Type="http://schemas.openxmlformats.org/officeDocument/2006/relationships/hyperlink" Target="https://leetcode.com/problems/stream-of-characters" TargetMode="External"/><Relationship Id="rId69" Type="http://schemas.openxmlformats.org/officeDocument/2006/relationships/hyperlink" Target="https://leetcode.com/problems/count-good-triplets-in-an-array" TargetMode="External"/><Relationship Id="rId8" Type="http://schemas.openxmlformats.org/officeDocument/2006/relationships/hyperlink" Target="https://leetcode.com/tag/trie/" TargetMode="External"/><Relationship Id="rId51" Type="http://schemas.openxmlformats.org/officeDocument/2006/relationships/hyperlink" Target="https://leetcode.com/problems/count-array-pairs-divisible-by-k" TargetMode="External"/><Relationship Id="rId72" Type="http://schemas.openxmlformats.org/officeDocument/2006/relationships/hyperlink" Target="https://leetcode.com/problems/the-skyline-problem" TargetMode="External"/><Relationship Id="rId3" Type="http://schemas.openxmlformats.org/officeDocument/2006/relationships/hyperlink" Target="https://leetcode.com/problems/cat-and-mouse" TargetMode="External"/><Relationship Id="rId12" Type="http://schemas.openxmlformats.org/officeDocument/2006/relationships/hyperlink" Target="https://leetcode.com/tag/ordered-set/" TargetMode="External"/><Relationship Id="rId17" Type="http://schemas.openxmlformats.org/officeDocument/2006/relationships/hyperlink" Target="https://leetcode.com/problems/parse-lisp-expression" TargetMode="External"/><Relationship Id="rId25" Type="http://schemas.openxmlformats.org/officeDocument/2006/relationships/hyperlink" Target="https://leetcode.com/problems/rank-transform-of-a-matrix/" TargetMode="External"/><Relationship Id="rId33" Type="http://schemas.openxmlformats.org/officeDocument/2006/relationships/hyperlink" Target="https://leetcode.com/problems/grid-illumination/" TargetMode="External"/><Relationship Id="rId38" Type="http://schemas.openxmlformats.org/officeDocument/2006/relationships/hyperlink" Target="https://leetcode.com/problems/prefix-and-suffix-search/" TargetMode="External"/><Relationship Id="rId46" Type="http://schemas.openxmlformats.org/officeDocument/2006/relationships/hyperlink" Target="https://leetcode.com/problems/sort-items-by-groups-respecting-dependencies" TargetMode="External"/><Relationship Id="rId59" Type="http://schemas.openxmlformats.org/officeDocument/2006/relationships/hyperlink" Target="https://leetcode.com/problems/maximum-xor-with-an-element-from-array" TargetMode="External"/><Relationship Id="rId67" Type="http://schemas.openxmlformats.org/officeDocument/2006/relationships/hyperlink" Target="https://leetcode.com/problems/longest-substring-of-one-repeating-character" TargetMode="External"/><Relationship Id="rId20" Type="http://schemas.openxmlformats.org/officeDocument/2006/relationships/hyperlink" Target="https://leetcode.com/tag/topological-sort/" TargetMode="External"/><Relationship Id="rId41" Type="http://schemas.openxmlformats.org/officeDocument/2006/relationships/hyperlink" Target="https://leetcode.com/problems/cat-and-mouse" TargetMode="External"/><Relationship Id="rId54" Type="http://schemas.openxmlformats.org/officeDocument/2006/relationships/hyperlink" Target="https://leetcode.com/problems/count-ways-to-make-array-with-product" TargetMode="External"/><Relationship Id="rId62" Type="http://schemas.openxmlformats.org/officeDocument/2006/relationships/hyperlink" Target="https://leetcode.com/problems/count-pairs-with-xor-in-a-range" TargetMode="External"/><Relationship Id="rId70" Type="http://schemas.openxmlformats.org/officeDocument/2006/relationships/hyperlink" Target="https://leetcode.com/problems/odd-even-jump" TargetMode="External"/><Relationship Id="rId75" Type="http://schemas.openxmlformats.org/officeDocument/2006/relationships/table" Target="../tables/table10.xml"/><Relationship Id="rId1" Type="http://schemas.openxmlformats.org/officeDocument/2006/relationships/hyperlink" Target="https://leetcode.com/problems/parse-lisp-expression" TargetMode="External"/><Relationship Id="rId6" Type="http://schemas.openxmlformats.org/officeDocument/2006/relationships/hyperlink" Target="https://leetcode.com/tag/binary-tree/" TargetMode="External"/><Relationship Id="rId15" Type="http://schemas.openxmlformats.org/officeDocument/2006/relationships/hyperlink" Target="https://leetcode.com/problems/recover-the-original-array/" TargetMode="External"/><Relationship Id="rId23" Type="http://schemas.openxmlformats.org/officeDocument/2006/relationships/hyperlink" Target="https://leetcode.com/problems/sort-items-by-groups-respecting-dependencies" TargetMode="External"/><Relationship Id="rId28" Type="http://schemas.openxmlformats.org/officeDocument/2006/relationships/hyperlink" Target="https://leetcode.com/tag/trie/" TargetMode="External"/><Relationship Id="rId36" Type="http://schemas.openxmlformats.org/officeDocument/2006/relationships/hyperlink" Target="https://leetcode.com/problems/lfu-cache/" TargetMode="External"/><Relationship Id="rId49" Type="http://schemas.openxmlformats.org/officeDocument/2006/relationships/hyperlink" Target="https://leetcode.com/problems/strange-printer-ii" TargetMode="External"/><Relationship Id="rId57" Type="http://schemas.openxmlformats.org/officeDocument/2006/relationships/hyperlink" Target="https://leetcode.com/problems/maximum-genetic-difference-query" TargetMode="External"/><Relationship Id="rId10" Type="http://schemas.openxmlformats.org/officeDocument/2006/relationships/hyperlink" Target="https://leetcode.com/tag/trie/" TargetMode="External"/><Relationship Id="rId31" Type="http://schemas.openxmlformats.org/officeDocument/2006/relationships/hyperlink" Target="https://leetcode.com/problems/add-edges-to-make-degrees-of-all-nodes-even/" TargetMode="External"/><Relationship Id="rId44" Type="http://schemas.openxmlformats.org/officeDocument/2006/relationships/hyperlink" Target="https://leetcode.com/problems/merge-bsts-to-create-single-bst" TargetMode="External"/><Relationship Id="rId52" Type="http://schemas.openxmlformats.org/officeDocument/2006/relationships/hyperlink" Target="https://leetcode.com/problems/replace-non-coprime-numbers-in-array" TargetMode="External"/><Relationship Id="rId60" Type="http://schemas.openxmlformats.org/officeDocument/2006/relationships/hyperlink" Target="https://leetcode.com/problems/concatenated-words" TargetMode="External"/><Relationship Id="rId65" Type="http://schemas.openxmlformats.org/officeDocument/2006/relationships/hyperlink" Target="https://leetcode.com/problems/delete-duplicate-folders-in-system" TargetMode="External"/><Relationship Id="rId73" Type="http://schemas.openxmlformats.org/officeDocument/2006/relationships/hyperlink" Target="https://leetcode.com/problems/count-of-smaller-numbers-after-self" TargetMode="External"/><Relationship Id="rId4" Type="http://schemas.openxmlformats.org/officeDocument/2006/relationships/hyperlink" Target="https://leetcode.com/tag/topological-sort/" TargetMode="External"/><Relationship Id="rId9" Type="http://schemas.openxmlformats.org/officeDocument/2006/relationships/hyperlink" Target="https://leetcode.com/problems/count-pairs-with-xor-in-a-range" TargetMode="External"/><Relationship Id="rId13" Type="http://schemas.openxmlformats.org/officeDocument/2006/relationships/hyperlink" Target="https://leetcode.com/problems/max-points-on-a-line/" TargetMode="External"/><Relationship Id="rId18" Type="http://schemas.openxmlformats.org/officeDocument/2006/relationships/hyperlink" Target="https://leetcode.com/tag/hash-table/" TargetMode="External"/><Relationship Id="rId39" Type="http://schemas.openxmlformats.org/officeDocument/2006/relationships/hyperlink" Target="https://leetcode.com/problems/number-of-excellent-pairs/" TargetMode="External"/><Relationship Id="rId34" Type="http://schemas.openxmlformats.org/officeDocument/2006/relationships/hyperlink" Target="https://leetcode.com/problems/recover-the-original-array/" TargetMode="External"/><Relationship Id="rId50" Type="http://schemas.openxmlformats.org/officeDocument/2006/relationships/hyperlink" Target="https://leetcode.com/problems/count-the-number-of-ideal-arrays" TargetMode="External"/><Relationship Id="rId55" Type="http://schemas.openxmlformats.org/officeDocument/2006/relationships/hyperlink" Target="https://leetcode.com/problems/palindrome-pairs" TargetMode="External"/><Relationship Id="rId7" Type="http://schemas.openxmlformats.org/officeDocument/2006/relationships/hyperlink" Target="https://leetcode.com/problems/palindrome-pairs" TargetMode="External"/><Relationship Id="rId71" Type="http://schemas.openxmlformats.org/officeDocument/2006/relationships/hyperlink" Target="https://leetcode.com/problems/design-movie-rental-system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leetcode.com/problems/prefix-and-suffix-search/" TargetMode="External"/><Relationship Id="rId18" Type="http://schemas.openxmlformats.org/officeDocument/2006/relationships/hyperlink" Target="https://leetcode.com/problems/count-ways-to-build-rooms-in-an-ant-colony" TargetMode="External"/><Relationship Id="rId26" Type="http://schemas.openxmlformats.org/officeDocument/2006/relationships/hyperlink" Target="https://leetcode.com/problems/count-the-number-of-ideal-arrays" TargetMode="External"/><Relationship Id="rId39" Type="http://schemas.openxmlformats.org/officeDocument/2006/relationships/hyperlink" Target="https://leetcode.com/problems/concatenated-words" TargetMode="External"/><Relationship Id="rId21" Type="http://schemas.openxmlformats.org/officeDocument/2006/relationships/hyperlink" Target="https://leetcode.com/problems/largest-color-value-in-a-directed-graph" TargetMode="External"/><Relationship Id="rId34" Type="http://schemas.openxmlformats.org/officeDocument/2006/relationships/hyperlink" Target="https://leetcode.com/problems/encrypt-and-decrypt-strings" TargetMode="External"/><Relationship Id="rId42" Type="http://schemas.openxmlformats.org/officeDocument/2006/relationships/hyperlink" Target="https://leetcode.com/problems/distinct-echo-substrings" TargetMode="External"/><Relationship Id="rId47" Type="http://schemas.openxmlformats.org/officeDocument/2006/relationships/hyperlink" Target="https://leetcode.com/problems/contains-duplicate-iii" TargetMode="External"/><Relationship Id="rId50" Type="http://schemas.openxmlformats.org/officeDocument/2006/relationships/hyperlink" Target="https://leetcode.com/problems/count-integers-in-intervals" TargetMode="External"/><Relationship Id="rId55" Type="http://schemas.openxmlformats.org/officeDocument/2006/relationships/hyperlink" Target="https://leetcode.com/problems/odd-even-jump" TargetMode="External"/><Relationship Id="rId7" Type="http://schemas.openxmlformats.org/officeDocument/2006/relationships/hyperlink" Target="https://leetcode.com/problems/grid-illumination/" TargetMode="External"/><Relationship Id="rId2" Type="http://schemas.openxmlformats.org/officeDocument/2006/relationships/hyperlink" Target="https://leetcode.com/problems/max-points-on-a-line/" TargetMode="External"/><Relationship Id="rId16" Type="http://schemas.openxmlformats.org/officeDocument/2006/relationships/hyperlink" Target="https://leetcode.com/problems/maximum-employees-to-be-invited-to-a-meeting" TargetMode="External"/><Relationship Id="rId29" Type="http://schemas.openxmlformats.org/officeDocument/2006/relationships/hyperlink" Target="https://leetcode.com/problems/number-of-different-subsequences-gcds" TargetMode="External"/><Relationship Id="rId11" Type="http://schemas.openxmlformats.org/officeDocument/2006/relationships/hyperlink" Target="https://leetcode.com/problems/parse-lisp-expression" TargetMode="External"/><Relationship Id="rId24" Type="http://schemas.openxmlformats.org/officeDocument/2006/relationships/hyperlink" Target="https://leetcode.com/problems/cat-and-mouse-ii" TargetMode="External"/><Relationship Id="rId32" Type="http://schemas.openxmlformats.org/officeDocument/2006/relationships/hyperlink" Target="https://leetcode.com/problems/palindrome-pairs" TargetMode="External"/><Relationship Id="rId37" Type="http://schemas.openxmlformats.org/officeDocument/2006/relationships/hyperlink" Target="https://leetcode.com/problems/maximum-xor-with-an-element-from-array" TargetMode="External"/><Relationship Id="rId40" Type="http://schemas.openxmlformats.org/officeDocument/2006/relationships/hyperlink" Target="https://leetcode.com/problems/number-of-valid-words-for-each-puzzle" TargetMode="External"/><Relationship Id="rId45" Type="http://schemas.openxmlformats.org/officeDocument/2006/relationships/hyperlink" Target="https://leetcode.com/problems/maximum-gap" TargetMode="External"/><Relationship Id="rId53" Type="http://schemas.openxmlformats.org/officeDocument/2006/relationships/hyperlink" Target="https://leetcode.com/problems/create-sorted-array-through-instructions" TargetMode="External"/><Relationship Id="rId58" Type="http://schemas.openxmlformats.org/officeDocument/2006/relationships/hyperlink" Target="https://leetcode.com/problems/count-of-smaller-numbers-after-self" TargetMode="External"/><Relationship Id="rId5" Type="http://schemas.openxmlformats.org/officeDocument/2006/relationships/hyperlink" Target="https://leetcode.com/problems/add-edges-to-make-degrees-of-all-nodes-even/" TargetMode="External"/><Relationship Id="rId61" Type="http://schemas.openxmlformats.org/officeDocument/2006/relationships/table" Target="../tables/table11.xml"/><Relationship Id="rId19" Type="http://schemas.openxmlformats.org/officeDocument/2006/relationships/hyperlink" Target="https://leetcode.com/problems/parallel-courses-iii" TargetMode="External"/><Relationship Id="rId14" Type="http://schemas.openxmlformats.org/officeDocument/2006/relationships/hyperlink" Target="https://leetcode.com/problems/number-of-excellent-pairs/" TargetMode="External"/><Relationship Id="rId22" Type="http://schemas.openxmlformats.org/officeDocument/2006/relationships/hyperlink" Target="https://leetcode.com/problems/sort-items-by-groups-respecting-dependencies" TargetMode="External"/><Relationship Id="rId27" Type="http://schemas.openxmlformats.org/officeDocument/2006/relationships/hyperlink" Target="https://leetcode.com/problems/count-array-pairs-divisible-by-k" TargetMode="External"/><Relationship Id="rId30" Type="http://schemas.openxmlformats.org/officeDocument/2006/relationships/hyperlink" Target="https://leetcode.com/problems/count-ways-to-make-array-with-product" TargetMode="External"/><Relationship Id="rId35" Type="http://schemas.openxmlformats.org/officeDocument/2006/relationships/hyperlink" Target="https://leetcode.com/problems/maximum-genetic-difference-query" TargetMode="External"/><Relationship Id="rId43" Type="http://schemas.openxmlformats.org/officeDocument/2006/relationships/hyperlink" Target="https://leetcode.com/problems/stream-of-characters" TargetMode="External"/><Relationship Id="rId48" Type="http://schemas.openxmlformats.org/officeDocument/2006/relationships/hyperlink" Target="https://leetcode.com/problems/reverse-pairs" TargetMode="External"/><Relationship Id="rId56" Type="http://schemas.openxmlformats.org/officeDocument/2006/relationships/hyperlink" Target="https://leetcode.com/problems/design-movie-rental-system" TargetMode="External"/><Relationship Id="rId8" Type="http://schemas.openxmlformats.org/officeDocument/2006/relationships/hyperlink" Target="https://leetcode.com/problems/recover-the-original-array/" TargetMode="External"/><Relationship Id="rId51" Type="http://schemas.openxmlformats.org/officeDocument/2006/relationships/hyperlink" Target="https://leetcode.com/problems/finding-mk-average" TargetMode="External"/><Relationship Id="rId3" Type="http://schemas.openxmlformats.org/officeDocument/2006/relationships/hyperlink" Target="https://leetcode.com/problems/word-ladder-ii/" TargetMode="External"/><Relationship Id="rId12" Type="http://schemas.openxmlformats.org/officeDocument/2006/relationships/hyperlink" Target="https://leetcode.com/problems/number-of-atoms" TargetMode="External"/><Relationship Id="rId17" Type="http://schemas.openxmlformats.org/officeDocument/2006/relationships/hyperlink" Target="https://leetcode.com/problems/cat-and-mouse" TargetMode="External"/><Relationship Id="rId25" Type="http://schemas.openxmlformats.org/officeDocument/2006/relationships/hyperlink" Target="https://leetcode.com/problems/strange-printer-ii" TargetMode="External"/><Relationship Id="rId33" Type="http://schemas.openxmlformats.org/officeDocument/2006/relationships/hyperlink" Target="https://leetcode.com/problems/word-search-ii" TargetMode="External"/><Relationship Id="rId38" Type="http://schemas.openxmlformats.org/officeDocument/2006/relationships/hyperlink" Target="https://leetcode.com/problems/word-break-ii" TargetMode="External"/><Relationship Id="rId46" Type="http://schemas.openxmlformats.org/officeDocument/2006/relationships/hyperlink" Target="https://leetcode.com/problems/partition-array-into-two-arrays-to-minimize-sum-difference" TargetMode="External"/><Relationship Id="rId59" Type="http://schemas.openxmlformats.org/officeDocument/2006/relationships/hyperlink" Target="https://leetcode.com/problems/number-of-pairs-satisfying-inequality" TargetMode="External"/><Relationship Id="rId20" Type="http://schemas.openxmlformats.org/officeDocument/2006/relationships/hyperlink" Target="https://leetcode.com/problems/merge-bsts-to-create-single-bst" TargetMode="External"/><Relationship Id="rId41" Type="http://schemas.openxmlformats.org/officeDocument/2006/relationships/hyperlink" Target="https://leetcode.com/problems/count-pairs-with-xor-in-a-range" TargetMode="External"/><Relationship Id="rId54" Type="http://schemas.openxmlformats.org/officeDocument/2006/relationships/hyperlink" Target="https://leetcode.com/problems/count-good-triplets-in-an-array" TargetMode="External"/><Relationship Id="rId1" Type="http://schemas.openxmlformats.org/officeDocument/2006/relationships/hyperlink" Target="https://leetcode.com/problems/bus-routes" TargetMode="External"/><Relationship Id="rId6" Type="http://schemas.openxmlformats.org/officeDocument/2006/relationships/hyperlink" Target="https://leetcode.com/problems/count-anagrams/" TargetMode="External"/><Relationship Id="rId15" Type="http://schemas.openxmlformats.org/officeDocument/2006/relationships/hyperlink" Target="https://leetcode.com/problems/total-appeal-of-a-string/" TargetMode="External"/><Relationship Id="rId23" Type="http://schemas.openxmlformats.org/officeDocument/2006/relationships/hyperlink" Target="https://leetcode.com/problems/rank-transform-of-a-matrix/" TargetMode="External"/><Relationship Id="rId28" Type="http://schemas.openxmlformats.org/officeDocument/2006/relationships/hyperlink" Target="https://leetcode.com/problems/replace-non-coprime-numbers-in-array" TargetMode="External"/><Relationship Id="rId36" Type="http://schemas.openxmlformats.org/officeDocument/2006/relationships/hyperlink" Target="https://leetcode.com/problems/prefix-and-suffix-search" TargetMode="External"/><Relationship Id="rId49" Type="http://schemas.openxmlformats.org/officeDocument/2006/relationships/hyperlink" Target="https://leetcode.com/problems/longest-substring-of-one-repeating-character" TargetMode="External"/><Relationship Id="rId57" Type="http://schemas.openxmlformats.org/officeDocument/2006/relationships/hyperlink" Target="https://leetcode.com/problems/the-skyline-problem" TargetMode="External"/><Relationship Id="rId10" Type="http://schemas.openxmlformats.org/officeDocument/2006/relationships/hyperlink" Target="https://leetcode.com/problems/lfu-cache/" TargetMode="External"/><Relationship Id="rId31" Type="http://schemas.openxmlformats.org/officeDocument/2006/relationships/hyperlink" Target="https://leetcode.com/problems/k-th-smallest-in-lexicographical-order" TargetMode="External"/><Relationship Id="rId44" Type="http://schemas.openxmlformats.org/officeDocument/2006/relationships/hyperlink" Target="https://leetcode.com/problems/delete-duplicate-folders-in-system" TargetMode="External"/><Relationship Id="rId52" Type="http://schemas.openxmlformats.org/officeDocument/2006/relationships/hyperlink" Target="https://leetcode.com/problems/count-of-range-sum" TargetMode="External"/><Relationship Id="rId60" Type="http://schemas.openxmlformats.org/officeDocument/2006/relationships/hyperlink" Target="https://leetcode.com/problems/max-sum-of-rectangle-no-larger-than-k" TargetMode="External"/><Relationship Id="rId4" Type="http://schemas.openxmlformats.org/officeDocument/2006/relationships/hyperlink" Target="https://leetcode.com/problems/substring-with-concatenation-of-all-words/" TargetMode="External"/><Relationship Id="rId9" Type="http://schemas.openxmlformats.org/officeDocument/2006/relationships/hyperlink" Target="https://leetcode.com/problems/encrypt-and-decrypt-strings/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leetcode.com/tag/hash-table/" TargetMode="External"/><Relationship Id="rId117" Type="http://schemas.openxmlformats.org/officeDocument/2006/relationships/hyperlink" Target="https://leetcode.com/problems/number-of-pairs-satisfying-inequality" TargetMode="External"/><Relationship Id="rId21" Type="http://schemas.openxmlformats.org/officeDocument/2006/relationships/hyperlink" Target="https://leetcode.com/problems/parse-lisp-expression" TargetMode="External"/><Relationship Id="rId42" Type="http://schemas.openxmlformats.org/officeDocument/2006/relationships/hyperlink" Target="https://leetcode.com/tag/topological-sort/" TargetMode="External"/><Relationship Id="rId47" Type="http://schemas.openxmlformats.org/officeDocument/2006/relationships/hyperlink" Target="https://leetcode.com/problems/cat-and-mouse-ii" TargetMode="External"/><Relationship Id="rId63" Type="http://schemas.openxmlformats.org/officeDocument/2006/relationships/hyperlink" Target="https://leetcode.com/problems/palindrome-pairs" TargetMode="External"/><Relationship Id="rId68" Type="http://schemas.openxmlformats.org/officeDocument/2006/relationships/hyperlink" Target="https://leetcode.com/tag/trie/" TargetMode="External"/><Relationship Id="rId84" Type="http://schemas.openxmlformats.org/officeDocument/2006/relationships/hyperlink" Target="https://leetcode.com/tag/trie/" TargetMode="External"/><Relationship Id="rId89" Type="http://schemas.openxmlformats.org/officeDocument/2006/relationships/hyperlink" Target="https://leetcode.com/problems/maximum-gap" TargetMode="External"/><Relationship Id="rId112" Type="http://schemas.openxmlformats.org/officeDocument/2006/relationships/hyperlink" Target="https://leetcode.com/tag/ordered-set/" TargetMode="External"/><Relationship Id="rId16" Type="http://schemas.openxmlformats.org/officeDocument/2006/relationships/hyperlink" Target="https://leetcode.com/tag/hash-table/" TargetMode="External"/><Relationship Id="rId107" Type="http://schemas.openxmlformats.org/officeDocument/2006/relationships/hyperlink" Target="https://leetcode.com/problems/count-good-triplets-in-an-array" TargetMode="External"/><Relationship Id="rId11" Type="http://schemas.openxmlformats.org/officeDocument/2006/relationships/hyperlink" Target="https://leetcode.com/problems/count-anagrams/" TargetMode="External"/><Relationship Id="rId32" Type="http://schemas.openxmlformats.org/officeDocument/2006/relationships/hyperlink" Target="https://leetcode.com/tag/topological-sort/" TargetMode="External"/><Relationship Id="rId37" Type="http://schemas.openxmlformats.org/officeDocument/2006/relationships/hyperlink" Target="https://leetcode.com/problems/parallel-courses-iii" TargetMode="External"/><Relationship Id="rId53" Type="http://schemas.openxmlformats.org/officeDocument/2006/relationships/hyperlink" Target="https://leetcode.com/problems/count-array-pairs-divisible-by-k" TargetMode="External"/><Relationship Id="rId58" Type="http://schemas.openxmlformats.org/officeDocument/2006/relationships/hyperlink" Target="https://leetcode.com/tag/number-theory/" TargetMode="External"/><Relationship Id="rId74" Type="http://schemas.openxmlformats.org/officeDocument/2006/relationships/hyperlink" Target="https://leetcode.com/tag/trie/" TargetMode="External"/><Relationship Id="rId79" Type="http://schemas.openxmlformats.org/officeDocument/2006/relationships/hyperlink" Target="https://leetcode.com/problems/number-of-valid-words-for-each-puzzle" TargetMode="External"/><Relationship Id="rId102" Type="http://schemas.openxmlformats.org/officeDocument/2006/relationships/hyperlink" Target="https://leetcode.com/tag/ordered-set/" TargetMode="External"/><Relationship Id="rId5" Type="http://schemas.openxmlformats.org/officeDocument/2006/relationships/hyperlink" Target="https://leetcode.com/problems/word-ladder-ii/" TargetMode="External"/><Relationship Id="rId90" Type="http://schemas.openxmlformats.org/officeDocument/2006/relationships/hyperlink" Target="https://leetcode.com/tag/bucket-sort/" TargetMode="External"/><Relationship Id="rId95" Type="http://schemas.openxmlformats.org/officeDocument/2006/relationships/hyperlink" Target="https://leetcode.com/problems/reverse-pairs" TargetMode="External"/><Relationship Id="rId22" Type="http://schemas.openxmlformats.org/officeDocument/2006/relationships/hyperlink" Target="https://leetcode.com/tag/hash-table/" TargetMode="External"/><Relationship Id="rId27" Type="http://schemas.openxmlformats.org/officeDocument/2006/relationships/hyperlink" Target="https://leetcode.com/problems/number-of-excellent-pairs/" TargetMode="External"/><Relationship Id="rId43" Type="http://schemas.openxmlformats.org/officeDocument/2006/relationships/hyperlink" Target="https://leetcode.com/problems/sort-items-by-groups-respecting-dependencies" TargetMode="External"/><Relationship Id="rId48" Type="http://schemas.openxmlformats.org/officeDocument/2006/relationships/hyperlink" Target="https://leetcode.com/tag/topological-sort/" TargetMode="External"/><Relationship Id="rId64" Type="http://schemas.openxmlformats.org/officeDocument/2006/relationships/hyperlink" Target="https://leetcode.com/tag/trie/" TargetMode="External"/><Relationship Id="rId69" Type="http://schemas.openxmlformats.org/officeDocument/2006/relationships/hyperlink" Target="https://leetcode.com/problems/maximum-genetic-difference-query" TargetMode="External"/><Relationship Id="rId113" Type="http://schemas.openxmlformats.org/officeDocument/2006/relationships/hyperlink" Target="https://leetcode.com/problems/the-skyline-problem" TargetMode="External"/><Relationship Id="rId118" Type="http://schemas.openxmlformats.org/officeDocument/2006/relationships/hyperlink" Target="https://leetcode.com/tag/ordered-set/" TargetMode="External"/><Relationship Id="rId80" Type="http://schemas.openxmlformats.org/officeDocument/2006/relationships/hyperlink" Target="https://leetcode.com/tag/trie/" TargetMode="External"/><Relationship Id="rId85" Type="http://schemas.openxmlformats.org/officeDocument/2006/relationships/hyperlink" Target="https://leetcode.com/problems/stream-of-characters" TargetMode="External"/><Relationship Id="rId12" Type="http://schemas.openxmlformats.org/officeDocument/2006/relationships/hyperlink" Target="https://leetcode.com/tag/hash-table/" TargetMode="External"/><Relationship Id="rId17" Type="http://schemas.openxmlformats.org/officeDocument/2006/relationships/hyperlink" Target="https://leetcode.com/problems/encrypt-and-decrypt-strings/" TargetMode="External"/><Relationship Id="rId33" Type="http://schemas.openxmlformats.org/officeDocument/2006/relationships/hyperlink" Target="https://leetcode.com/problems/cat-and-mouse" TargetMode="External"/><Relationship Id="rId38" Type="http://schemas.openxmlformats.org/officeDocument/2006/relationships/hyperlink" Target="https://leetcode.com/tag/topological-sort/" TargetMode="External"/><Relationship Id="rId59" Type="http://schemas.openxmlformats.org/officeDocument/2006/relationships/hyperlink" Target="https://leetcode.com/problems/count-ways-to-make-array-with-product" TargetMode="External"/><Relationship Id="rId103" Type="http://schemas.openxmlformats.org/officeDocument/2006/relationships/hyperlink" Target="https://leetcode.com/problems/count-of-range-sum" TargetMode="External"/><Relationship Id="rId108" Type="http://schemas.openxmlformats.org/officeDocument/2006/relationships/hyperlink" Target="https://leetcode.com/tag/ordered-set/" TargetMode="External"/><Relationship Id="rId54" Type="http://schemas.openxmlformats.org/officeDocument/2006/relationships/hyperlink" Target="https://leetcode.com/tag/number-theory/" TargetMode="External"/><Relationship Id="rId70" Type="http://schemas.openxmlformats.org/officeDocument/2006/relationships/hyperlink" Target="https://leetcode.com/tag/trie/" TargetMode="External"/><Relationship Id="rId75" Type="http://schemas.openxmlformats.org/officeDocument/2006/relationships/hyperlink" Target="https://leetcode.com/problems/word-break-ii" TargetMode="External"/><Relationship Id="rId91" Type="http://schemas.openxmlformats.org/officeDocument/2006/relationships/hyperlink" Target="https://leetcode.com/problems/partition-array-into-two-arrays-to-minimize-sum-difference" TargetMode="External"/><Relationship Id="rId96" Type="http://schemas.openxmlformats.org/officeDocument/2006/relationships/hyperlink" Target="https://leetcode.com/tag/ordered-set/" TargetMode="External"/><Relationship Id="rId1" Type="http://schemas.openxmlformats.org/officeDocument/2006/relationships/hyperlink" Target="https://leetcode.com/problems/bus-routes" TargetMode="External"/><Relationship Id="rId6" Type="http://schemas.openxmlformats.org/officeDocument/2006/relationships/hyperlink" Target="https://leetcode.com/tag/hash-table/" TargetMode="External"/><Relationship Id="rId23" Type="http://schemas.openxmlformats.org/officeDocument/2006/relationships/hyperlink" Target="https://leetcode.com/problems/number-of-atoms" TargetMode="External"/><Relationship Id="rId28" Type="http://schemas.openxmlformats.org/officeDocument/2006/relationships/hyperlink" Target="https://leetcode.com/tag/hash-table/" TargetMode="External"/><Relationship Id="rId49" Type="http://schemas.openxmlformats.org/officeDocument/2006/relationships/hyperlink" Target="https://leetcode.com/problems/strange-printer-ii" TargetMode="External"/><Relationship Id="rId114" Type="http://schemas.openxmlformats.org/officeDocument/2006/relationships/hyperlink" Target="https://leetcode.com/tag/ordered-set/" TargetMode="External"/><Relationship Id="rId119" Type="http://schemas.openxmlformats.org/officeDocument/2006/relationships/hyperlink" Target="https://leetcode.com/problems/max-sum-of-rectangle-no-larger-than-k" TargetMode="External"/><Relationship Id="rId44" Type="http://schemas.openxmlformats.org/officeDocument/2006/relationships/hyperlink" Target="https://leetcode.com/tag/topological-sort/" TargetMode="External"/><Relationship Id="rId60" Type="http://schemas.openxmlformats.org/officeDocument/2006/relationships/hyperlink" Target="https://leetcode.com/tag/number-theory/" TargetMode="External"/><Relationship Id="rId65" Type="http://schemas.openxmlformats.org/officeDocument/2006/relationships/hyperlink" Target="https://leetcode.com/problems/word-search-ii" TargetMode="External"/><Relationship Id="rId81" Type="http://schemas.openxmlformats.org/officeDocument/2006/relationships/hyperlink" Target="https://leetcode.com/problems/count-pairs-with-xor-in-a-range" TargetMode="External"/><Relationship Id="rId86" Type="http://schemas.openxmlformats.org/officeDocument/2006/relationships/hyperlink" Target="https://leetcode.com/tag/trie/" TargetMode="External"/><Relationship Id="rId4" Type="http://schemas.openxmlformats.org/officeDocument/2006/relationships/hyperlink" Target="https://leetcode.com/tag/hash-table/" TargetMode="External"/><Relationship Id="rId9" Type="http://schemas.openxmlformats.org/officeDocument/2006/relationships/hyperlink" Target="https://leetcode.com/problems/add-edges-to-make-degrees-of-all-nodes-even/" TargetMode="External"/><Relationship Id="rId13" Type="http://schemas.openxmlformats.org/officeDocument/2006/relationships/hyperlink" Target="https://leetcode.com/problems/grid-illumination/" TargetMode="External"/><Relationship Id="rId18" Type="http://schemas.openxmlformats.org/officeDocument/2006/relationships/hyperlink" Target="https://leetcode.com/tag/hash-table/" TargetMode="External"/><Relationship Id="rId39" Type="http://schemas.openxmlformats.org/officeDocument/2006/relationships/hyperlink" Target="https://leetcode.com/problems/merge-bsts-to-create-single-bst" TargetMode="External"/><Relationship Id="rId109" Type="http://schemas.openxmlformats.org/officeDocument/2006/relationships/hyperlink" Target="https://leetcode.com/problems/odd-even-jump" TargetMode="External"/><Relationship Id="rId34" Type="http://schemas.openxmlformats.org/officeDocument/2006/relationships/hyperlink" Target="https://leetcode.com/tag/topological-sort/" TargetMode="External"/><Relationship Id="rId50" Type="http://schemas.openxmlformats.org/officeDocument/2006/relationships/hyperlink" Target="https://leetcode.com/tag/topological-sort/" TargetMode="External"/><Relationship Id="rId55" Type="http://schemas.openxmlformats.org/officeDocument/2006/relationships/hyperlink" Target="https://leetcode.com/problems/replace-non-coprime-numbers-in-array" TargetMode="External"/><Relationship Id="rId76" Type="http://schemas.openxmlformats.org/officeDocument/2006/relationships/hyperlink" Target="https://leetcode.com/tag/trie/" TargetMode="External"/><Relationship Id="rId97" Type="http://schemas.openxmlformats.org/officeDocument/2006/relationships/hyperlink" Target="https://leetcode.com/problems/longest-substring-of-one-repeating-character" TargetMode="External"/><Relationship Id="rId104" Type="http://schemas.openxmlformats.org/officeDocument/2006/relationships/hyperlink" Target="https://leetcode.com/tag/ordered-set/" TargetMode="External"/><Relationship Id="rId120" Type="http://schemas.openxmlformats.org/officeDocument/2006/relationships/hyperlink" Target="https://leetcode.com/tag/ordered-set/" TargetMode="External"/><Relationship Id="rId7" Type="http://schemas.openxmlformats.org/officeDocument/2006/relationships/hyperlink" Target="https://leetcode.com/problems/substring-with-concatenation-of-all-words/" TargetMode="External"/><Relationship Id="rId71" Type="http://schemas.openxmlformats.org/officeDocument/2006/relationships/hyperlink" Target="https://leetcode.com/problems/prefix-and-suffix-search" TargetMode="External"/><Relationship Id="rId92" Type="http://schemas.openxmlformats.org/officeDocument/2006/relationships/hyperlink" Target="https://leetcode.com/tag/ordered-set/" TargetMode="External"/><Relationship Id="rId2" Type="http://schemas.openxmlformats.org/officeDocument/2006/relationships/hyperlink" Target="https://leetcode.com/tag/hash-table/" TargetMode="External"/><Relationship Id="rId29" Type="http://schemas.openxmlformats.org/officeDocument/2006/relationships/hyperlink" Target="https://leetcode.com/problems/total-appeal-of-a-string/" TargetMode="External"/><Relationship Id="rId24" Type="http://schemas.openxmlformats.org/officeDocument/2006/relationships/hyperlink" Target="https://leetcode.com/tag/hash-table/" TargetMode="External"/><Relationship Id="rId40" Type="http://schemas.openxmlformats.org/officeDocument/2006/relationships/hyperlink" Target="https://leetcode.com/tag/binary-tree/" TargetMode="External"/><Relationship Id="rId45" Type="http://schemas.openxmlformats.org/officeDocument/2006/relationships/hyperlink" Target="https://leetcode.com/problems/rank-transform-of-a-matrix/" TargetMode="External"/><Relationship Id="rId66" Type="http://schemas.openxmlformats.org/officeDocument/2006/relationships/hyperlink" Target="https://leetcode.com/tag/trie/" TargetMode="External"/><Relationship Id="rId87" Type="http://schemas.openxmlformats.org/officeDocument/2006/relationships/hyperlink" Target="https://leetcode.com/problems/delete-duplicate-folders-in-system" TargetMode="External"/><Relationship Id="rId110" Type="http://schemas.openxmlformats.org/officeDocument/2006/relationships/hyperlink" Target="https://leetcode.com/tag/ordered-set/" TargetMode="External"/><Relationship Id="rId115" Type="http://schemas.openxmlformats.org/officeDocument/2006/relationships/hyperlink" Target="https://leetcode.com/problems/count-of-smaller-numbers-after-self" TargetMode="External"/><Relationship Id="rId61" Type="http://schemas.openxmlformats.org/officeDocument/2006/relationships/hyperlink" Target="https://leetcode.com/problems/k-th-smallest-in-lexicographical-order" TargetMode="External"/><Relationship Id="rId82" Type="http://schemas.openxmlformats.org/officeDocument/2006/relationships/hyperlink" Target="https://leetcode.com/tag/trie/" TargetMode="External"/><Relationship Id="rId19" Type="http://schemas.openxmlformats.org/officeDocument/2006/relationships/hyperlink" Target="https://leetcode.com/problems/lfu-cache/" TargetMode="External"/><Relationship Id="rId14" Type="http://schemas.openxmlformats.org/officeDocument/2006/relationships/hyperlink" Target="https://leetcode.com/tag/hash-table/" TargetMode="External"/><Relationship Id="rId30" Type="http://schemas.openxmlformats.org/officeDocument/2006/relationships/hyperlink" Target="https://leetcode.com/tag/hash-table/" TargetMode="External"/><Relationship Id="rId35" Type="http://schemas.openxmlformats.org/officeDocument/2006/relationships/hyperlink" Target="https://leetcode.com/problems/count-ways-to-build-rooms-in-an-ant-colony" TargetMode="External"/><Relationship Id="rId56" Type="http://schemas.openxmlformats.org/officeDocument/2006/relationships/hyperlink" Target="https://leetcode.com/tag/number-theory/" TargetMode="External"/><Relationship Id="rId77" Type="http://schemas.openxmlformats.org/officeDocument/2006/relationships/hyperlink" Target="https://leetcode.com/problems/concatenated-words" TargetMode="External"/><Relationship Id="rId100" Type="http://schemas.openxmlformats.org/officeDocument/2006/relationships/hyperlink" Target="https://leetcode.com/tag/ordered-set/" TargetMode="External"/><Relationship Id="rId105" Type="http://schemas.openxmlformats.org/officeDocument/2006/relationships/hyperlink" Target="https://leetcode.com/problems/create-sorted-array-through-instructions" TargetMode="External"/><Relationship Id="rId8" Type="http://schemas.openxmlformats.org/officeDocument/2006/relationships/hyperlink" Target="https://leetcode.com/tag/hash-table/" TargetMode="External"/><Relationship Id="rId51" Type="http://schemas.openxmlformats.org/officeDocument/2006/relationships/hyperlink" Target="https://leetcode.com/problems/count-the-number-of-ideal-arrays" TargetMode="External"/><Relationship Id="rId72" Type="http://schemas.openxmlformats.org/officeDocument/2006/relationships/hyperlink" Target="https://leetcode.com/tag/trie/" TargetMode="External"/><Relationship Id="rId93" Type="http://schemas.openxmlformats.org/officeDocument/2006/relationships/hyperlink" Target="https://leetcode.com/problems/contains-duplicate-iii" TargetMode="External"/><Relationship Id="rId98" Type="http://schemas.openxmlformats.org/officeDocument/2006/relationships/hyperlink" Target="https://leetcode.com/tag/ordered-set/" TargetMode="External"/><Relationship Id="rId121" Type="http://schemas.openxmlformats.org/officeDocument/2006/relationships/table" Target="../tables/table12.xml"/><Relationship Id="rId3" Type="http://schemas.openxmlformats.org/officeDocument/2006/relationships/hyperlink" Target="https://leetcode.com/problems/max-points-on-a-line/" TargetMode="External"/><Relationship Id="rId25" Type="http://schemas.openxmlformats.org/officeDocument/2006/relationships/hyperlink" Target="https://leetcode.com/problems/prefix-and-suffix-search/" TargetMode="External"/><Relationship Id="rId46" Type="http://schemas.openxmlformats.org/officeDocument/2006/relationships/hyperlink" Target="https://leetcode.com/tag/topological-sort/" TargetMode="External"/><Relationship Id="rId67" Type="http://schemas.openxmlformats.org/officeDocument/2006/relationships/hyperlink" Target="https://leetcode.com/problems/encrypt-and-decrypt-strings" TargetMode="External"/><Relationship Id="rId116" Type="http://schemas.openxmlformats.org/officeDocument/2006/relationships/hyperlink" Target="https://leetcode.com/tag/ordered-set/" TargetMode="External"/><Relationship Id="rId20" Type="http://schemas.openxmlformats.org/officeDocument/2006/relationships/hyperlink" Target="https://leetcode.com/tag/hash-table/" TargetMode="External"/><Relationship Id="rId41" Type="http://schemas.openxmlformats.org/officeDocument/2006/relationships/hyperlink" Target="https://leetcode.com/problems/largest-color-value-in-a-directed-graph" TargetMode="External"/><Relationship Id="rId62" Type="http://schemas.openxmlformats.org/officeDocument/2006/relationships/hyperlink" Target="https://leetcode.com/tag/trie/" TargetMode="External"/><Relationship Id="rId83" Type="http://schemas.openxmlformats.org/officeDocument/2006/relationships/hyperlink" Target="https://leetcode.com/problems/distinct-echo-substrings" TargetMode="External"/><Relationship Id="rId88" Type="http://schemas.openxmlformats.org/officeDocument/2006/relationships/hyperlink" Target="https://leetcode.com/tag/trie/" TargetMode="External"/><Relationship Id="rId111" Type="http://schemas.openxmlformats.org/officeDocument/2006/relationships/hyperlink" Target="https://leetcode.com/problems/design-movie-rental-system" TargetMode="External"/><Relationship Id="rId15" Type="http://schemas.openxmlformats.org/officeDocument/2006/relationships/hyperlink" Target="https://leetcode.com/problems/recover-the-original-array/" TargetMode="External"/><Relationship Id="rId36" Type="http://schemas.openxmlformats.org/officeDocument/2006/relationships/hyperlink" Target="https://leetcode.com/tag/topological-sort/" TargetMode="External"/><Relationship Id="rId57" Type="http://schemas.openxmlformats.org/officeDocument/2006/relationships/hyperlink" Target="https://leetcode.com/problems/number-of-different-subsequences-gcds" TargetMode="External"/><Relationship Id="rId106" Type="http://schemas.openxmlformats.org/officeDocument/2006/relationships/hyperlink" Target="https://leetcode.com/tag/ordered-set/" TargetMode="External"/><Relationship Id="rId10" Type="http://schemas.openxmlformats.org/officeDocument/2006/relationships/hyperlink" Target="https://leetcode.com/tag/hash-table/" TargetMode="External"/><Relationship Id="rId31" Type="http://schemas.openxmlformats.org/officeDocument/2006/relationships/hyperlink" Target="https://leetcode.com/problems/maximum-employees-to-be-invited-to-a-meeting" TargetMode="External"/><Relationship Id="rId52" Type="http://schemas.openxmlformats.org/officeDocument/2006/relationships/hyperlink" Target="https://leetcode.com/tag/number-theory/" TargetMode="External"/><Relationship Id="rId73" Type="http://schemas.openxmlformats.org/officeDocument/2006/relationships/hyperlink" Target="https://leetcode.com/problems/maximum-xor-with-an-element-from-array" TargetMode="External"/><Relationship Id="rId78" Type="http://schemas.openxmlformats.org/officeDocument/2006/relationships/hyperlink" Target="https://leetcode.com/tag/trie/" TargetMode="External"/><Relationship Id="rId94" Type="http://schemas.openxmlformats.org/officeDocument/2006/relationships/hyperlink" Target="https://leetcode.com/tag/ordered-set/" TargetMode="External"/><Relationship Id="rId99" Type="http://schemas.openxmlformats.org/officeDocument/2006/relationships/hyperlink" Target="https://leetcode.com/problems/count-integers-in-intervals" TargetMode="External"/><Relationship Id="rId101" Type="http://schemas.openxmlformats.org/officeDocument/2006/relationships/hyperlink" Target="https://leetcode.com/problems/finding-mk-average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leetcode.com/tag/hash-table/" TargetMode="External"/><Relationship Id="rId117" Type="http://schemas.openxmlformats.org/officeDocument/2006/relationships/hyperlink" Target="https://leetcode.com/problems/number-of-pairs-satisfying-inequality" TargetMode="External"/><Relationship Id="rId21" Type="http://schemas.openxmlformats.org/officeDocument/2006/relationships/hyperlink" Target="https://leetcode.com/problems/parse-lisp-expression" TargetMode="External"/><Relationship Id="rId42" Type="http://schemas.openxmlformats.org/officeDocument/2006/relationships/hyperlink" Target="https://leetcode.com/tag/topological-sort/" TargetMode="External"/><Relationship Id="rId47" Type="http://schemas.openxmlformats.org/officeDocument/2006/relationships/hyperlink" Target="https://leetcode.com/problems/cat-and-mouse-ii" TargetMode="External"/><Relationship Id="rId63" Type="http://schemas.openxmlformats.org/officeDocument/2006/relationships/hyperlink" Target="https://leetcode.com/problems/palindrome-pairs" TargetMode="External"/><Relationship Id="rId68" Type="http://schemas.openxmlformats.org/officeDocument/2006/relationships/hyperlink" Target="https://leetcode.com/tag/trie/" TargetMode="External"/><Relationship Id="rId84" Type="http://schemas.openxmlformats.org/officeDocument/2006/relationships/hyperlink" Target="https://leetcode.com/tag/trie/" TargetMode="External"/><Relationship Id="rId89" Type="http://schemas.openxmlformats.org/officeDocument/2006/relationships/hyperlink" Target="https://leetcode.com/problems/maximum-gap" TargetMode="External"/><Relationship Id="rId112" Type="http://schemas.openxmlformats.org/officeDocument/2006/relationships/hyperlink" Target="https://leetcode.com/tag/ordered-set/" TargetMode="External"/><Relationship Id="rId16" Type="http://schemas.openxmlformats.org/officeDocument/2006/relationships/hyperlink" Target="https://leetcode.com/tag/hash-table/" TargetMode="External"/><Relationship Id="rId107" Type="http://schemas.openxmlformats.org/officeDocument/2006/relationships/hyperlink" Target="https://leetcode.com/problems/count-good-triplets-in-an-array" TargetMode="External"/><Relationship Id="rId11" Type="http://schemas.openxmlformats.org/officeDocument/2006/relationships/hyperlink" Target="https://leetcode.com/problems/count-anagrams/" TargetMode="External"/><Relationship Id="rId32" Type="http://schemas.openxmlformats.org/officeDocument/2006/relationships/hyperlink" Target="https://leetcode.com/tag/topological-sort/" TargetMode="External"/><Relationship Id="rId37" Type="http://schemas.openxmlformats.org/officeDocument/2006/relationships/hyperlink" Target="https://leetcode.com/problems/parallel-courses-iii" TargetMode="External"/><Relationship Id="rId53" Type="http://schemas.openxmlformats.org/officeDocument/2006/relationships/hyperlink" Target="https://leetcode.com/problems/count-array-pairs-divisible-by-k" TargetMode="External"/><Relationship Id="rId58" Type="http://schemas.openxmlformats.org/officeDocument/2006/relationships/hyperlink" Target="https://leetcode.com/tag/number-theory/" TargetMode="External"/><Relationship Id="rId74" Type="http://schemas.openxmlformats.org/officeDocument/2006/relationships/hyperlink" Target="https://leetcode.com/tag/trie/" TargetMode="External"/><Relationship Id="rId79" Type="http://schemas.openxmlformats.org/officeDocument/2006/relationships/hyperlink" Target="https://leetcode.com/problems/number-of-valid-words-for-each-puzzle" TargetMode="External"/><Relationship Id="rId102" Type="http://schemas.openxmlformats.org/officeDocument/2006/relationships/hyperlink" Target="https://leetcode.com/tag/ordered-set/" TargetMode="External"/><Relationship Id="rId5" Type="http://schemas.openxmlformats.org/officeDocument/2006/relationships/hyperlink" Target="https://leetcode.com/problems/word-ladder-ii/" TargetMode="External"/><Relationship Id="rId90" Type="http://schemas.openxmlformats.org/officeDocument/2006/relationships/hyperlink" Target="https://leetcode.com/tag/bucket-sort/" TargetMode="External"/><Relationship Id="rId95" Type="http://schemas.openxmlformats.org/officeDocument/2006/relationships/hyperlink" Target="https://leetcode.com/problems/reverse-pairs" TargetMode="External"/><Relationship Id="rId22" Type="http://schemas.openxmlformats.org/officeDocument/2006/relationships/hyperlink" Target="https://leetcode.com/tag/hash-table/" TargetMode="External"/><Relationship Id="rId27" Type="http://schemas.openxmlformats.org/officeDocument/2006/relationships/hyperlink" Target="https://leetcode.com/problems/number-of-excellent-pairs/" TargetMode="External"/><Relationship Id="rId43" Type="http://schemas.openxmlformats.org/officeDocument/2006/relationships/hyperlink" Target="https://leetcode.com/problems/sort-items-by-groups-respecting-dependencies" TargetMode="External"/><Relationship Id="rId48" Type="http://schemas.openxmlformats.org/officeDocument/2006/relationships/hyperlink" Target="https://leetcode.com/tag/topological-sort/" TargetMode="External"/><Relationship Id="rId64" Type="http://schemas.openxmlformats.org/officeDocument/2006/relationships/hyperlink" Target="https://leetcode.com/tag/trie/" TargetMode="External"/><Relationship Id="rId69" Type="http://schemas.openxmlformats.org/officeDocument/2006/relationships/hyperlink" Target="https://leetcode.com/problems/maximum-genetic-difference-query" TargetMode="External"/><Relationship Id="rId113" Type="http://schemas.openxmlformats.org/officeDocument/2006/relationships/hyperlink" Target="https://leetcode.com/problems/the-skyline-problem" TargetMode="External"/><Relationship Id="rId118" Type="http://schemas.openxmlformats.org/officeDocument/2006/relationships/hyperlink" Target="https://leetcode.com/tag/ordered-set/" TargetMode="External"/><Relationship Id="rId80" Type="http://schemas.openxmlformats.org/officeDocument/2006/relationships/hyperlink" Target="https://leetcode.com/tag/trie/" TargetMode="External"/><Relationship Id="rId85" Type="http://schemas.openxmlformats.org/officeDocument/2006/relationships/hyperlink" Target="https://leetcode.com/problems/stream-of-characters" TargetMode="External"/><Relationship Id="rId12" Type="http://schemas.openxmlformats.org/officeDocument/2006/relationships/hyperlink" Target="https://leetcode.com/tag/hash-table/" TargetMode="External"/><Relationship Id="rId17" Type="http://schemas.openxmlformats.org/officeDocument/2006/relationships/hyperlink" Target="https://leetcode.com/problems/encrypt-and-decrypt-strings/" TargetMode="External"/><Relationship Id="rId33" Type="http://schemas.openxmlformats.org/officeDocument/2006/relationships/hyperlink" Target="https://leetcode.com/problems/cat-and-mouse" TargetMode="External"/><Relationship Id="rId38" Type="http://schemas.openxmlformats.org/officeDocument/2006/relationships/hyperlink" Target="https://leetcode.com/tag/topological-sort/" TargetMode="External"/><Relationship Id="rId59" Type="http://schemas.openxmlformats.org/officeDocument/2006/relationships/hyperlink" Target="https://leetcode.com/problems/count-ways-to-make-array-with-product" TargetMode="External"/><Relationship Id="rId103" Type="http://schemas.openxmlformats.org/officeDocument/2006/relationships/hyperlink" Target="https://leetcode.com/problems/count-of-range-sum" TargetMode="External"/><Relationship Id="rId108" Type="http://schemas.openxmlformats.org/officeDocument/2006/relationships/hyperlink" Target="https://leetcode.com/tag/ordered-set/" TargetMode="External"/><Relationship Id="rId54" Type="http://schemas.openxmlformats.org/officeDocument/2006/relationships/hyperlink" Target="https://leetcode.com/tag/number-theory/" TargetMode="External"/><Relationship Id="rId70" Type="http://schemas.openxmlformats.org/officeDocument/2006/relationships/hyperlink" Target="https://leetcode.com/tag/trie/" TargetMode="External"/><Relationship Id="rId75" Type="http://schemas.openxmlformats.org/officeDocument/2006/relationships/hyperlink" Target="https://leetcode.com/problems/word-break-ii" TargetMode="External"/><Relationship Id="rId91" Type="http://schemas.openxmlformats.org/officeDocument/2006/relationships/hyperlink" Target="https://leetcode.com/problems/partition-array-into-two-arrays-to-minimize-sum-difference" TargetMode="External"/><Relationship Id="rId96" Type="http://schemas.openxmlformats.org/officeDocument/2006/relationships/hyperlink" Target="https://leetcode.com/tag/ordered-set/" TargetMode="External"/><Relationship Id="rId1" Type="http://schemas.openxmlformats.org/officeDocument/2006/relationships/hyperlink" Target="https://leetcode.com/problems/bus-routes" TargetMode="External"/><Relationship Id="rId6" Type="http://schemas.openxmlformats.org/officeDocument/2006/relationships/hyperlink" Target="https://leetcode.com/tag/hash-table/" TargetMode="External"/><Relationship Id="rId23" Type="http://schemas.openxmlformats.org/officeDocument/2006/relationships/hyperlink" Target="https://leetcode.com/problems/number-of-atoms" TargetMode="External"/><Relationship Id="rId28" Type="http://schemas.openxmlformats.org/officeDocument/2006/relationships/hyperlink" Target="https://leetcode.com/tag/hash-table/" TargetMode="External"/><Relationship Id="rId49" Type="http://schemas.openxmlformats.org/officeDocument/2006/relationships/hyperlink" Target="https://leetcode.com/problems/strange-printer-ii" TargetMode="External"/><Relationship Id="rId114" Type="http://schemas.openxmlformats.org/officeDocument/2006/relationships/hyperlink" Target="https://leetcode.com/tag/ordered-set/" TargetMode="External"/><Relationship Id="rId119" Type="http://schemas.openxmlformats.org/officeDocument/2006/relationships/hyperlink" Target="https://leetcode.com/problems/max-sum-of-rectangle-no-larger-than-k" TargetMode="External"/><Relationship Id="rId44" Type="http://schemas.openxmlformats.org/officeDocument/2006/relationships/hyperlink" Target="https://leetcode.com/tag/topological-sort/" TargetMode="External"/><Relationship Id="rId60" Type="http://schemas.openxmlformats.org/officeDocument/2006/relationships/hyperlink" Target="https://leetcode.com/tag/number-theory/" TargetMode="External"/><Relationship Id="rId65" Type="http://schemas.openxmlformats.org/officeDocument/2006/relationships/hyperlink" Target="https://leetcode.com/problems/word-search-ii" TargetMode="External"/><Relationship Id="rId81" Type="http://schemas.openxmlformats.org/officeDocument/2006/relationships/hyperlink" Target="https://leetcode.com/problems/count-pairs-with-xor-in-a-range" TargetMode="External"/><Relationship Id="rId86" Type="http://schemas.openxmlformats.org/officeDocument/2006/relationships/hyperlink" Target="https://leetcode.com/tag/trie/" TargetMode="External"/><Relationship Id="rId4" Type="http://schemas.openxmlformats.org/officeDocument/2006/relationships/hyperlink" Target="https://leetcode.com/tag/hash-table/" TargetMode="External"/><Relationship Id="rId9" Type="http://schemas.openxmlformats.org/officeDocument/2006/relationships/hyperlink" Target="https://leetcode.com/problems/add-edges-to-make-degrees-of-all-nodes-even/" TargetMode="External"/><Relationship Id="rId13" Type="http://schemas.openxmlformats.org/officeDocument/2006/relationships/hyperlink" Target="https://leetcode.com/problems/grid-illumination/" TargetMode="External"/><Relationship Id="rId18" Type="http://schemas.openxmlformats.org/officeDocument/2006/relationships/hyperlink" Target="https://leetcode.com/tag/hash-table/" TargetMode="External"/><Relationship Id="rId39" Type="http://schemas.openxmlformats.org/officeDocument/2006/relationships/hyperlink" Target="https://leetcode.com/problems/merge-bsts-to-create-single-bst" TargetMode="External"/><Relationship Id="rId109" Type="http://schemas.openxmlformats.org/officeDocument/2006/relationships/hyperlink" Target="https://leetcode.com/problems/odd-even-jump" TargetMode="External"/><Relationship Id="rId34" Type="http://schemas.openxmlformats.org/officeDocument/2006/relationships/hyperlink" Target="https://leetcode.com/tag/topological-sort/" TargetMode="External"/><Relationship Id="rId50" Type="http://schemas.openxmlformats.org/officeDocument/2006/relationships/hyperlink" Target="https://leetcode.com/tag/topological-sort/" TargetMode="External"/><Relationship Id="rId55" Type="http://schemas.openxmlformats.org/officeDocument/2006/relationships/hyperlink" Target="https://leetcode.com/problems/replace-non-coprime-numbers-in-array" TargetMode="External"/><Relationship Id="rId76" Type="http://schemas.openxmlformats.org/officeDocument/2006/relationships/hyperlink" Target="https://leetcode.com/tag/trie/" TargetMode="External"/><Relationship Id="rId97" Type="http://schemas.openxmlformats.org/officeDocument/2006/relationships/hyperlink" Target="https://leetcode.com/problems/longest-substring-of-one-repeating-character" TargetMode="External"/><Relationship Id="rId104" Type="http://schemas.openxmlformats.org/officeDocument/2006/relationships/hyperlink" Target="https://leetcode.com/tag/ordered-set/" TargetMode="External"/><Relationship Id="rId120" Type="http://schemas.openxmlformats.org/officeDocument/2006/relationships/hyperlink" Target="https://leetcode.com/tag/ordered-set/" TargetMode="External"/><Relationship Id="rId7" Type="http://schemas.openxmlformats.org/officeDocument/2006/relationships/hyperlink" Target="https://leetcode.com/problems/substring-with-concatenation-of-all-words/" TargetMode="External"/><Relationship Id="rId71" Type="http://schemas.openxmlformats.org/officeDocument/2006/relationships/hyperlink" Target="https://leetcode.com/problems/prefix-and-suffix-search" TargetMode="External"/><Relationship Id="rId92" Type="http://schemas.openxmlformats.org/officeDocument/2006/relationships/hyperlink" Target="https://leetcode.com/tag/ordered-set/" TargetMode="External"/><Relationship Id="rId2" Type="http://schemas.openxmlformats.org/officeDocument/2006/relationships/hyperlink" Target="https://leetcode.com/tag/hash-table/" TargetMode="External"/><Relationship Id="rId29" Type="http://schemas.openxmlformats.org/officeDocument/2006/relationships/hyperlink" Target="https://leetcode.com/problems/total-appeal-of-a-string/" TargetMode="External"/><Relationship Id="rId24" Type="http://schemas.openxmlformats.org/officeDocument/2006/relationships/hyperlink" Target="https://leetcode.com/tag/hash-table/" TargetMode="External"/><Relationship Id="rId40" Type="http://schemas.openxmlformats.org/officeDocument/2006/relationships/hyperlink" Target="https://leetcode.com/tag/binary-tree/" TargetMode="External"/><Relationship Id="rId45" Type="http://schemas.openxmlformats.org/officeDocument/2006/relationships/hyperlink" Target="https://leetcode.com/problems/rank-transform-of-a-matrix/" TargetMode="External"/><Relationship Id="rId66" Type="http://schemas.openxmlformats.org/officeDocument/2006/relationships/hyperlink" Target="https://leetcode.com/tag/trie/" TargetMode="External"/><Relationship Id="rId87" Type="http://schemas.openxmlformats.org/officeDocument/2006/relationships/hyperlink" Target="https://leetcode.com/problems/delete-duplicate-folders-in-system" TargetMode="External"/><Relationship Id="rId110" Type="http://schemas.openxmlformats.org/officeDocument/2006/relationships/hyperlink" Target="https://leetcode.com/tag/ordered-set/" TargetMode="External"/><Relationship Id="rId115" Type="http://schemas.openxmlformats.org/officeDocument/2006/relationships/hyperlink" Target="https://leetcode.com/problems/count-of-smaller-numbers-after-self" TargetMode="External"/><Relationship Id="rId61" Type="http://schemas.openxmlformats.org/officeDocument/2006/relationships/hyperlink" Target="https://leetcode.com/problems/k-th-smallest-in-lexicographical-order" TargetMode="External"/><Relationship Id="rId82" Type="http://schemas.openxmlformats.org/officeDocument/2006/relationships/hyperlink" Target="https://leetcode.com/tag/trie/" TargetMode="External"/><Relationship Id="rId19" Type="http://schemas.openxmlformats.org/officeDocument/2006/relationships/hyperlink" Target="https://leetcode.com/problems/lfu-cache/" TargetMode="External"/><Relationship Id="rId14" Type="http://schemas.openxmlformats.org/officeDocument/2006/relationships/hyperlink" Target="https://leetcode.com/tag/hash-table/" TargetMode="External"/><Relationship Id="rId30" Type="http://schemas.openxmlformats.org/officeDocument/2006/relationships/hyperlink" Target="https://leetcode.com/tag/hash-table/" TargetMode="External"/><Relationship Id="rId35" Type="http://schemas.openxmlformats.org/officeDocument/2006/relationships/hyperlink" Target="https://leetcode.com/problems/count-ways-to-build-rooms-in-an-ant-colony" TargetMode="External"/><Relationship Id="rId56" Type="http://schemas.openxmlformats.org/officeDocument/2006/relationships/hyperlink" Target="https://leetcode.com/tag/number-theory/" TargetMode="External"/><Relationship Id="rId77" Type="http://schemas.openxmlformats.org/officeDocument/2006/relationships/hyperlink" Target="https://leetcode.com/problems/concatenated-words" TargetMode="External"/><Relationship Id="rId100" Type="http://schemas.openxmlformats.org/officeDocument/2006/relationships/hyperlink" Target="https://leetcode.com/tag/ordered-set/" TargetMode="External"/><Relationship Id="rId105" Type="http://schemas.openxmlformats.org/officeDocument/2006/relationships/hyperlink" Target="https://leetcode.com/problems/create-sorted-array-through-instructions" TargetMode="External"/><Relationship Id="rId8" Type="http://schemas.openxmlformats.org/officeDocument/2006/relationships/hyperlink" Target="https://leetcode.com/tag/hash-table/" TargetMode="External"/><Relationship Id="rId51" Type="http://schemas.openxmlformats.org/officeDocument/2006/relationships/hyperlink" Target="https://leetcode.com/problems/count-the-number-of-ideal-arrays" TargetMode="External"/><Relationship Id="rId72" Type="http://schemas.openxmlformats.org/officeDocument/2006/relationships/hyperlink" Target="https://leetcode.com/tag/trie/" TargetMode="External"/><Relationship Id="rId93" Type="http://schemas.openxmlformats.org/officeDocument/2006/relationships/hyperlink" Target="https://leetcode.com/problems/contains-duplicate-iii" TargetMode="External"/><Relationship Id="rId98" Type="http://schemas.openxmlformats.org/officeDocument/2006/relationships/hyperlink" Target="https://leetcode.com/tag/ordered-set/" TargetMode="External"/><Relationship Id="rId121" Type="http://schemas.openxmlformats.org/officeDocument/2006/relationships/table" Target="../tables/table13.xml"/><Relationship Id="rId3" Type="http://schemas.openxmlformats.org/officeDocument/2006/relationships/hyperlink" Target="https://leetcode.com/problems/max-points-on-a-line/" TargetMode="External"/><Relationship Id="rId25" Type="http://schemas.openxmlformats.org/officeDocument/2006/relationships/hyperlink" Target="https://leetcode.com/problems/prefix-and-suffix-search/" TargetMode="External"/><Relationship Id="rId46" Type="http://schemas.openxmlformats.org/officeDocument/2006/relationships/hyperlink" Target="https://leetcode.com/tag/topological-sort/" TargetMode="External"/><Relationship Id="rId67" Type="http://schemas.openxmlformats.org/officeDocument/2006/relationships/hyperlink" Target="https://leetcode.com/problems/encrypt-and-decrypt-strings" TargetMode="External"/><Relationship Id="rId116" Type="http://schemas.openxmlformats.org/officeDocument/2006/relationships/hyperlink" Target="https://leetcode.com/tag/ordered-set/" TargetMode="External"/><Relationship Id="rId20" Type="http://schemas.openxmlformats.org/officeDocument/2006/relationships/hyperlink" Target="https://leetcode.com/tag/hash-table/" TargetMode="External"/><Relationship Id="rId41" Type="http://schemas.openxmlformats.org/officeDocument/2006/relationships/hyperlink" Target="https://leetcode.com/problems/largest-color-value-in-a-directed-graph" TargetMode="External"/><Relationship Id="rId62" Type="http://schemas.openxmlformats.org/officeDocument/2006/relationships/hyperlink" Target="https://leetcode.com/tag/trie/" TargetMode="External"/><Relationship Id="rId83" Type="http://schemas.openxmlformats.org/officeDocument/2006/relationships/hyperlink" Target="https://leetcode.com/problems/distinct-echo-substrings" TargetMode="External"/><Relationship Id="rId88" Type="http://schemas.openxmlformats.org/officeDocument/2006/relationships/hyperlink" Target="https://leetcode.com/tag/trie/" TargetMode="External"/><Relationship Id="rId111" Type="http://schemas.openxmlformats.org/officeDocument/2006/relationships/hyperlink" Target="https://leetcode.com/problems/design-movie-rental-system" TargetMode="External"/><Relationship Id="rId15" Type="http://schemas.openxmlformats.org/officeDocument/2006/relationships/hyperlink" Target="https://leetcode.com/problems/recover-the-original-array/" TargetMode="External"/><Relationship Id="rId36" Type="http://schemas.openxmlformats.org/officeDocument/2006/relationships/hyperlink" Target="https://leetcode.com/tag/topological-sort/" TargetMode="External"/><Relationship Id="rId57" Type="http://schemas.openxmlformats.org/officeDocument/2006/relationships/hyperlink" Target="https://leetcode.com/problems/number-of-different-subsequences-gcds" TargetMode="External"/><Relationship Id="rId106" Type="http://schemas.openxmlformats.org/officeDocument/2006/relationships/hyperlink" Target="https://leetcode.com/tag/ordered-set/" TargetMode="External"/><Relationship Id="rId10" Type="http://schemas.openxmlformats.org/officeDocument/2006/relationships/hyperlink" Target="https://leetcode.com/tag/hash-table/" TargetMode="External"/><Relationship Id="rId31" Type="http://schemas.openxmlformats.org/officeDocument/2006/relationships/hyperlink" Target="https://leetcode.com/problems/maximum-employees-to-be-invited-to-a-meeting" TargetMode="External"/><Relationship Id="rId52" Type="http://schemas.openxmlformats.org/officeDocument/2006/relationships/hyperlink" Target="https://leetcode.com/tag/number-theory/" TargetMode="External"/><Relationship Id="rId73" Type="http://schemas.openxmlformats.org/officeDocument/2006/relationships/hyperlink" Target="https://leetcode.com/problems/maximum-xor-with-an-element-from-array" TargetMode="External"/><Relationship Id="rId78" Type="http://schemas.openxmlformats.org/officeDocument/2006/relationships/hyperlink" Target="https://leetcode.com/tag/trie/" TargetMode="External"/><Relationship Id="rId94" Type="http://schemas.openxmlformats.org/officeDocument/2006/relationships/hyperlink" Target="https://leetcode.com/tag/ordered-set/" TargetMode="External"/><Relationship Id="rId99" Type="http://schemas.openxmlformats.org/officeDocument/2006/relationships/hyperlink" Target="https://leetcode.com/problems/count-integers-in-intervals" TargetMode="External"/><Relationship Id="rId101" Type="http://schemas.openxmlformats.org/officeDocument/2006/relationships/hyperlink" Target="https://leetcode.com/problems/finding-mk-average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leetcode.com/tag/hash-table/" TargetMode="External"/><Relationship Id="rId117" Type="http://schemas.openxmlformats.org/officeDocument/2006/relationships/hyperlink" Target="https://leetcode.com/problems/number-of-pairs-satisfying-inequality" TargetMode="External"/><Relationship Id="rId21" Type="http://schemas.openxmlformats.org/officeDocument/2006/relationships/hyperlink" Target="https://leetcode.com/problems/parse-lisp-expression" TargetMode="External"/><Relationship Id="rId42" Type="http://schemas.openxmlformats.org/officeDocument/2006/relationships/hyperlink" Target="https://leetcode.com/tag/topological-sort/" TargetMode="External"/><Relationship Id="rId47" Type="http://schemas.openxmlformats.org/officeDocument/2006/relationships/hyperlink" Target="https://leetcode.com/problems/cat-and-mouse-ii" TargetMode="External"/><Relationship Id="rId63" Type="http://schemas.openxmlformats.org/officeDocument/2006/relationships/hyperlink" Target="https://leetcode.com/problems/palindrome-pairs" TargetMode="External"/><Relationship Id="rId68" Type="http://schemas.openxmlformats.org/officeDocument/2006/relationships/hyperlink" Target="https://leetcode.com/tag/trie/" TargetMode="External"/><Relationship Id="rId84" Type="http://schemas.openxmlformats.org/officeDocument/2006/relationships/hyperlink" Target="https://leetcode.com/tag/trie/" TargetMode="External"/><Relationship Id="rId89" Type="http://schemas.openxmlformats.org/officeDocument/2006/relationships/hyperlink" Target="https://leetcode.com/problems/maximum-gap" TargetMode="External"/><Relationship Id="rId112" Type="http://schemas.openxmlformats.org/officeDocument/2006/relationships/hyperlink" Target="https://leetcode.com/tag/ordered-set/" TargetMode="External"/><Relationship Id="rId16" Type="http://schemas.openxmlformats.org/officeDocument/2006/relationships/hyperlink" Target="https://leetcode.com/tag/hash-table/" TargetMode="External"/><Relationship Id="rId107" Type="http://schemas.openxmlformats.org/officeDocument/2006/relationships/hyperlink" Target="https://leetcode.com/problems/count-good-triplets-in-an-array" TargetMode="External"/><Relationship Id="rId11" Type="http://schemas.openxmlformats.org/officeDocument/2006/relationships/hyperlink" Target="https://leetcode.com/problems/count-anagrams/" TargetMode="External"/><Relationship Id="rId32" Type="http://schemas.openxmlformats.org/officeDocument/2006/relationships/hyperlink" Target="https://leetcode.com/tag/topological-sort/" TargetMode="External"/><Relationship Id="rId37" Type="http://schemas.openxmlformats.org/officeDocument/2006/relationships/hyperlink" Target="https://leetcode.com/problems/parallel-courses-iii" TargetMode="External"/><Relationship Id="rId53" Type="http://schemas.openxmlformats.org/officeDocument/2006/relationships/hyperlink" Target="https://leetcode.com/problems/count-array-pairs-divisible-by-k" TargetMode="External"/><Relationship Id="rId58" Type="http://schemas.openxmlformats.org/officeDocument/2006/relationships/hyperlink" Target="https://leetcode.com/tag/number-theory/" TargetMode="External"/><Relationship Id="rId74" Type="http://schemas.openxmlformats.org/officeDocument/2006/relationships/hyperlink" Target="https://leetcode.com/tag/trie/" TargetMode="External"/><Relationship Id="rId79" Type="http://schemas.openxmlformats.org/officeDocument/2006/relationships/hyperlink" Target="https://leetcode.com/problems/number-of-valid-words-for-each-puzzle" TargetMode="External"/><Relationship Id="rId102" Type="http://schemas.openxmlformats.org/officeDocument/2006/relationships/hyperlink" Target="https://leetcode.com/tag/ordered-set/" TargetMode="External"/><Relationship Id="rId5" Type="http://schemas.openxmlformats.org/officeDocument/2006/relationships/hyperlink" Target="https://leetcode.com/problems/word-ladder-ii/" TargetMode="External"/><Relationship Id="rId90" Type="http://schemas.openxmlformats.org/officeDocument/2006/relationships/hyperlink" Target="https://leetcode.com/tag/bucket-sort/" TargetMode="External"/><Relationship Id="rId95" Type="http://schemas.openxmlformats.org/officeDocument/2006/relationships/hyperlink" Target="https://leetcode.com/problems/reverse-pairs" TargetMode="External"/><Relationship Id="rId22" Type="http://schemas.openxmlformats.org/officeDocument/2006/relationships/hyperlink" Target="https://leetcode.com/tag/hash-table/" TargetMode="External"/><Relationship Id="rId27" Type="http://schemas.openxmlformats.org/officeDocument/2006/relationships/hyperlink" Target="https://leetcode.com/problems/number-of-excellent-pairs/" TargetMode="External"/><Relationship Id="rId43" Type="http://schemas.openxmlformats.org/officeDocument/2006/relationships/hyperlink" Target="https://leetcode.com/problems/sort-items-by-groups-respecting-dependencies" TargetMode="External"/><Relationship Id="rId48" Type="http://schemas.openxmlformats.org/officeDocument/2006/relationships/hyperlink" Target="https://leetcode.com/tag/topological-sort/" TargetMode="External"/><Relationship Id="rId64" Type="http://schemas.openxmlformats.org/officeDocument/2006/relationships/hyperlink" Target="https://leetcode.com/tag/trie/" TargetMode="External"/><Relationship Id="rId69" Type="http://schemas.openxmlformats.org/officeDocument/2006/relationships/hyperlink" Target="https://leetcode.com/problems/maximum-genetic-difference-query" TargetMode="External"/><Relationship Id="rId113" Type="http://schemas.openxmlformats.org/officeDocument/2006/relationships/hyperlink" Target="https://leetcode.com/problems/the-skyline-problem" TargetMode="External"/><Relationship Id="rId118" Type="http://schemas.openxmlformats.org/officeDocument/2006/relationships/hyperlink" Target="https://leetcode.com/tag/ordered-set/" TargetMode="External"/><Relationship Id="rId80" Type="http://schemas.openxmlformats.org/officeDocument/2006/relationships/hyperlink" Target="https://leetcode.com/tag/trie/" TargetMode="External"/><Relationship Id="rId85" Type="http://schemas.openxmlformats.org/officeDocument/2006/relationships/hyperlink" Target="https://leetcode.com/problems/stream-of-characters" TargetMode="External"/><Relationship Id="rId12" Type="http://schemas.openxmlformats.org/officeDocument/2006/relationships/hyperlink" Target="https://leetcode.com/tag/hash-table/" TargetMode="External"/><Relationship Id="rId17" Type="http://schemas.openxmlformats.org/officeDocument/2006/relationships/hyperlink" Target="https://leetcode.com/problems/encrypt-and-decrypt-strings/" TargetMode="External"/><Relationship Id="rId33" Type="http://schemas.openxmlformats.org/officeDocument/2006/relationships/hyperlink" Target="https://leetcode.com/problems/cat-and-mouse" TargetMode="External"/><Relationship Id="rId38" Type="http://schemas.openxmlformats.org/officeDocument/2006/relationships/hyperlink" Target="https://leetcode.com/tag/topological-sort/" TargetMode="External"/><Relationship Id="rId59" Type="http://schemas.openxmlformats.org/officeDocument/2006/relationships/hyperlink" Target="https://leetcode.com/problems/count-ways-to-make-array-with-product" TargetMode="External"/><Relationship Id="rId103" Type="http://schemas.openxmlformats.org/officeDocument/2006/relationships/hyperlink" Target="https://leetcode.com/problems/count-of-range-sum" TargetMode="External"/><Relationship Id="rId108" Type="http://schemas.openxmlformats.org/officeDocument/2006/relationships/hyperlink" Target="https://leetcode.com/tag/ordered-set/" TargetMode="External"/><Relationship Id="rId54" Type="http://schemas.openxmlformats.org/officeDocument/2006/relationships/hyperlink" Target="https://leetcode.com/tag/number-theory/" TargetMode="External"/><Relationship Id="rId70" Type="http://schemas.openxmlformats.org/officeDocument/2006/relationships/hyperlink" Target="https://leetcode.com/tag/trie/" TargetMode="External"/><Relationship Id="rId75" Type="http://schemas.openxmlformats.org/officeDocument/2006/relationships/hyperlink" Target="https://leetcode.com/problems/word-break-ii" TargetMode="External"/><Relationship Id="rId91" Type="http://schemas.openxmlformats.org/officeDocument/2006/relationships/hyperlink" Target="https://leetcode.com/problems/partition-array-into-two-arrays-to-minimize-sum-difference" TargetMode="External"/><Relationship Id="rId96" Type="http://schemas.openxmlformats.org/officeDocument/2006/relationships/hyperlink" Target="https://leetcode.com/tag/ordered-set/" TargetMode="External"/><Relationship Id="rId1" Type="http://schemas.openxmlformats.org/officeDocument/2006/relationships/hyperlink" Target="https://leetcode.com/problems/bus-routes" TargetMode="External"/><Relationship Id="rId6" Type="http://schemas.openxmlformats.org/officeDocument/2006/relationships/hyperlink" Target="https://leetcode.com/tag/hash-table/" TargetMode="External"/><Relationship Id="rId23" Type="http://schemas.openxmlformats.org/officeDocument/2006/relationships/hyperlink" Target="https://leetcode.com/problems/number-of-atoms" TargetMode="External"/><Relationship Id="rId28" Type="http://schemas.openxmlformats.org/officeDocument/2006/relationships/hyperlink" Target="https://leetcode.com/tag/hash-table/" TargetMode="External"/><Relationship Id="rId49" Type="http://schemas.openxmlformats.org/officeDocument/2006/relationships/hyperlink" Target="https://leetcode.com/problems/strange-printer-ii" TargetMode="External"/><Relationship Id="rId114" Type="http://schemas.openxmlformats.org/officeDocument/2006/relationships/hyperlink" Target="https://leetcode.com/tag/ordered-set/" TargetMode="External"/><Relationship Id="rId119" Type="http://schemas.openxmlformats.org/officeDocument/2006/relationships/hyperlink" Target="https://leetcode.com/problems/max-sum-of-rectangle-no-larger-than-k" TargetMode="External"/><Relationship Id="rId10" Type="http://schemas.openxmlformats.org/officeDocument/2006/relationships/hyperlink" Target="https://leetcode.com/tag/hash-table/" TargetMode="External"/><Relationship Id="rId31" Type="http://schemas.openxmlformats.org/officeDocument/2006/relationships/hyperlink" Target="https://leetcode.com/problems/maximum-employees-to-be-invited-to-a-meeting" TargetMode="External"/><Relationship Id="rId44" Type="http://schemas.openxmlformats.org/officeDocument/2006/relationships/hyperlink" Target="https://leetcode.com/tag/topological-sort/" TargetMode="External"/><Relationship Id="rId52" Type="http://schemas.openxmlformats.org/officeDocument/2006/relationships/hyperlink" Target="https://leetcode.com/tag/number-theory/" TargetMode="External"/><Relationship Id="rId60" Type="http://schemas.openxmlformats.org/officeDocument/2006/relationships/hyperlink" Target="https://leetcode.com/tag/number-theory/" TargetMode="External"/><Relationship Id="rId65" Type="http://schemas.openxmlformats.org/officeDocument/2006/relationships/hyperlink" Target="https://leetcode.com/problems/word-search-ii" TargetMode="External"/><Relationship Id="rId73" Type="http://schemas.openxmlformats.org/officeDocument/2006/relationships/hyperlink" Target="https://leetcode.com/problems/maximum-xor-with-an-element-from-array" TargetMode="External"/><Relationship Id="rId78" Type="http://schemas.openxmlformats.org/officeDocument/2006/relationships/hyperlink" Target="https://leetcode.com/tag/trie/" TargetMode="External"/><Relationship Id="rId81" Type="http://schemas.openxmlformats.org/officeDocument/2006/relationships/hyperlink" Target="https://leetcode.com/problems/count-pairs-with-xor-in-a-range" TargetMode="External"/><Relationship Id="rId86" Type="http://schemas.openxmlformats.org/officeDocument/2006/relationships/hyperlink" Target="https://leetcode.com/tag/trie/" TargetMode="External"/><Relationship Id="rId94" Type="http://schemas.openxmlformats.org/officeDocument/2006/relationships/hyperlink" Target="https://leetcode.com/tag/ordered-set/" TargetMode="External"/><Relationship Id="rId99" Type="http://schemas.openxmlformats.org/officeDocument/2006/relationships/hyperlink" Target="https://leetcode.com/problems/count-integers-in-intervals" TargetMode="External"/><Relationship Id="rId101" Type="http://schemas.openxmlformats.org/officeDocument/2006/relationships/hyperlink" Target="https://leetcode.com/problems/finding-mk-average" TargetMode="External"/><Relationship Id="rId4" Type="http://schemas.openxmlformats.org/officeDocument/2006/relationships/hyperlink" Target="https://leetcode.com/tag/hash-table/" TargetMode="External"/><Relationship Id="rId9" Type="http://schemas.openxmlformats.org/officeDocument/2006/relationships/hyperlink" Target="https://leetcode.com/problems/add-edges-to-make-degrees-of-all-nodes-even/" TargetMode="External"/><Relationship Id="rId13" Type="http://schemas.openxmlformats.org/officeDocument/2006/relationships/hyperlink" Target="https://leetcode.com/problems/grid-illumination/" TargetMode="External"/><Relationship Id="rId18" Type="http://schemas.openxmlformats.org/officeDocument/2006/relationships/hyperlink" Target="https://leetcode.com/tag/hash-table/" TargetMode="External"/><Relationship Id="rId39" Type="http://schemas.openxmlformats.org/officeDocument/2006/relationships/hyperlink" Target="https://leetcode.com/problems/merge-bsts-to-create-single-bst" TargetMode="External"/><Relationship Id="rId109" Type="http://schemas.openxmlformats.org/officeDocument/2006/relationships/hyperlink" Target="https://leetcode.com/problems/odd-even-jump" TargetMode="External"/><Relationship Id="rId34" Type="http://schemas.openxmlformats.org/officeDocument/2006/relationships/hyperlink" Target="https://leetcode.com/tag/topological-sort/" TargetMode="External"/><Relationship Id="rId50" Type="http://schemas.openxmlformats.org/officeDocument/2006/relationships/hyperlink" Target="https://leetcode.com/tag/topological-sort/" TargetMode="External"/><Relationship Id="rId55" Type="http://schemas.openxmlformats.org/officeDocument/2006/relationships/hyperlink" Target="https://leetcode.com/problems/replace-non-coprime-numbers-in-array" TargetMode="External"/><Relationship Id="rId76" Type="http://schemas.openxmlformats.org/officeDocument/2006/relationships/hyperlink" Target="https://leetcode.com/tag/trie/" TargetMode="External"/><Relationship Id="rId97" Type="http://schemas.openxmlformats.org/officeDocument/2006/relationships/hyperlink" Target="https://leetcode.com/problems/longest-substring-of-one-repeating-character" TargetMode="External"/><Relationship Id="rId104" Type="http://schemas.openxmlformats.org/officeDocument/2006/relationships/hyperlink" Target="https://leetcode.com/tag/ordered-set/" TargetMode="External"/><Relationship Id="rId120" Type="http://schemas.openxmlformats.org/officeDocument/2006/relationships/hyperlink" Target="https://leetcode.com/tag/ordered-set/" TargetMode="External"/><Relationship Id="rId7" Type="http://schemas.openxmlformats.org/officeDocument/2006/relationships/hyperlink" Target="https://leetcode.com/problems/substring-with-concatenation-of-all-words/" TargetMode="External"/><Relationship Id="rId71" Type="http://schemas.openxmlformats.org/officeDocument/2006/relationships/hyperlink" Target="https://leetcode.com/problems/prefix-and-suffix-search" TargetMode="External"/><Relationship Id="rId92" Type="http://schemas.openxmlformats.org/officeDocument/2006/relationships/hyperlink" Target="https://leetcode.com/tag/ordered-set/" TargetMode="External"/><Relationship Id="rId2" Type="http://schemas.openxmlformats.org/officeDocument/2006/relationships/hyperlink" Target="https://leetcode.com/tag/hash-table/" TargetMode="External"/><Relationship Id="rId29" Type="http://schemas.openxmlformats.org/officeDocument/2006/relationships/hyperlink" Target="https://leetcode.com/problems/total-appeal-of-a-string/" TargetMode="External"/><Relationship Id="rId24" Type="http://schemas.openxmlformats.org/officeDocument/2006/relationships/hyperlink" Target="https://leetcode.com/tag/hash-table/" TargetMode="External"/><Relationship Id="rId40" Type="http://schemas.openxmlformats.org/officeDocument/2006/relationships/hyperlink" Target="https://leetcode.com/tag/binary-tree/" TargetMode="External"/><Relationship Id="rId45" Type="http://schemas.openxmlformats.org/officeDocument/2006/relationships/hyperlink" Target="https://leetcode.com/problems/rank-transform-of-a-matrix/" TargetMode="External"/><Relationship Id="rId66" Type="http://schemas.openxmlformats.org/officeDocument/2006/relationships/hyperlink" Target="https://leetcode.com/tag/trie/" TargetMode="External"/><Relationship Id="rId87" Type="http://schemas.openxmlformats.org/officeDocument/2006/relationships/hyperlink" Target="https://leetcode.com/problems/delete-duplicate-folders-in-system" TargetMode="External"/><Relationship Id="rId110" Type="http://schemas.openxmlformats.org/officeDocument/2006/relationships/hyperlink" Target="https://leetcode.com/tag/ordered-set/" TargetMode="External"/><Relationship Id="rId115" Type="http://schemas.openxmlformats.org/officeDocument/2006/relationships/hyperlink" Target="https://leetcode.com/problems/count-of-smaller-numbers-after-self" TargetMode="External"/><Relationship Id="rId61" Type="http://schemas.openxmlformats.org/officeDocument/2006/relationships/hyperlink" Target="https://leetcode.com/problems/k-th-smallest-in-lexicographical-order" TargetMode="External"/><Relationship Id="rId82" Type="http://schemas.openxmlformats.org/officeDocument/2006/relationships/hyperlink" Target="https://leetcode.com/tag/trie/" TargetMode="External"/><Relationship Id="rId19" Type="http://schemas.openxmlformats.org/officeDocument/2006/relationships/hyperlink" Target="https://leetcode.com/problems/lfu-cache/" TargetMode="External"/><Relationship Id="rId14" Type="http://schemas.openxmlformats.org/officeDocument/2006/relationships/hyperlink" Target="https://leetcode.com/tag/hash-table/" TargetMode="External"/><Relationship Id="rId30" Type="http://schemas.openxmlformats.org/officeDocument/2006/relationships/hyperlink" Target="https://leetcode.com/tag/hash-table/" TargetMode="External"/><Relationship Id="rId35" Type="http://schemas.openxmlformats.org/officeDocument/2006/relationships/hyperlink" Target="https://leetcode.com/problems/count-ways-to-build-rooms-in-an-ant-colony" TargetMode="External"/><Relationship Id="rId56" Type="http://schemas.openxmlformats.org/officeDocument/2006/relationships/hyperlink" Target="https://leetcode.com/tag/number-theory/" TargetMode="External"/><Relationship Id="rId77" Type="http://schemas.openxmlformats.org/officeDocument/2006/relationships/hyperlink" Target="https://leetcode.com/problems/concatenated-words" TargetMode="External"/><Relationship Id="rId100" Type="http://schemas.openxmlformats.org/officeDocument/2006/relationships/hyperlink" Target="https://leetcode.com/tag/ordered-set/" TargetMode="External"/><Relationship Id="rId105" Type="http://schemas.openxmlformats.org/officeDocument/2006/relationships/hyperlink" Target="https://leetcode.com/problems/create-sorted-array-through-instructions" TargetMode="External"/><Relationship Id="rId8" Type="http://schemas.openxmlformats.org/officeDocument/2006/relationships/hyperlink" Target="https://leetcode.com/tag/hash-table/" TargetMode="External"/><Relationship Id="rId51" Type="http://schemas.openxmlformats.org/officeDocument/2006/relationships/hyperlink" Target="https://leetcode.com/problems/count-the-number-of-ideal-arrays" TargetMode="External"/><Relationship Id="rId72" Type="http://schemas.openxmlformats.org/officeDocument/2006/relationships/hyperlink" Target="https://leetcode.com/tag/trie/" TargetMode="External"/><Relationship Id="rId93" Type="http://schemas.openxmlformats.org/officeDocument/2006/relationships/hyperlink" Target="https://leetcode.com/problems/contains-duplicate-iii" TargetMode="External"/><Relationship Id="rId98" Type="http://schemas.openxmlformats.org/officeDocument/2006/relationships/hyperlink" Target="https://leetcode.com/tag/ordered-set/" TargetMode="External"/><Relationship Id="rId3" Type="http://schemas.openxmlformats.org/officeDocument/2006/relationships/hyperlink" Target="https://leetcode.com/problems/max-points-on-a-line/" TargetMode="External"/><Relationship Id="rId25" Type="http://schemas.openxmlformats.org/officeDocument/2006/relationships/hyperlink" Target="https://leetcode.com/problems/prefix-and-suffix-search/" TargetMode="External"/><Relationship Id="rId46" Type="http://schemas.openxmlformats.org/officeDocument/2006/relationships/hyperlink" Target="https://leetcode.com/tag/topological-sort/" TargetMode="External"/><Relationship Id="rId67" Type="http://schemas.openxmlformats.org/officeDocument/2006/relationships/hyperlink" Target="https://leetcode.com/problems/encrypt-and-decrypt-strings" TargetMode="External"/><Relationship Id="rId116" Type="http://schemas.openxmlformats.org/officeDocument/2006/relationships/hyperlink" Target="https://leetcode.com/tag/ordered-set/" TargetMode="External"/><Relationship Id="rId20" Type="http://schemas.openxmlformats.org/officeDocument/2006/relationships/hyperlink" Target="https://leetcode.com/tag/hash-table/" TargetMode="External"/><Relationship Id="rId41" Type="http://schemas.openxmlformats.org/officeDocument/2006/relationships/hyperlink" Target="https://leetcode.com/problems/largest-color-value-in-a-directed-graph" TargetMode="External"/><Relationship Id="rId62" Type="http://schemas.openxmlformats.org/officeDocument/2006/relationships/hyperlink" Target="https://leetcode.com/tag/trie/" TargetMode="External"/><Relationship Id="rId83" Type="http://schemas.openxmlformats.org/officeDocument/2006/relationships/hyperlink" Target="https://leetcode.com/problems/distinct-echo-substrings" TargetMode="External"/><Relationship Id="rId88" Type="http://schemas.openxmlformats.org/officeDocument/2006/relationships/hyperlink" Target="https://leetcode.com/tag/trie/" TargetMode="External"/><Relationship Id="rId111" Type="http://schemas.openxmlformats.org/officeDocument/2006/relationships/hyperlink" Target="https://leetcode.com/problems/design-movie-rental-system" TargetMode="External"/><Relationship Id="rId15" Type="http://schemas.openxmlformats.org/officeDocument/2006/relationships/hyperlink" Target="https://leetcode.com/problems/recover-the-original-array/" TargetMode="External"/><Relationship Id="rId36" Type="http://schemas.openxmlformats.org/officeDocument/2006/relationships/hyperlink" Target="https://leetcode.com/tag/topological-sort/" TargetMode="External"/><Relationship Id="rId57" Type="http://schemas.openxmlformats.org/officeDocument/2006/relationships/hyperlink" Target="https://leetcode.com/problems/number-of-different-subsequences-gcds" TargetMode="External"/><Relationship Id="rId106" Type="http://schemas.openxmlformats.org/officeDocument/2006/relationships/hyperlink" Target="https://leetcode.com/tag/ordered-set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leetcode.com/problems/find-the-maximum-number-of-fruits-collected" TargetMode="External"/><Relationship Id="rId1" Type="http://schemas.openxmlformats.org/officeDocument/2006/relationships/hyperlink" Target="https://leetcode.com/problems/maximum-and-minimum-sums-of-at-most-size-k-subarrays/description/" TargetMode="Externa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hyperlink" Target="https://leetcode.com/problems/find-the-maximum-number-of-fruits-collected" TargetMode="External"/><Relationship Id="rId1" Type="http://schemas.openxmlformats.org/officeDocument/2006/relationships/hyperlink" Target="https://leetcode.com/problems/maximum-and-minimum-sums-of-at-most-size-k-subarrays/description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17577-B299-45CB-A43C-70B24FFC7BE2}">
  <dimension ref="A1:C23"/>
  <sheetViews>
    <sheetView tabSelected="1" topLeftCell="A13" zoomScaleNormal="100" workbookViewId="0">
      <selection activeCell="C21" sqref="C21"/>
    </sheetView>
  </sheetViews>
  <sheetFormatPr defaultRowHeight="14.5"/>
  <cols>
    <col min="1" max="1" width="30.54296875" customWidth="1"/>
    <col min="2" max="2" width="30.08984375" customWidth="1"/>
    <col min="3" max="3" width="45.7265625" bestFit="1" customWidth="1"/>
  </cols>
  <sheetData>
    <row r="1" spans="1:3" ht="42" customHeight="1">
      <c r="A1" s="163" t="s">
        <v>3442</v>
      </c>
      <c r="B1" s="163"/>
      <c r="C1" s="163"/>
    </row>
    <row r="2" spans="1:3" s="137" customFormat="1" ht="15" customHeight="1">
      <c r="A2" s="159" t="s">
        <v>3439</v>
      </c>
    </row>
    <row r="3" spans="1:3" s="137" customFormat="1" ht="15" customHeight="1">
      <c r="A3" s="137" t="s">
        <v>3386</v>
      </c>
      <c r="B3" s="137" t="s">
        <v>3390</v>
      </c>
      <c r="C3" s="137" t="s">
        <v>3391</v>
      </c>
    </row>
    <row r="4" spans="1:3" s="137" customFormat="1" ht="15" customHeight="1">
      <c r="A4" s="137" t="s">
        <v>3340</v>
      </c>
      <c r="B4" s="137" t="s">
        <v>3437</v>
      </c>
      <c r="C4" s="138" t="s">
        <v>3420</v>
      </c>
    </row>
    <row r="5" spans="1:3" s="137" customFormat="1" ht="15" customHeight="1">
      <c r="A5" s="137" t="s">
        <v>3341</v>
      </c>
      <c r="B5" s="137" t="s">
        <v>3437</v>
      </c>
      <c r="C5" s="139" t="s">
        <v>3421</v>
      </c>
    </row>
    <row r="6" spans="1:3" s="137" customFormat="1" ht="15" customHeight="1">
      <c r="A6" s="140">
        <v>3.5</v>
      </c>
      <c r="B6" s="137" t="s">
        <v>3437</v>
      </c>
      <c r="C6" s="138" t="s">
        <v>3422</v>
      </c>
    </row>
    <row r="7" spans="1:3" s="137" customFormat="1" ht="15" customHeight="1">
      <c r="A7" s="137" t="s">
        <v>3340</v>
      </c>
      <c r="B7" s="137" t="s">
        <v>3438</v>
      </c>
      <c r="C7" s="138" t="s">
        <v>3423</v>
      </c>
    </row>
    <row r="8" spans="1:3" s="137" customFormat="1" ht="15" customHeight="1">
      <c r="A8" s="137" t="s">
        <v>3341</v>
      </c>
      <c r="B8" s="137" t="s">
        <v>3438</v>
      </c>
      <c r="C8" s="138" t="s">
        <v>3424</v>
      </c>
    </row>
    <row r="9" spans="1:3" s="137" customFormat="1" ht="15" customHeight="1"/>
    <row r="10" spans="1:3" s="137" customFormat="1" ht="15" customHeight="1">
      <c r="A10" s="158" t="s">
        <v>3440</v>
      </c>
      <c r="B10" s="158"/>
      <c r="C10" s="158"/>
    </row>
    <row r="11" spans="1:3" s="141" customFormat="1" ht="15" customHeight="1">
      <c r="A11" s="161" t="s">
        <v>3390</v>
      </c>
      <c r="B11" s="162" t="s">
        <v>3389</v>
      </c>
      <c r="C11" s="162" t="s">
        <v>3391</v>
      </c>
    </row>
    <row r="12" spans="1:3" s="137" customFormat="1" ht="15" customHeight="1">
      <c r="A12" s="141" t="s">
        <v>3418</v>
      </c>
      <c r="B12" s="138" t="s">
        <v>3427</v>
      </c>
      <c r="C12" s="138" t="s">
        <v>3426</v>
      </c>
    </row>
    <row r="13" spans="1:3" s="137" customFormat="1" ht="15" customHeight="1">
      <c r="A13" s="141" t="s">
        <v>3419</v>
      </c>
      <c r="B13" s="139" t="s">
        <v>3428</v>
      </c>
      <c r="C13" s="138" t="s">
        <v>3425</v>
      </c>
    </row>
    <row r="14" spans="1:3" s="137" customFormat="1" ht="15" customHeight="1"/>
    <row r="15" spans="1:3" s="137" customFormat="1" ht="15" customHeight="1">
      <c r="A15" s="158" t="s">
        <v>3443</v>
      </c>
      <c r="B15" s="158"/>
      <c r="C15" s="158"/>
    </row>
    <row r="16" spans="1:3" s="137" customFormat="1" ht="15" customHeight="1">
      <c r="A16" s="166" t="s">
        <v>3441</v>
      </c>
      <c r="B16" s="166"/>
      <c r="C16" s="166"/>
    </row>
    <row r="17" spans="1:3" s="137" customFormat="1" ht="15" customHeight="1">
      <c r="A17" s="164" t="s">
        <v>3431</v>
      </c>
    </row>
    <row r="18" spans="1:3">
      <c r="A18" s="164" t="s">
        <v>3432</v>
      </c>
    </row>
    <row r="20" spans="1:3" ht="16">
      <c r="A20" s="158" t="s">
        <v>3444</v>
      </c>
      <c r="B20" s="158"/>
      <c r="C20" s="158"/>
    </row>
    <row r="21" spans="1:3" ht="16">
      <c r="A21" s="166" t="s">
        <v>3441</v>
      </c>
      <c r="B21" s="166"/>
      <c r="C21" s="166"/>
    </row>
    <row r="22" spans="1:3">
      <c r="A22" s="165" t="s">
        <v>3433</v>
      </c>
    </row>
    <row r="23" spans="1:3">
      <c r="A23" s="165" t="s">
        <v>3434</v>
      </c>
    </row>
  </sheetData>
  <mergeCells count="4">
    <mergeCell ref="A10:C10"/>
    <mergeCell ref="A1:C1"/>
    <mergeCell ref="A15:C15"/>
    <mergeCell ref="A20:C20"/>
  </mergeCells>
  <phoneticPr fontId="1" type="noConversion"/>
  <hyperlinks>
    <hyperlink ref="C4" location="'Experiment o1'!A1" display="Main experiment results of o1" xr:uid="{E25355CC-A1AF-492A-9B83-B5983DB68DEA}"/>
    <hyperlink ref="C5" location="'Experiment 4o'!A1" display="Main experiment results of 4o" xr:uid="{4E587543-E123-4AAA-B295-B89B69FECD76}"/>
    <hyperlink ref="C6" location="'Kuhail''s experiment 3.5'!A1" display="Main experiment results of 3.5" xr:uid="{2493194F-BBA8-4233-82BF-1D593C172FD9}"/>
    <hyperlink ref="C7" location="'Post-experiment o1'!A1" display="Post-experiment results of o1" xr:uid="{781034A2-05DD-4941-A029-264A81E52DC3}"/>
    <hyperlink ref="C8" location="'Post-experiment 4o'!A1" display="Post-experiment results of 4o" xr:uid="{C7005E4E-082F-427C-9A90-0F4829469EBE}"/>
    <hyperlink ref="C12:C13" location="'Main experiment Unsolved '!A1" display="'Main experiment Unsolved '!A1" xr:uid="{B209AF92-C9B8-4638-82CC-DE4EC377FBA9}"/>
    <hyperlink ref="C12" location="'Main experiment Unsolved '!A1" display="Unsolved problems by models in Main experiment" xr:uid="{BDCBC7F3-7D76-4A95-B188-E031E5DE4722}"/>
    <hyperlink ref="C13" location="'Post-experiment unsolved '!A1" display="Unsolved problems by models in Post-experiment" xr:uid="{2220DF49-D173-41C8-B24D-D82D15F6091F}"/>
    <hyperlink ref="A17" location="'p-value'!A1" display="Aggregated Approach (n = 60)" xr:uid="{4404239E-0454-4321-9968-F7B85D5F4BE8}"/>
    <hyperlink ref="A18" location="'p-value'!A10" display="Proportional Approach (n = 30)" xr:uid="{7F5B7296-59CB-4A4C-B7EA-C52097C287D3}"/>
    <hyperlink ref="A22" location="Interval!A1" display="Aggregated Approach( n = 60)" xr:uid="{69898718-B5DA-4A96-B92F-10905D92A3B1}"/>
    <hyperlink ref="A23" location="Interval!A10" display="Proportional Approach ( n = 30)" xr:uid="{C1891DD8-D939-40A0-B1C0-20EAC38FC71B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37BE-036A-4C00-9066-85CB21551537}">
  <dimension ref="A1:K14"/>
  <sheetViews>
    <sheetView workbookViewId="0">
      <selection activeCell="M14" sqref="M14"/>
    </sheetView>
  </sheetViews>
  <sheetFormatPr defaultRowHeight="14.5"/>
  <cols>
    <col min="1" max="1" width="12.54296875" bestFit="1" customWidth="1"/>
    <col min="2" max="2" width="17" bestFit="1" customWidth="1"/>
    <col min="3" max="3" width="11.453125" bestFit="1" customWidth="1"/>
    <col min="4" max="4" width="13.26953125" bestFit="1" customWidth="1"/>
    <col min="5" max="5" width="10.26953125" customWidth="1"/>
    <col min="6" max="6" width="9.453125" bestFit="1" customWidth="1"/>
    <col min="7" max="8" width="10.26953125" customWidth="1"/>
  </cols>
  <sheetData>
    <row r="1" spans="1:11">
      <c r="A1" s="142" t="s">
        <v>3429</v>
      </c>
      <c r="B1" s="142"/>
      <c r="C1" s="142"/>
      <c r="D1" s="142"/>
      <c r="E1" s="142"/>
      <c r="F1" s="142"/>
      <c r="G1" s="142"/>
      <c r="H1" s="142"/>
    </row>
    <row r="2" spans="1:11">
      <c r="A2" s="130" t="s">
        <v>3392</v>
      </c>
      <c r="B2" s="130" t="s">
        <v>3389</v>
      </c>
      <c r="C2" s="130" t="s">
        <v>3407</v>
      </c>
      <c r="D2" s="130" t="s">
        <v>3408</v>
      </c>
      <c r="E2" s="130" t="s">
        <v>3409</v>
      </c>
      <c r="F2" s="130" t="s">
        <v>3410</v>
      </c>
      <c r="G2" s="130" t="s">
        <v>3411</v>
      </c>
      <c r="H2" s="130" t="s">
        <v>3412</v>
      </c>
    </row>
    <row r="3" spans="1:11">
      <c r="A3" s="108" t="s">
        <v>3380</v>
      </c>
      <c r="B3" s="108" t="s">
        <v>3413</v>
      </c>
      <c r="C3" s="143">
        <f>([1]Interval!C3+[1]Interval!C4)/([1]Interval!D3+[1]Interval!D4)</f>
        <v>0.55833333333333335</v>
      </c>
      <c r="D3" s="143">
        <f xml:space="preserve"> SQRT(C3 * (1 - C3) * (1/[1]Interval!D3 + 1/[1]Interval!D4))</f>
        <v>9.066370501698795E-2</v>
      </c>
      <c r="E3" s="144">
        <f>([1]Interval!E3-[1]Interval!E4)/D3</f>
        <v>-6.4340336987555515</v>
      </c>
      <c r="F3" s="145">
        <f xml:space="preserve"> 2 * (1 - _xlfn.NORM.DIST(ABS(E3),0,1, TRUE))</f>
        <v>1.242612679419608E-10</v>
      </c>
      <c r="G3" s="146">
        <v>0.95</v>
      </c>
      <c r="H3" s="108" t="b">
        <f>IF(1-G3&gt;F3, TRUE)</f>
        <v>1</v>
      </c>
    </row>
    <row r="4" spans="1:11">
      <c r="A4" s="108" t="s">
        <v>3380</v>
      </c>
      <c r="B4" s="108" t="s">
        <v>3414</v>
      </c>
      <c r="C4" s="143">
        <f>([1]Interval!C3+[1]Interval!C5)/([1]Interval!D3+[1]Interval!D5)</f>
        <v>0.58333333333333337</v>
      </c>
      <c r="D4" s="143">
        <f xml:space="preserve"> SQRT(C4 * (1 - C4) * (1/[1]Interval!D3 + 1/[1]Interval!D5))</f>
        <v>9.0010287477886947E-2</v>
      </c>
      <c r="E4" s="144">
        <f>([1]Interval!E3-[1]Interval!E5)/D4</f>
        <v>-7.0362327582713906</v>
      </c>
      <c r="F4" s="145">
        <f xml:space="preserve"> 2 * (1 - _xlfn.NORM.DIST(ABS(E4),0,1, TRUE))</f>
        <v>1.9750867608081535E-12</v>
      </c>
      <c r="G4" s="146">
        <v>0.95</v>
      </c>
      <c r="H4" s="108" t="b">
        <f>IF(1-G4&gt;F4, TRUE)</f>
        <v>1</v>
      </c>
    </row>
    <row r="5" spans="1:11">
      <c r="A5" s="108" t="s">
        <v>3380</v>
      </c>
      <c r="B5" s="108" t="s">
        <v>3415</v>
      </c>
      <c r="C5" s="143">
        <f>([1]Interval!C4+[1]Interval!C5)/([1]Interval!D4+[1]Interval!D5)</f>
        <v>0.875</v>
      </c>
      <c r="D5" s="143">
        <f xml:space="preserve"> SQRT(C5 * (1 - C5) * (1/[1]Interval!D4 + 1/[1]Interval!D5))</f>
        <v>6.0380736442455993E-2</v>
      </c>
      <c r="E5" s="144">
        <f>([1]Interval!E4-[1]Interval!E5)/D5</f>
        <v>-0.82807867121082579</v>
      </c>
      <c r="F5" s="145">
        <f xml:space="preserve"> 2 * (1 - _xlfn.NORM.DIST(ABS(E5),0,1, TRUE))</f>
        <v>0.40762594770278038</v>
      </c>
      <c r="G5" s="146">
        <v>0.95</v>
      </c>
      <c r="H5" s="108" t="b">
        <f>IF(1-G5&gt;F5, TRUE)</f>
        <v>0</v>
      </c>
    </row>
    <row r="6" spans="1:11">
      <c r="A6" s="108" t="s">
        <v>3381</v>
      </c>
      <c r="B6" s="108" t="s">
        <v>3416</v>
      </c>
      <c r="C6" s="143">
        <f>([1]Interval!C6+[1]Interval!C7)/([1]Interval!D6+[1]Interval!D7)</f>
        <v>0.58333333333333337</v>
      </c>
      <c r="D6" s="143">
        <f xml:space="preserve"> SQRT(C6 * (1 - C6) * (1/[1]Interval!D6 + 1/[1]Interval!D7))</f>
        <v>0.1272937693043289</v>
      </c>
      <c r="E6" s="144">
        <f>([1]Interval!E6-[1]Interval!E7)/D6</f>
        <v>-1.309307341415954</v>
      </c>
      <c r="F6" s="145">
        <f xml:space="preserve"> 2 * (1 - _xlfn.NORM.DIST(ABS(E6),0,1, TRUE))</f>
        <v>0.19043026382552419</v>
      </c>
      <c r="G6" s="146">
        <v>0.95</v>
      </c>
      <c r="H6" s="108" t="b">
        <f>IF(1-G6&gt;F6, TRUE)</f>
        <v>0</v>
      </c>
    </row>
    <row r="7" spans="1:11" ht="17.5">
      <c r="F7" s="131"/>
      <c r="K7" s="132"/>
    </row>
    <row r="9" spans="1:11">
      <c r="A9" s="147" t="s">
        <v>3430</v>
      </c>
      <c r="B9" s="147"/>
      <c r="C9" s="147"/>
      <c r="D9" s="147"/>
      <c r="E9" s="147"/>
      <c r="F9" s="147"/>
      <c r="G9" s="147"/>
      <c r="H9" s="147"/>
    </row>
    <row r="10" spans="1:11">
      <c r="A10" s="148" t="s">
        <v>3392</v>
      </c>
      <c r="B10" s="148" t="s">
        <v>3389</v>
      </c>
      <c r="C10" s="148" t="s">
        <v>3407</v>
      </c>
      <c r="D10" s="148" t="s">
        <v>3408</v>
      </c>
      <c r="E10" s="148" t="s">
        <v>3409</v>
      </c>
      <c r="F10" s="149" t="s">
        <v>3410</v>
      </c>
      <c r="G10" s="148" t="s">
        <v>3411</v>
      </c>
      <c r="H10" s="148" t="s">
        <v>3412</v>
      </c>
    </row>
    <row r="11" spans="1:11">
      <c r="A11" s="108" t="s">
        <v>3380</v>
      </c>
      <c r="B11" s="108" t="s">
        <v>3417</v>
      </c>
      <c r="C11" s="143">
        <f>([1]Interval!C23+[1]Interval!C24)/([1]Interval!D23+[1]Interval!D24)</f>
        <v>0.55558333333333332</v>
      </c>
      <c r="D11" s="143">
        <f xml:space="preserve"> SQRT(C11 * (1 - C11) * (1/[1]Interval!D23 + 1/[1]Interval!D24))</f>
        <v>9.0721275170262683E-2</v>
      </c>
      <c r="E11" s="144">
        <f>([1]Interval!E23-[1]Interval!E24)/D11</f>
        <v>-6.0018997636232561</v>
      </c>
      <c r="F11" s="145">
        <f xml:space="preserve"> 2 * (1 - _xlfn.NORM.DIST(ABS(E11),0,1, TRUE))</f>
        <v>1.9502208736810189E-9</v>
      </c>
      <c r="G11" s="146">
        <v>0.95</v>
      </c>
      <c r="H11" s="108" t="b">
        <f>IF(1-G11&gt;F11, TRUE)</f>
        <v>1</v>
      </c>
    </row>
    <row r="12" spans="1:11">
      <c r="A12" s="108" t="s">
        <v>3380</v>
      </c>
      <c r="B12" s="108" t="s">
        <v>3414</v>
      </c>
      <c r="C12" s="143">
        <f>([1]Interval!C23+[1]Interval!C25)/([1]Interval!D23+[1]Interval!D25)</f>
        <v>0.57499999999999996</v>
      </c>
      <c r="D12" s="143">
        <f xml:space="preserve"> SQRT(C12 * (1 - C12) * (1/[1]Interval!D23 + 1/[1]Interval!D25))</f>
        <v>9.0254270443748716E-2</v>
      </c>
      <c r="E12" s="144">
        <f>([1]Interval!E23-[1]Interval!E25)/D12</f>
        <v>-6.4632214128515715</v>
      </c>
      <c r="F12" s="145">
        <f xml:space="preserve"> 2 * (1 - _xlfn.NORM.DIST(ABS(E12),0,1, TRUE))</f>
        <v>1.02497121901024E-10</v>
      </c>
      <c r="G12" s="146">
        <v>0.95</v>
      </c>
      <c r="H12" s="108" t="b">
        <f>IF(1-G12&gt;F12, TRUE)</f>
        <v>1</v>
      </c>
    </row>
    <row r="13" spans="1:11">
      <c r="A13" s="108" t="s">
        <v>3380</v>
      </c>
      <c r="B13" s="108" t="s">
        <v>3415</v>
      </c>
      <c r="C13" s="143">
        <f>([1]Interval!C24+[1]Interval!C25)/([1]Interval!D24+[1]Interval!D25)</f>
        <v>0.84725000000000006</v>
      </c>
      <c r="D13" s="143">
        <f xml:space="preserve"> SQRT(C13 * (1 - C13) * (1/[1]Interval!D24 + 1/[1]Interval!D25))</f>
        <v>6.5680397253163228E-2</v>
      </c>
      <c r="E13" s="144">
        <f>([1]Interval!E24-[1]Interval!E25)/D13</f>
        <v>-0.59124693146497587</v>
      </c>
      <c r="F13" s="145">
        <f xml:space="preserve"> 2 * (1 - _xlfn.NORM.DIST(ABS(E13),0,1, TRUE))</f>
        <v>0.5543549813855424</v>
      </c>
      <c r="G13" s="146">
        <v>0.95</v>
      </c>
      <c r="H13" s="108" t="b">
        <f>IF(1-G13&gt;F13, TRUE)</f>
        <v>0</v>
      </c>
    </row>
    <row r="14" spans="1:11">
      <c r="A14" s="108" t="s">
        <v>3381</v>
      </c>
      <c r="B14" s="108" t="s">
        <v>3416</v>
      </c>
      <c r="C14" s="143">
        <f>([1]Interval!C26+[1]Interval!C27)/([1]Interval!D26+[1]Interval!D27)</f>
        <v>0.53900000000000003</v>
      </c>
      <c r="D14" s="143">
        <f xml:space="preserve"> SQRT(C14 * (1 - C14) * (1/[1]Interval!D26 + 1/[1]Interval!D27))</f>
        <v>0.12870612521036701</v>
      </c>
      <c r="E14" s="144">
        <f>([1]Interval!E26-[1]Interval!E27)/D14</f>
        <v>-1.2949396650256868</v>
      </c>
      <c r="F14" s="145">
        <f xml:space="preserve"> 2 * (1 - _xlfn.NORM.DIST(ABS(E14),0,1, TRUE))</f>
        <v>0.19534104392625551</v>
      </c>
      <c r="G14" s="146">
        <v>0.95</v>
      </c>
      <c r="H14" s="108" t="b">
        <f>IF(1-G14&gt;F14, TRUE)</f>
        <v>0</v>
      </c>
    </row>
  </sheetData>
  <mergeCells count="2">
    <mergeCell ref="A1:H1"/>
    <mergeCell ref="A9:H9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1F770-9D3C-4717-A98D-400D98DDAB86}">
  <dimension ref="A1:K17"/>
  <sheetViews>
    <sheetView zoomScaleNormal="100" workbookViewId="0">
      <selection activeCell="O8" sqref="O8"/>
    </sheetView>
  </sheetViews>
  <sheetFormatPr defaultRowHeight="14.5"/>
  <cols>
    <col min="1" max="1" width="11.90625" customWidth="1"/>
    <col min="2" max="2" width="10.6328125" customWidth="1"/>
    <col min="3" max="3" width="11.453125" customWidth="1"/>
    <col min="4" max="6" width="10.6328125" customWidth="1"/>
    <col min="7" max="8" width="14.90625" customWidth="1"/>
    <col min="9" max="11" width="10.6328125" customWidth="1"/>
    <col min="13" max="13" width="9.54296875" bestFit="1" customWidth="1"/>
  </cols>
  <sheetData>
    <row r="1" spans="1:11" ht="15" customHeight="1">
      <c r="A1" s="150" t="s">
        <v>3436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</row>
    <row r="2" spans="1:11" ht="15" customHeight="1">
      <c r="A2" t="s">
        <v>3392</v>
      </c>
      <c r="B2" t="s">
        <v>3386</v>
      </c>
      <c r="C2" t="s">
        <v>3393</v>
      </c>
      <c r="D2" t="s">
        <v>3394</v>
      </c>
      <c r="E2" s="15" t="s">
        <v>3395</v>
      </c>
      <c r="F2" t="s">
        <v>3396</v>
      </c>
      <c r="G2" t="s">
        <v>3397</v>
      </c>
      <c r="H2" t="s">
        <v>3398</v>
      </c>
      <c r="I2" t="s">
        <v>3399</v>
      </c>
      <c r="J2" t="s">
        <v>3400</v>
      </c>
      <c r="K2" t="s">
        <v>3401</v>
      </c>
    </row>
    <row r="3" spans="1:11" ht="15" customHeight="1">
      <c r="A3" s="151" t="s">
        <v>3380</v>
      </c>
      <c r="B3" s="151" t="s">
        <v>3383</v>
      </c>
      <c r="C3" s="151">
        <v>16</v>
      </c>
      <c r="D3" s="151">
        <v>60</v>
      </c>
      <c r="E3" s="152">
        <f>C3/D3</f>
        <v>0.26666666666666666</v>
      </c>
      <c r="F3" s="152">
        <f>1-Table5816[[#This Row],[Pass Rate (p)]]</f>
        <v>0.73333333333333339</v>
      </c>
      <c r="G3" s="152">
        <f>SQRT(Table5816[[#This Row],[Pass Rate (p)]]*Table5816[[#This Row],[q = (1-p) ]]/Table5816[[#This Row],[Total(N)]])</f>
        <v>5.7089922571845017E-2</v>
      </c>
      <c r="H3" s="152">
        <f>Table5816[[#This Row],[Std. Error(SE)]]*Table5816[[#This Row],[95% CI]]</f>
        <v>0.11189624824081623</v>
      </c>
      <c r="I3" s="152">
        <f>Table5816[[#This Row],[Pass Rate (p)]]-Table5816[[#This Row],[Margin(z*SE)]]</f>
        <v>0.15477041842585043</v>
      </c>
      <c r="J3" s="152">
        <f>Table5816[[#This Row],[Pass Rate (p)]]+Table5816[[#This Row],[Margin(z*SE)]]</f>
        <v>0.37856291490748289</v>
      </c>
      <c r="K3" s="151">
        <v>1.96</v>
      </c>
    </row>
    <row r="4" spans="1:11" ht="15" customHeight="1">
      <c r="A4" s="151" t="s">
        <v>3380</v>
      </c>
      <c r="B4" s="151" t="s">
        <v>3402</v>
      </c>
      <c r="C4" s="151">
        <v>51</v>
      </c>
      <c r="D4" s="151">
        <v>60</v>
      </c>
      <c r="E4" s="152">
        <f>C4/D4</f>
        <v>0.85</v>
      </c>
      <c r="F4" s="152">
        <f>1-Table5816[[#This Row],[Pass Rate (p)]]</f>
        <v>0.15000000000000002</v>
      </c>
      <c r="G4" s="152">
        <f>SQRT(Table5816[[#This Row],[Pass Rate (p)]]*Table5816[[#This Row],[q = (1-p) ]]/Table5816[[#This Row],[Total(N)]])</f>
        <v>4.6097722286464436E-2</v>
      </c>
      <c r="H4" s="152">
        <f>Table5816[[#This Row],[Std. Error(SE)]]*Table5816[[#This Row],[95% CI]]</f>
        <v>9.0351535681470294E-2</v>
      </c>
      <c r="I4" s="152">
        <f>Table5816[[#This Row],[Pass Rate (p)]]-Table5816[[#This Row],[Margin(z*SE)]]</f>
        <v>0.75964846431852973</v>
      </c>
      <c r="J4" s="152">
        <f>Table5816[[#This Row],[Pass Rate (p)]]+Table5816[[#This Row],[Margin(z*SE)]]</f>
        <v>0.94035153568147023</v>
      </c>
      <c r="K4" s="151">
        <v>1.96</v>
      </c>
    </row>
    <row r="5" spans="1:11" ht="15" customHeight="1">
      <c r="A5" s="151" t="s">
        <v>3380</v>
      </c>
      <c r="B5" s="151" t="s">
        <v>3340</v>
      </c>
      <c r="C5" s="151">
        <v>54</v>
      </c>
      <c r="D5" s="151">
        <v>60</v>
      </c>
      <c r="E5" s="152">
        <f>C5/D5</f>
        <v>0.9</v>
      </c>
      <c r="F5" s="152">
        <f>1-Table5816[[#This Row],[Pass Rate (p)]]</f>
        <v>9.9999999999999978E-2</v>
      </c>
      <c r="G5" s="152">
        <f>SQRT(Table5816[[#This Row],[Pass Rate (p)]]*Table5816[[#This Row],[q = (1-p) ]]/Table5816[[#This Row],[Total(N)]])</f>
        <v>3.8729833462074169E-2</v>
      </c>
      <c r="H5" s="152">
        <f>Table5816[[#This Row],[Std. Error(SE)]]*Table5816[[#This Row],[95% CI]]</f>
        <v>7.591047358566537E-2</v>
      </c>
      <c r="I5" s="152">
        <f>Table5816[[#This Row],[Pass Rate (p)]]-Table5816[[#This Row],[Margin(z*SE)]]</f>
        <v>0.82408952641433464</v>
      </c>
      <c r="J5" s="152">
        <f>Table5816[[#This Row],[Pass Rate (p)]]+Table5816[[#This Row],[Margin(z*SE)]]</f>
        <v>0.97591047358566541</v>
      </c>
      <c r="K5" s="151">
        <v>1.96</v>
      </c>
    </row>
    <row r="6" spans="1:11" ht="15" customHeight="1">
      <c r="A6" s="151" t="s">
        <v>3381</v>
      </c>
      <c r="B6" s="151" t="s">
        <v>3402</v>
      </c>
      <c r="C6" s="151">
        <f>[1]!Table6[[#Totals],[4o]]</f>
        <v>15</v>
      </c>
      <c r="D6" s="151">
        <v>30</v>
      </c>
      <c r="E6" s="153">
        <f t="shared" ref="E6:E7" si="0">C6/D6</f>
        <v>0.5</v>
      </c>
      <c r="F6" s="153">
        <f>1-Table5816[[#This Row],[Pass Rate (p)]]</f>
        <v>0.5</v>
      </c>
      <c r="G6" s="152">
        <f>SQRT(Table5816[[#This Row],[Pass Rate (p)]]*Table5816[[#This Row],[q = (1-p) ]]/Table5816[[#This Row],[Total(N)]])</f>
        <v>9.1287092917527679E-2</v>
      </c>
      <c r="H6" s="152">
        <f>Table5816[[#This Row],[Std. Error(SE)]]*Table5816[[#This Row],[95% CI]]</f>
        <v>0.17892270211835426</v>
      </c>
      <c r="I6" s="152">
        <f>Table5816[[#This Row],[Pass Rate (p)]]-Table5816[[#This Row],[Margin(z*SE)]]</f>
        <v>0.32107729788164574</v>
      </c>
      <c r="J6" s="152">
        <f>Table5816[[#This Row],[Pass Rate (p)]]+Table5816[[#This Row],[Margin(z*SE)]]</f>
        <v>0.67892270211835426</v>
      </c>
      <c r="K6" s="151">
        <v>1.96</v>
      </c>
    </row>
    <row r="7" spans="1:11" ht="15" customHeight="1">
      <c r="A7" s="151" t="s">
        <v>3381</v>
      </c>
      <c r="B7" s="151" t="s">
        <v>3403</v>
      </c>
      <c r="C7" s="151">
        <f>[1]!Table6[[#Totals],[o1]]</f>
        <v>20</v>
      </c>
      <c r="D7" s="151">
        <v>30</v>
      </c>
      <c r="E7" s="153">
        <f t="shared" si="0"/>
        <v>0.66666666666666663</v>
      </c>
      <c r="F7" s="153">
        <f>1-Table5816[[#This Row],[Pass Rate (p)]]</f>
        <v>0.33333333333333337</v>
      </c>
      <c r="G7" s="152">
        <f>SQRT(Table5816[[#This Row],[Pass Rate (p)]]*Table5816[[#This Row],[q = (1-p) ]]/Table5816[[#This Row],[Total(N)]])</f>
        <v>8.6066296582387042E-2</v>
      </c>
      <c r="H7" s="152">
        <f>Table5816[[#This Row],[Std. Error(SE)]]*Table5816[[#This Row],[95% CI]]</f>
        <v>0.1686899413014786</v>
      </c>
      <c r="I7" s="152">
        <f>Table5816[[#This Row],[Pass Rate (p)]]-Table5816[[#This Row],[Margin(z*SE)]]</f>
        <v>0.497976725365188</v>
      </c>
      <c r="J7" s="152">
        <f>Table5816[[#This Row],[Pass Rate (p)]]+Table5816[[#This Row],[Margin(z*SE)]]</f>
        <v>0.83535660796814526</v>
      </c>
      <c r="K7" s="151">
        <v>1.96</v>
      </c>
    </row>
    <row r="8" spans="1:11" ht="15" customHeight="1"/>
    <row r="9" spans="1:11" ht="15" customHeight="1"/>
    <row r="10" spans="1:11" ht="15" customHeight="1">
      <c r="A10" s="157" t="s">
        <v>3435</v>
      </c>
      <c r="B10" s="157"/>
      <c r="C10" s="157"/>
      <c r="D10" s="157"/>
      <c r="E10" s="157"/>
      <c r="F10" s="157"/>
      <c r="G10" s="157"/>
      <c r="H10" s="157"/>
      <c r="I10" s="157"/>
      <c r="J10" s="157"/>
      <c r="K10" s="157"/>
    </row>
    <row r="11" spans="1:11" ht="15" customHeight="1">
      <c r="A11" s="155" t="s">
        <v>3392</v>
      </c>
      <c r="B11" s="155" t="s">
        <v>3386</v>
      </c>
      <c r="C11" s="156" t="s">
        <v>3405</v>
      </c>
      <c r="D11" s="155" t="s">
        <v>3394</v>
      </c>
      <c r="E11" s="156" t="s">
        <v>3406</v>
      </c>
      <c r="F11" s="155" t="s">
        <v>3396</v>
      </c>
      <c r="G11" s="155" t="s">
        <v>3397</v>
      </c>
      <c r="H11" s="155" t="s">
        <v>3398</v>
      </c>
      <c r="I11" s="155" t="s">
        <v>3399</v>
      </c>
      <c r="J11" s="155" t="s">
        <v>3400</v>
      </c>
      <c r="K11" s="155" t="s">
        <v>3401</v>
      </c>
    </row>
    <row r="12" spans="1:11" ht="15" customHeight="1">
      <c r="A12" s="151" t="s">
        <v>3380</v>
      </c>
      <c r="B12" s="151" t="s">
        <v>3404</v>
      </c>
      <c r="C12" s="154">
        <v>17</v>
      </c>
      <c r="D12" s="151">
        <v>60</v>
      </c>
      <c r="E12" s="152">
        <f>C12/D12</f>
        <v>0.28333333333333333</v>
      </c>
      <c r="F12" s="152">
        <f>1-Table58161721[[#This Row],[Average Proportional Score (p)]]</f>
        <v>0.71666666666666667</v>
      </c>
      <c r="G12" s="152">
        <f>SQRT(Table58161721[[#This Row],[Average Proportional Score (p)]]*Table58161721[[#This Row],[q = (1-p) ]]/Table58161721[[#This Row],[Total(N)]])</f>
        <v>5.8174386625552479E-2</v>
      </c>
      <c r="H12" s="152">
        <f>Table58161721[[#This Row],[Std. Error(SE)]]*Table58161721[[#This Row],[95% CI]]</f>
        <v>0.11402179778608286</v>
      </c>
      <c r="I12" s="152">
        <f>Table58161721[[#This Row],[Average Proportional Score (p)]]-Table58161721[[#This Row],[Margin(z*SE)]]</f>
        <v>0.16931153554725048</v>
      </c>
      <c r="J12" s="152">
        <f>Table58161721[[#This Row],[Average Proportional Score (p)]]+Table58161721[[#This Row],[Margin(z*SE)]]</f>
        <v>0.39735513111941617</v>
      </c>
      <c r="K12" s="151">
        <v>1.96</v>
      </c>
    </row>
    <row r="13" spans="1:11" ht="15" customHeight="1">
      <c r="A13" s="151" t="s">
        <v>3380</v>
      </c>
      <c r="B13" s="151" t="s">
        <v>3402</v>
      </c>
      <c r="C13" s="154">
        <v>49.67</v>
      </c>
      <c r="D13" s="151">
        <v>60</v>
      </c>
      <c r="E13" s="152">
        <f>C13/D13</f>
        <v>0.82783333333333331</v>
      </c>
      <c r="F13" s="152">
        <f>1-Table58161721[[#This Row],[Average Proportional Score (p)]]</f>
        <v>0.17216666666666669</v>
      </c>
      <c r="G13" s="152">
        <f>SQRT(Table58161721[[#This Row],[Average Proportional Score (p)]]*Table58161721[[#This Row],[q = (1-p) ]]/Table58161721[[#This Row],[Total(N)]])</f>
        <v>4.8738298690652507E-2</v>
      </c>
      <c r="H13" s="152">
        <f>Table58161721[[#This Row],[Std. Error(SE)]]*Table58161721[[#This Row],[95% CI]]</f>
        <v>9.5527065433678907E-2</v>
      </c>
      <c r="I13" s="152">
        <f>Table58161721[[#This Row],[Average Proportional Score (p)]]-Table58161721[[#This Row],[Margin(z*SE)]]</f>
        <v>0.73230626789965436</v>
      </c>
      <c r="J13" s="152">
        <f>Table58161721[[#This Row],[Average Proportional Score (p)]]+Table58161721[[#This Row],[Margin(z*SE)]]</f>
        <v>0.92336039876701226</v>
      </c>
      <c r="K13" s="151">
        <v>1.96</v>
      </c>
    </row>
    <row r="14" spans="1:11" ht="15" customHeight="1">
      <c r="A14" s="151" t="s">
        <v>3380</v>
      </c>
      <c r="B14" s="151" t="s">
        <v>3403</v>
      </c>
      <c r="C14" s="154">
        <v>52</v>
      </c>
      <c r="D14" s="151">
        <v>60</v>
      </c>
      <c r="E14" s="152">
        <f>C14/D14</f>
        <v>0.8666666666666667</v>
      </c>
      <c r="F14" s="152">
        <f>1-Table58161721[[#This Row],[Average Proportional Score (p)]]</f>
        <v>0.1333333333333333</v>
      </c>
      <c r="G14" s="152">
        <f>SQRT(Table58161721[[#This Row],[Average Proportional Score (p)]]*Table58161721[[#This Row],[q = (1-p) ]]/Table58161721[[#This Row],[Total(N)]])</f>
        <v>4.3885372573625549E-2</v>
      </c>
      <c r="H14" s="152">
        <f>Table58161721[[#This Row],[Std. Error(SE)]]*Table58161721[[#This Row],[95% CI]]</f>
        <v>8.6015330244306076E-2</v>
      </c>
      <c r="I14" s="152">
        <f>Table58161721[[#This Row],[Average Proportional Score (p)]]-Table58161721[[#This Row],[Margin(z*SE)]]</f>
        <v>0.78065133642236062</v>
      </c>
      <c r="J14" s="152">
        <f>Table58161721[[#This Row],[Average Proportional Score (p)]]+Table58161721[[#This Row],[Margin(z*SE)]]</f>
        <v>0.95268199691097277</v>
      </c>
      <c r="K14" s="151">
        <v>1.96</v>
      </c>
    </row>
    <row r="15" spans="1:11" ht="15" customHeight="1">
      <c r="A15" s="151" t="s">
        <v>3381</v>
      </c>
      <c r="B15" s="151" t="s">
        <v>3402</v>
      </c>
      <c r="C15" s="154">
        <v>13.67</v>
      </c>
      <c r="D15" s="151">
        <v>30</v>
      </c>
      <c r="E15" s="153">
        <f t="shared" ref="E15:E16" si="1">C15/D15</f>
        <v>0.45566666666666666</v>
      </c>
      <c r="F15" s="153">
        <f>1-Table58161721[[#This Row],[Average Proportional Score (p)]]</f>
        <v>0.54433333333333334</v>
      </c>
      <c r="G15" s="152">
        <f>SQRT(Table58161721[[#This Row],[Average Proportional Score (p)]]*Table58161721[[#This Row],[q = (1-p) ]]/Table58161721[[#This Row],[Total(N)]])</f>
        <v>9.0927545433265269E-2</v>
      </c>
      <c r="H15" s="152">
        <f>Table58161721[[#This Row],[Std. Error(SE)]]*Table58161721[[#This Row],[95% CI]]</f>
        <v>0.17821798904919992</v>
      </c>
      <c r="I15" s="152">
        <f>Table58161721[[#This Row],[Average Proportional Score (p)]]-Table58161721[[#This Row],[Margin(z*SE)]]</f>
        <v>0.27744867761746672</v>
      </c>
      <c r="J15" s="152">
        <f>Table58161721[[#This Row],[Average Proportional Score (p)]]+Table58161721[[#This Row],[Margin(z*SE)]]</f>
        <v>0.63388465571586661</v>
      </c>
      <c r="K15" s="151">
        <v>1.96</v>
      </c>
    </row>
    <row r="16" spans="1:11" ht="15" customHeight="1">
      <c r="A16" s="151" t="s">
        <v>3381</v>
      </c>
      <c r="B16" s="151" t="s">
        <v>3340</v>
      </c>
      <c r="C16" s="154">
        <v>18.670000000000002</v>
      </c>
      <c r="D16" s="151">
        <v>30</v>
      </c>
      <c r="E16" s="153">
        <f t="shared" si="1"/>
        <v>0.6223333333333334</v>
      </c>
      <c r="F16" s="153">
        <f>1-Table58161721[[#This Row],[Average Proportional Score (p)]]</f>
        <v>0.3776666666666666</v>
      </c>
      <c r="G16" s="152">
        <f>SQRT(Table58161721[[#This Row],[Average Proportional Score (p)]]*Table58161721[[#This Row],[q = (1-p) ]]/Table58161721[[#This Row],[Total(N)]])</f>
        <v>8.8512627264053026E-2</v>
      </c>
      <c r="H16" s="152">
        <f>Table58161721[[#This Row],[Std. Error(SE)]]*Table58161721[[#This Row],[95% CI]]</f>
        <v>0.17348474943754394</v>
      </c>
      <c r="I16" s="152">
        <f>Table58161721[[#This Row],[Average Proportional Score (p)]]-Table58161721[[#This Row],[Margin(z*SE)]]</f>
        <v>0.44884858389578947</v>
      </c>
      <c r="J16" s="152">
        <f>Table58161721[[#This Row],[Average Proportional Score (p)]]+Table58161721[[#This Row],[Margin(z*SE)]]</f>
        <v>0.7958180827708774</v>
      </c>
      <c r="K16" s="151">
        <v>1.96</v>
      </c>
    </row>
    <row r="17" spans="1:1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</row>
  </sheetData>
  <mergeCells count="2">
    <mergeCell ref="A1:K1"/>
    <mergeCell ref="A10:K10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EC7E1-FB2C-45D0-BB78-5DDF1D623FE9}">
  <sheetPr>
    <tabColor rgb="FFFF0000"/>
  </sheetPr>
  <dimension ref="A1:P28"/>
  <sheetViews>
    <sheetView workbookViewId="0">
      <selection sqref="A1:XFD1"/>
    </sheetView>
  </sheetViews>
  <sheetFormatPr defaultRowHeight="14.5"/>
  <cols>
    <col min="3" max="3" width="59.1796875" bestFit="1" customWidth="1"/>
    <col min="4" max="8" width="0" hidden="1" customWidth="1"/>
    <col min="9" max="11" width="9.7265625" customWidth="1"/>
    <col min="12" max="12" width="12.7265625" customWidth="1"/>
    <col min="13" max="13" width="30.453125" bestFit="1" customWidth="1"/>
    <col min="14" max="14" width="31.81640625" bestFit="1" customWidth="1"/>
    <col min="15" max="15" width="42.7265625" bestFit="1" customWidth="1"/>
    <col min="16" max="16" width="10.1796875" customWidth="1"/>
  </cols>
  <sheetData>
    <row r="1" spans="1:16" ht="18.5">
      <c r="A1" s="160" t="s">
        <v>3451</v>
      </c>
      <c r="B1" s="160"/>
      <c r="C1" s="160"/>
    </row>
    <row r="2" spans="1:16" ht="15" customHeight="1">
      <c r="A2" t="s">
        <v>3386</v>
      </c>
      <c r="B2" t="s">
        <v>3344</v>
      </c>
      <c r="C2" t="s">
        <v>108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9</v>
      </c>
      <c r="J2" t="s">
        <v>10</v>
      </c>
      <c r="K2" t="s">
        <v>11</v>
      </c>
      <c r="L2" t="s">
        <v>3319</v>
      </c>
      <c r="M2" t="s">
        <v>3323</v>
      </c>
      <c r="N2" t="s">
        <v>3324</v>
      </c>
      <c r="O2" t="s">
        <v>3325</v>
      </c>
      <c r="P2" t="s">
        <v>3299</v>
      </c>
    </row>
    <row r="3" spans="1:16" ht="15" customHeight="1">
      <c r="A3" t="s">
        <v>3341</v>
      </c>
      <c r="B3">
        <v>3389</v>
      </c>
      <c r="C3" t="s">
        <v>3311</v>
      </c>
      <c r="D3">
        <v>0.245</v>
      </c>
      <c r="F3">
        <v>45733.464583333334</v>
      </c>
      <c r="G3">
        <v>45733.46597222222</v>
      </c>
      <c r="H3">
        <v>45733.466666666667</v>
      </c>
      <c r="I3">
        <v>0</v>
      </c>
      <c r="J3">
        <v>1</v>
      </c>
      <c r="K3">
        <v>0</v>
      </c>
      <c r="L3">
        <v>0</v>
      </c>
      <c r="M3" t="s">
        <v>3364</v>
      </c>
      <c r="O3" t="s">
        <v>3364</v>
      </c>
    </row>
    <row r="4" spans="1:16" ht="15" customHeight="1">
      <c r="A4" t="s">
        <v>3340</v>
      </c>
      <c r="B4">
        <v>3389</v>
      </c>
      <c r="C4" t="s">
        <v>3311</v>
      </c>
      <c r="D4">
        <v>0.245</v>
      </c>
      <c r="F4">
        <v>45733.379861111112</v>
      </c>
      <c r="G4">
        <v>45733.384722222225</v>
      </c>
      <c r="H4">
        <v>45733.39166666667</v>
      </c>
      <c r="I4">
        <v>0</v>
      </c>
      <c r="J4">
        <v>0</v>
      </c>
      <c r="K4">
        <v>0</v>
      </c>
      <c r="L4">
        <v>0</v>
      </c>
      <c r="M4" t="s">
        <v>3364</v>
      </c>
      <c r="N4" t="s">
        <v>3378</v>
      </c>
      <c r="O4" t="s">
        <v>3364</v>
      </c>
    </row>
    <row r="5" spans="1:16" ht="15" customHeight="1">
      <c r="A5" t="s">
        <v>3341</v>
      </c>
      <c r="B5">
        <v>3414</v>
      </c>
      <c r="C5" t="s">
        <v>3308</v>
      </c>
      <c r="D5">
        <v>0.32400000000000001</v>
      </c>
      <c r="F5">
        <v>45731.793043981481</v>
      </c>
      <c r="G5">
        <v>45731.794745370367</v>
      </c>
      <c r="H5">
        <v>45731.795034722221</v>
      </c>
      <c r="I5">
        <v>0</v>
      </c>
      <c r="J5">
        <v>0</v>
      </c>
      <c r="K5">
        <v>0</v>
      </c>
      <c r="L5">
        <v>0</v>
      </c>
      <c r="M5" t="s">
        <v>3364</v>
      </c>
      <c r="N5" t="s">
        <v>3364</v>
      </c>
      <c r="O5" t="s">
        <v>3364</v>
      </c>
    </row>
    <row r="6" spans="1:16" ht="15" customHeight="1">
      <c r="A6" t="s">
        <v>3340</v>
      </c>
      <c r="B6">
        <v>3414</v>
      </c>
      <c r="C6" t="s">
        <v>3308</v>
      </c>
      <c r="D6">
        <v>0.32400000000000001</v>
      </c>
      <c r="F6">
        <v>45731.778969907406</v>
      </c>
      <c r="G6">
        <v>45731.780555555553</v>
      </c>
      <c r="H6">
        <v>45731.781851851854</v>
      </c>
      <c r="I6">
        <v>1</v>
      </c>
      <c r="J6">
        <v>0</v>
      </c>
      <c r="K6">
        <v>0</v>
      </c>
      <c r="L6">
        <v>0</v>
      </c>
      <c r="N6" t="s">
        <v>3364</v>
      </c>
      <c r="O6" t="s">
        <v>3364</v>
      </c>
    </row>
    <row r="7" spans="1:16" ht="15" customHeight="1">
      <c r="A7" t="s">
        <v>3341</v>
      </c>
      <c r="B7">
        <v>3420</v>
      </c>
      <c r="C7" t="s">
        <v>3313</v>
      </c>
      <c r="D7">
        <v>0.21299999999999999</v>
      </c>
      <c r="F7">
        <v>45731.760092592594</v>
      </c>
      <c r="G7">
        <v>45731.760914351849</v>
      </c>
      <c r="H7">
        <v>45731.761493055557</v>
      </c>
      <c r="I7">
        <v>0</v>
      </c>
      <c r="J7">
        <v>0</v>
      </c>
      <c r="K7">
        <v>0</v>
      </c>
      <c r="L7">
        <v>0</v>
      </c>
      <c r="M7" t="s">
        <v>3364</v>
      </c>
      <c r="N7" t="s">
        <v>3364</v>
      </c>
      <c r="O7" t="s">
        <v>3364</v>
      </c>
    </row>
    <row r="8" spans="1:16" ht="15" customHeight="1">
      <c r="A8" t="s">
        <v>3340</v>
      </c>
      <c r="B8">
        <v>3420</v>
      </c>
      <c r="C8" t="s">
        <v>3313</v>
      </c>
      <c r="D8">
        <v>0.21299999999999999</v>
      </c>
      <c r="F8">
        <v>45731.761712962965</v>
      </c>
      <c r="G8">
        <v>45731.765509259261</v>
      </c>
      <c r="H8">
        <v>45731.769074074073</v>
      </c>
      <c r="I8">
        <v>0</v>
      </c>
      <c r="J8">
        <v>0</v>
      </c>
      <c r="K8">
        <v>0</v>
      </c>
      <c r="L8">
        <v>0</v>
      </c>
      <c r="M8" t="s">
        <v>3364</v>
      </c>
      <c r="N8" t="s">
        <v>3375</v>
      </c>
      <c r="O8" t="s">
        <v>3375</v>
      </c>
    </row>
    <row r="9" spans="1:16" ht="15" customHeight="1">
      <c r="A9" t="s">
        <v>3341</v>
      </c>
      <c r="B9">
        <v>3480</v>
      </c>
      <c r="C9" t="s">
        <v>3362</v>
      </c>
      <c r="D9">
        <v>0.22600000000000001</v>
      </c>
      <c r="F9">
        <v>45727.418055555558</v>
      </c>
      <c r="G9">
        <v>45727.420138888891</v>
      </c>
      <c r="H9">
        <v>45727.421527777777</v>
      </c>
      <c r="I9">
        <v>0</v>
      </c>
      <c r="J9">
        <v>0</v>
      </c>
      <c r="K9">
        <v>0</v>
      </c>
      <c r="L9">
        <v>0</v>
      </c>
      <c r="M9" t="s">
        <v>3364</v>
      </c>
      <c r="N9" t="s">
        <v>3364</v>
      </c>
      <c r="O9" t="s">
        <v>3364</v>
      </c>
    </row>
    <row r="10" spans="1:16" ht="15" customHeight="1">
      <c r="A10" t="s">
        <v>3340</v>
      </c>
      <c r="B10">
        <v>3480</v>
      </c>
      <c r="C10" t="s">
        <v>3362</v>
      </c>
      <c r="D10">
        <v>0.22600000000000001</v>
      </c>
      <c r="F10">
        <v>45730.447222222225</v>
      </c>
      <c r="G10">
        <v>45730.45208333333</v>
      </c>
      <c r="H10">
        <v>45730.455555555556</v>
      </c>
      <c r="I10">
        <v>1</v>
      </c>
      <c r="J10">
        <v>0</v>
      </c>
      <c r="K10">
        <v>0</v>
      </c>
      <c r="L10">
        <v>0</v>
      </c>
      <c r="N10" t="s">
        <v>3371</v>
      </c>
      <c r="O10" t="s">
        <v>3364</v>
      </c>
    </row>
    <row r="11" spans="1:16" ht="15" customHeight="1">
      <c r="A11" t="s">
        <v>3341</v>
      </c>
      <c r="B11">
        <v>3374</v>
      </c>
      <c r="C11" t="s">
        <v>3303</v>
      </c>
      <c r="D11">
        <v>0.58099999999999996</v>
      </c>
      <c r="F11">
        <v>45733.474305555559</v>
      </c>
      <c r="G11">
        <v>45733.474999999999</v>
      </c>
      <c r="H11">
        <v>45733.476388888892</v>
      </c>
      <c r="I11">
        <v>0</v>
      </c>
      <c r="J11">
        <v>0</v>
      </c>
      <c r="K11">
        <v>0</v>
      </c>
      <c r="L11">
        <v>0</v>
      </c>
      <c r="M11" t="s">
        <v>3364</v>
      </c>
      <c r="N11" t="s">
        <v>3364</v>
      </c>
      <c r="O11" t="s">
        <v>3364</v>
      </c>
    </row>
    <row r="12" spans="1:16" ht="15" customHeight="1">
      <c r="A12" t="s">
        <v>3341</v>
      </c>
      <c r="B12">
        <v>3378</v>
      </c>
      <c r="C12" t="s">
        <v>3310</v>
      </c>
      <c r="D12">
        <v>0.28899999999999998</v>
      </c>
      <c r="F12">
        <v>45733.47152777778</v>
      </c>
      <c r="G12">
        <v>45733.472222222219</v>
      </c>
      <c r="H12">
        <v>45733.472916666666</v>
      </c>
      <c r="I12">
        <v>0</v>
      </c>
      <c r="J12">
        <v>0</v>
      </c>
      <c r="K12">
        <v>0</v>
      </c>
      <c r="L12">
        <v>0</v>
      </c>
      <c r="M12" t="s">
        <v>3364</v>
      </c>
      <c r="N12" t="s">
        <v>3364</v>
      </c>
      <c r="O12" t="s">
        <v>3364</v>
      </c>
    </row>
    <row r="13" spans="1:16" ht="15" customHeight="1">
      <c r="A13" t="s">
        <v>3340</v>
      </c>
      <c r="B13">
        <v>3395</v>
      </c>
      <c r="C13" t="s">
        <v>3317</v>
      </c>
      <c r="D13">
        <v>0.17699999999999999</v>
      </c>
      <c r="F13">
        <v>45730.631944444445</v>
      </c>
      <c r="G13">
        <v>45730.635416666664</v>
      </c>
      <c r="H13">
        <v>45733.375694444447</v>
      </c>
      <c r="I13">
        <v>0</v>
      </c>
      <c r="J13">
        <v>0</v>
      </c>
      <c r="K13">
        <v>0</v>
      </c>
      <c r="L13">
        <v>0</v>
      </c>
      <c r="M13" t="s">
        <v>3364</v>
      </c>
      <c r="N13" t="s">
        <v>3373</v>
      </c>
      <c r="O13" t="s">
        <v>3377</v>
      </c>
      <c r="P13" t="s">
        <v>3372</v>
      </c>
    </row>
    <row r="14" spans="1:16" ht="15" customHeight="1">
      <c r="A14" t="s">
        <v>3341</v>
      </c>
      <c r="B14">
        <v>3398</v>
      </c>
      <c r="C14" t="s">
        <v>3314</v>
      </c>
      <c r="D14">
        <v>0.192</v>
      </c>
      <c r="F14">
        <v>45733.459027777775</v>
      </c>
      <c r="G14">
        <v>45733.459722222222</v>
      </c>
      <c r="H14">
        <v>45733.460416666669</v>
      </c>
      <c r="I14">
        <v>0</v>
      </c>
      <c r="J14">
        <v>0</v>
      </c>
      <c r="K14">
        <v>0</v>
      </c>
      <c r="L14">
        <v>0</v>
      </c>
      <c r="M14" t="s">
        <v>3364</v>
      </c>
      <c r="N14" t="s">
        <v>3364</v>
      </c>
      <c r="O14" t="s">
        <v>3364</v>
      </c>
    </row>
    <row r="15" spans="1:16" ht="15" customHeight="1">
      <c r="A15" t="s">
        <v>3341</v>
      </c>
      <c r="B15">
        <v>3399</v>
      </c>
      <c r="C15" t="s">
        <v>3304</v>
      </c>
      <c r="D15">
        <v>0.44400000000000001</v>
      </c>
      <c r="F15">
        <v>45733.456250000003</v>
      </c>
      <c r="G15">
        <v>45733.456944444442</v>
      </c>
      <c r="H15">
        <v>45733.458333333336</v>
      </c>
      <c r="I15">
        <v>0</v>
      </c>
      <c r="J15">
        <v>0</v>
      </c>
      <c r="K15">
        <v>0</v>
      </c>
      <c r="L15">
        <v>0</v>
      </c>
      <c r="M15" t="s">
        <v>3364</v>
      </c>
      <c r="N15" t="s">
        <v>3364</v>
      </c>
      <c r="O15" t="s">
        <v>3364</v>
      </c>
    </row>
    <row r="16" spans="1:16" ht="15" customHeight="1">
      <c r="A16" t="s">
        <v>3340</v>
      </c>
      <c r="B16">
        <v>3410</v>
      </c>
      <c r="C16" t="s">
        <v>3316</v>
      </c>
      <c r="D16">
        <v>0.19699999999999998</v>
      </c>
      <c r="F16">
        <v>45731.798680555556</v>
      </c>
      <c r="G16">
        <v>45731.803101851852</v>
      </c>
      <c r="H16">
        <v>45731.804756944446</v>
      </c>
      <c r="I16">
        <v>0</v>
      </c>
      <c r="J16">
        <v>1</v>
      </c>
      <c r="K16">
        <v>0</v>
      </c>
      <c r="L16">
        <v>0</v>
      </c>
      <c r="M16" t="s">
        <v>3364</v>
      </c>
      <c r="O16" t="s">
        <v>3376</v>
      </c>
    </row>
    <row r="17" spans="1:15" ht="15" customHeight="1">
      <c r="A17" t="s">
        <v>3341</v>
      </c>
      <c r="B17">
        <v>3425</v>
      </c>
      <c r="C17" t="s">
        <v>3315</v>
      </c>
      <c r="D17">
        <v>0.193</v>
      </c>
      <c r="F17">
        <v>45731.756724537037</v>
      </c>
      <c r="G17">
        <v>45731.757986111108</v>
      </c>
      <c r="H17">
        <v>45731.758611111109</v>
      </c>
      <c r="I17">
        <v>0</v>
      </c>
      <c r="J17">
        <v>0</v>
      </c>
      <c r="K17">
        <v>0</v>
      </c>
      <c r="L17">
        <v>0</v>
      </c>
      <c r="M17" t="s">
        <v>3364</v>
      </c>
      <c r="N17" t="s">
        <v>3364</v>
      </c>
      <c r="O17" t="s">
        <v>3364</v>
      </c>
    </row>
    <row r="18" spans="1:15" ht="15" customHeight="1">
      <c r="A18" t="s">
        <v>3341</v>
      </c>
      <c r="B18">
        <v>3441</v>
      </c>
      <c r="C18" t="s">
        <v>1562</v>
      </c>
      <c r="D18">
        <v>0.185</v>
      </c>
      <c r="F18">
        <v>45726.860798611109</v>
      </c>
      <c r="G18">
        <v>45726.861770833333</v>
      </c>
      <c r="H18">
        <v>45726.862060185187</v>
      </c>
      <c r="I18">
        <v>0</v>
      </c>
      <c r="J18">
        <v>0</v>
      </c>
      <c r="K18">
        <v>0</v>
      </c>
      <c r="L18">
        <v>0</v>
      </c>
      <c r="M18" t="s">
        <v>3364</v>
      </c>
      <c r="N18" t="s">
        <v>3364</v>
      </c>
      <c r="O18" t="s">
        <v>3364</v>
      </c>
    </row>
    <row r="19" spans="1:15" ht="15" customHeight="1">
      <c r="A19" t="s">
        <v>3341</v>
      </c>
      <c r="B19">
        <v>3444</v>
      </c>
      <c r="C19" t="s">
        <v>1634</v>
      </c>
      <c r="D19">
        <v>0.254</v>
      </c>
      <c r="F19">
        <v>45726.878437500003</v>
      </c>
      <c r="G19">
        <v>45726.879305555558</v>
      </c>
      <c r="H19">
        <v>45726.879965277774</v>
      </c>
      <c r="I19">
        <v>0</v>
      </c>
      <c r="J19">
        <v>1</v>
      </c>
      <c r="K19">
        <v>0</v>
      </c>
      <c r="L19">
        <v>0</v>
      </c>
      <c r="O19" t="s">
        <v>3364</v>
      </c>
    </row>
    <row r="20" spans="1:15" ht="15" customHeight="1">
      <c r="A20" t="s">
        <v>3340</v>
      </c>
      <c r="B20">
        <v>3445</v>
      </c>
      <c r="C20" t="s">
        <v>1612</v>
      </c>
      <c r="D20">
        <v>0.19</v>
      </c>
      <c r="F20">
        <v>45726.898414351854</v>
      </c>
      <c r="G20">
        <v>45726.90042824074</v>
      </c>
      <c r="H20">
        <v>45726.906412037039</v>
      </c>
      <c r="I20">
        <v>0</v>
      </c>
      <c r="J20">
        <v>0</v>
      </c>
      <c r="K20">
        <v>0</v>
      </c>
      <c r="L20">
        <v>0</v>
      </c>
      <c r="M20" t="s">
        <v>3364</v>
      </c>
      <c r="N20" t="s">
        <v>3364</v>
      </c>
      <c r="O20" t="s">
        <v>3364</v>
      </c>
    </row>
    <row r="21" spans="1:15" ht="15" customHeight="1">
      <c r="A21" t="s">
        <v>3341</v>
      </c>
      <c r="B21">
        <v>3448</v>
      </c>
      <c r="C21" t="s">
        <v>1612</v>
      </c>
      <c r="D21">
        <v>0.20499999999999999</v>
      </c>
      <c r="F21">
        <v>45726.920624999999</v>
      </c>
      <c r="G21">
        <v>45726.921319444446</v>
      </c>
      <c r="H21">
        <v>45726.922164351854</v>
      </c>
      <c r="I21">
        <v>1</v>
      </c>
      <c r="J21">
        <v>0</v>
      </c>
      <c r="K21">
        <v>0</v>
      </c>
      <c r="L21">
        <v>0</v>
      </c>
      <c r="N21" t="s">
        <v>3364</v>
      </c>
      <c r="O21" t="s">
        <v>3364</v>
      </c>
    </row>
    <row r="22" spans="1:15" ht="15" customHeight="1">
      <c r="A22" t="s">
        <v>3341</v>
      </c>
      <c r="B22">
        <v>3449</v>
      </c>
      <c r="C22" t="s">
        <v>1622</v>
      </c>
      <c r="D22">
        <v>0.24399999999999999</v>
      </c>
      <c r="F22">
        <v>45726.923807870371</v>
      </c>
      <c r="G22">
        <v>45726.924745370372</v>
      </c>
      <c r="H22">
        <v>45726.925439814811</v>
      </c>
      <c r="I22">
        <v>0</v>
      </c>
      <c r="J22">
        <v>0</v>
      </c>
      <c r="K22">
        <v>0</v>
      </c>
      <c r="L22">
        <v>0</v>
      </c>
      <c r="M22" t="s">
        <v>3364</v>
      </c>
      <c r="N22" t="s">
        <v>3364</v>
      </c>
      <c r="O22" t="s">
        <v>3364</v>
      </c>
    </row>
    <row r="23" spans="1:15" ht="15" customHeight="1">
      <c r="A23" t="s">
        <v>3341</v>
      </c>
      <c r="B23">
        <v>3455</v>
      </c>
      <c r="C23" t="s">
        <v>3356</v>
      </c>
      <c r="D23">
        <v>0.23800000000000002</v>
      </c>
      <c r="F23">
        <v>45727.395833333336</v>
      </c>
      <c r="G23">
        <v>45727.397222222222</v>
      </c>
      <c r="H23">
        <v>45727.398611111108</v>
      </c>
      <c r="I23">
        <v>0</v>
      </c>
      <c r="J23">
        <v>0</v>
      </c>
      <c r="K23">
        <v>0</v>
      </c>
      <c r="L23">
        <v>0</v>
      </c>
      <c r="M23" t="s">
        <v>3364</v>
      </c>
      <c r="N23" t="s">
        <v>3364</v>
      </c>
      <c r="O23" t="s">
        <v>3364</v>
      </c>
    </row>
    <row r="24" spans="1:15" ht="15" customHeight="1">
      <c r="A24" t="s">
        <v>3341</v>
      </c>
      <c r="B24">
        <v>3459</v>
      </c>
      <c r="C24" t="s">
        <v>3357</v>
      </c>
      <c r="D24">
        <v>0.39200000000000002</v>
      </c>
      <c r="F24">
        <v>45727.4</v>
      </c>
      <c r="G24">
        <v>45727.401388888888</v>
      </c>
      <c r="H24">
        <v>45727.402083333334</v>
      </c>
      <c r="I24">
        <v>0</v>
      </c>
      <c r="J24">
        <v>0</v>
      </c>
      <c r="K24">
        <v>0</v>
      </c>
      <c r="L24">
        <v>0</v>
      </c>
      <c r="M24" t="s">
        <v>3369</v>
      </c>
      <c r="N24" t="s">
        <v>3364</v>
      </c>
      <c r="O24" t="s">
        <v>3364</v>
      </c>
    </row>
    <row r="25" spans="1:15" ht="15" customHeight="1">
      <c r="A25" t="s">
        <v>3340</v>
      </c>
      <c r="B25">
        <v>3463</v>
      </c>
      <c r="C25" t="s">
        <v>3358</v>
      </c>
      <c r="D25">
        <v>9.0999999999999998E-2</v>
      </c>
      <c r="F25">
        <v>45730.366666666669</v>
      </c>
      <c r="G25">
        <v>45730.368750000001</v>
      </c>
      <c r="H25">
        <v>45730.370833333334</v>
      </c>
      <c r="I25">
        <v>0</v>
      </c>
      <c r="J25">
        <v>1</v>
      </c>
      <c r="K25">
        <v>0</v>
      </c>
      <c r="L25">
        <v>0</v>
      </c>
      <c r="M25" t="s">
        <v>3364</v>
      </c>
      <c r="O25" t="s">
        <v>3364</v>
      </c>
    </row>
    <row r="26" spans="1:15" ht="15" customHeight="1">
      <c r="A26" t="s">
        <v>3340</v>
      </c>
      <c r="B26">
        <v>3464</v>
      </c>
      <c r="C26" t="s">
        <v>3359</v>
      </c>
      <c r="D26">
        <v>0.19</v>
      </c>
      <c r="F26">
        <v>45730.425694444442</v>
      </c>
      <c r="G26">
        <v>45730.427777777775</v>
      </c>
      <c r="H26">
        <v>45730.430555555555</v>
      </c>
      <c r="I26">
        <v>0</v>
      </c>
      <c r="J26">
        <v>0</v>
      </c>
      <c r="K26">
        <v>0</v>
      </c>
      <c r="L26">
        <v>0</v>
      </c>
      <c r="M26" t="s">
        <v>3364</v>
      </c>
      <c r="N26" t="s">
        <v>3364</v>
      </c>
      <c r="O26" t="s">
        <v>3370</v>
      </c>
    </row>
    <row r="27" spans="1:15" ht="15" customHeight="1">
      <c r="A27" t="s">
        <v>3340</v>
      </c>
      <c r="B27">
        <v>3470</v>
      </c>
      <c r="C27" t="s">
        <v>3360</v>
      </c>
      <c r="D27">
        <v>0.247</v>
      </c>
      <c r="F27">
        <v>45730.432638888888</v>
      </c>
      <c r="G27">
        <v>45730.43472222222</v>
      </c>
      <c r="H27">
        <v>45730.436805555553</v>
      </c>
      <c r="I27">
        <v>0</v>
      </c>
      <c r="J27">
        <v>1</v>
      </c>
      <c r="K27">
        <v>0</v>
      </c>
      <c r="L27">
        <v>0</v>
      </c>
      <c r="M27" t="s">
        <v>3364</v>
      </c>
      <c r="O27" t="s">
        <v>3364</v>
      </c>
    </row>
    <row r="28" spans="1:15" ht="15" customHeight="1"/>
  </sheetData>
  <mergeCells count="1">
    <mergeCell ref="A1:C1"/>
  </mergeCells>
  <conditionalFormatting sqref="B2:B1048576">
    <cfRule type="duplicateValues" dxfId="1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06240-434C-48B1-8ECB-895264D116B4}">
  <sheetPr codeName="Sheet23">
    <tabColor rgb="FFFF0000"/>
  </sheetPr>
  <dimension ref="A1:Q61"/>
  <sheetViews>
    <sheetView workbookViewId="0">
      <selection sqref="A1:C1"/>
    </sheetView>
  </sheetViews>
  <sheetFormatPr defaultRowHeight="14.5"/>
  <cols>
    <col min="1" max="1" width="8.7265625" style="16"/>
    <col min="2" max="2" width="15.08984375" customWidth="1"/>
    <col min="3" max="3" width="48.7265625" bestFit="1" customWidth="1"/>
    <col min="4" max="4" width="15.26953125" customWidth="1"/>
    <col min="5" max="5" width="22" customWidth="1"/>
    <col min="6" max="6" width="19.1796875" customWidth="1"/>
    <col min="7" max="9" width="17.7265625" customWidth="1"/>
    <col min="10" max="10" width="10.453125" customWidth="1"/>
    <col min="11" max="13" width="10.1796875" customWidth="1"/>
    <col min="14" max="14" width="13.453125" customWidth="1"/>
    <col min="15" max="15" width="26" customWidth="1"/>
    <col min="16" max="16" width="28.81640625" customWidth="1"/>
    <col min="17" max="17" width="23.26953125" customWidth="1"/>
  </cols>
  <sheetData>
    <row r="1" spans="1:17" ht="18.5">
      <c r="A1" s="160" t="s">
        <v>3450</v>
      </c>
      <c r="B1" s="160"/>
      <c r="C1" s="160"/>
    </row>
    <row r="2" spans="1:17" s="15" customFormat="1" ht="15" customHeight="1" thickBot="1">
      <c r="A2" s="103" t="s">
        <v>3385</v>
      </c>
      <c r="B2" s="104" t="s">
        <v>3384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3319</v>
      </c>
      <c r="O2" s="105" t="s">
        <v>3323</v>
      </c>
      <c r="P2" s="105" t="s">
        <v>3324</v>
      </c>
      <c r="Q2" s="105" t="s">
        <v>3325</v>
      </c>
    </row>
    <row r="3" spans="1:17" s="108" customFormat="1" ht="15" customHeight="1">
      <c r="A3" s="93" t="s">
        <v>3341</v>
      </c>
      <c r="B3" s="78">
        <v>38</v>
      </c>
      <c r="C3" s="84" t="s">
        <v>34</v>
      </c>
      <c r="D3" s="84" t="s">
        <v>26</v>
      </c>
      <c r="E3" s="106" t="s">
        <v>1733</v>
      </c>
      <c r="F3" s="84">
        <v>669</v>
      </c>
      <c r="G3" s="83">
        <v>45716.881562499999</v>
      </c>
      <c r="H3" s="91">
        <v>45716.883599537039</v>
      </c>
      <c r="I3" s="91">
        <v>45716.884942129633</v>
      </c>
      <c r="J3" s="84" t="s">
        <v>27</v>
      </c>
      <c r="K3" s="84">
        <v>0</v>
      </c>
      <c r="L3" s="84">
        <v>0</v>
      </c>
      <c r="M3" s="84">
        <v>1</v>
      </c>
      <c r="N3" s="107">
        <v>0</v>
      </c>
      <c r="O3" s="118" t="s">
        <v>3333</v>
      </c>
      <c r="P3" s="118" t="s">
        <v>3321</v>
      </c>
      <c r="Q3" s="118"/>
    </row>
    <row r="4" spans="1:17" s="108" customFormat="1" ht="15" customHeight="1">
      <c r="A4" s="93" t="s">
        <v>3383</v>
      </c>
      <c r="B4" s="79">
        <v>38</v>
      </c>
      <c r="C4" s="80" t="s">
        <v>34</v>
      </c>
      <c r="D4" s="80">
        <v>0</v>
      </c>
      <c r="E4" s="81">
        <v>0</v>
      </c>
      <c r="F4" s="80">
        <v>0</v>
      </c>
      <c r="G4" s="82">
        <f>IF(COUNTA(D4:F4)=0, "", IF(SUM(D4:F4)&gt;1, 1, 0))</f>
        <v>0</v>
      </c>
      <c r="H4" s="83"/>
      <c r="I4" s="83"/>
      <c r="J4" s="84"/>
      <c r="K4" s="84">
        <v>0</v>
      </c>
      <c r="L4" s="84">
        <v>0</v>
      </c>
      <c r="M4" s="84">
        <v>0</v>
      </c>
      <c r="N4" s="85">
        <v>0</v>
      </c>
      <c r="O4" s="84"/>
      <c r="P4" s="84"/>
      <c r="Q4" s="84"/>
    </row>
    <row r="5" spans="1:17" s="108" customFormat="1" ht="15" customHeight="1">
      <c r="A5" s="93" t="s">
        <v>3341</v>
      </c>
      <c r="B5" s="78">
        <v>41</v>
      </c>
      <c r="C5" s="84" t="s">
        <v>37</v>
      </c>
      <c r="D5" s="84" t="s">
        <v>26</v>
      </c>
      <c r="E5" s="106" t="s">
        <v>1992</v>
      </c>
      <c r="F5" s="84">
        <v>669</v>
      </c>
      <c r="G5" s="83">
        <v>45716.905833333331</v>
      </c>
      <c r="H5" s="83">
        <v>45716.906701388885</v>
      </c>
      <c r="I5" s="83">
        <v>45716.908136574071</v>
      </c>
      <c r="J5" s="84" t="s">
        <v>27</v>
      </c>
      <c r="K5" s="84">
        <v>0</v>
      </c>
      <c r="L5" s="84">
        <v>0</v>
      </c>
      <c r="M5" s="84">
        <v>0</v>
      </c>
      <c r="N5" s="85">
        <v>0</v>
      </c>
      <c r="O5" s="111" t="s">
        <v>3332</v>
      </c>
      <c r="P5" s="111" t="s">
        <v>3332</v>
      </c>
      <c r="Q5" s="111" t="s">
        <v>3331</v>
      </c>
    </row>
    <row r="6" spans="1:17" s="108" customFormat="1" ht="15" customHeight="1">
      <c r="A6" s="93" t="s">
        <v>3340</v>
      </c>
      <c r="B6" s="78">
        <v>41</v>
      </c>
      <c r="C6" s="84" t="s">
        <v>37</v>
      </c>
      <c r="D6" s="84" t="s">
        <v>26</v>
      </c>
      <c r="E6" s="112" t="s">
        <v>1992</v>
      </c>
      <c r="F6" s="84">
        <v>669</v>
      </c>
      <c r="G6" s="83">
        <v>45716.902291666665</v>
      </c>
      <c r="H6" s="83">
        <v>45716.903460648151</v>
      </c>
      <c r="I6" s="83">
        <v>45716.905231481483</v>
      </c>
      <c r="J6" s="84" t="s">
        <v>27</v>
      </c>
      <c r="K6" s="84">
        <v>0</v>
      </c>
      <c r="L6" s="84">
        <v>0</v>
      </c>
      <c r="M6" s="84">
        <v>0</v>
      </c>
      <c r="N6" s="85">
        <v>0</v>
      </c>
      <c r="O6" s="113" t="s">
        <v>3338</v>
      </c>
      <c r="P6" s="113" t="s">
        <v>3339</v>
      </c>
      <c r="Q6" s="113" t="s">
        <v>3329</v>
      </c>
    </row>
    <row r="7" spans="1:17" s="108" customFormat="1" ht="15" customHeight="1">
      <c r="A7" s="93" t="s">
        <v>3383</v>
      </c>
      <c r="B7" s="86">
        <v>41</v>
      </c>
      <c r="C7" s="87" t="s">
        <v>37</v>
      </c>
      <c r="D7" s="87">
        <v>0</v>
      </c>
      <c r="E7" s="81">
        <v>0</v>
      </c>
      <c r="F7" s="80">
        <v>0</v>
      </c>
      <c r="G7" s="82">
        <f>IF(COUNTA(D7:F7)=0, "", IF(SUM(D7:F7)&gt;1, 1, 0))</f>
        <v>0</v>
      </c>
      <c r="H7" s="83"/>
      <c r="I7" s="83"/>
      <c r="J7" s="84"/>
      <c r="K7" s="84">
        <v>0</v>
      </c>
      <c r="L7" s="84">
        <v>0</v>
      </c>
      <c r="M7" s="84">
        <v>0</v>
      </c>
      <c r="N7" s="85">
        <v>0</v>
      </c>
      <c r="O7" s="84"/>
      <c r="P7" s="84"/>
      <c r="Q7" s="84"/>
    </row>
    <row r="8" spans="1:17" s="108" customFormat="1" ht="15" customHeight="1" thickBot="1">
      <c r="A8" s="93" t="s">
        <v>3341</v>
      </c>
      <c r="B8" s="109">
        <v>76</v>
      </c>
      <c r="C8" s="110" t="s">
        <v>45</v>
      </c>
      <c r="D8" s="110" t="s">
        <v>46</v>
      </c>
      <c r="E8" s="106" t="s">
        <v>2542</v>
      </c>
      <c r="F8" s="84">
        <v>34</v>
      </c>
      <c r="G8" s="83">
        <v>45717.453229166669</v>
      </c>
      <c r="H8" s="83">
        <v>45717.454340277778</v>
      </c>
      <c r="I8" s="83">
        <v>45717.455324074072</v>
      </c>
      <c r="J8" s="84" t="s">
        <v>27</v>
      </c>
      <c r="K8" s="84">
        <v>1</v>
      </c>
      <c r="L8" s="84">
        <v>0</v>
      </c>
      <c r="M8" s="84">
        <v>0</v>
      </c>
      <c r="N8" s="85">
        <v>0</v>
      </c>
      <c r="O8" s="84"/>
      <c r="P8" s="84" t="s">
        <v>3321</v>
      </c>
      <c r="Q8" s="84" t="s">
        <v>3321</v>
      </c>
    </row>
    <row r="9" spans="1:17" s="108" customFormat="1" ht="15" customHeight="1">
      <c r="A9" s="93" t="s">
        <v>3383</v>
      </c>
      <c r="B9" s="79">
        <v>76</v>
      </c>
      <c r="C9" s="80" t="s">
        <v>45</v>
      </c>
      <c r="D9" s="80">
        <v>0</v>
      </c>
      <c r="E9" s="88">
        <v>0</v>
      </c>
      <c r="F9" s="89">
        <v>0</v>
      </c>
      <c r="G9" s="90">
        <f>IF(COUNTA(D9:F9)=0, "", IF(SUM(D9:F9)&gt;1, 1, 0))</f>
        <v>0</v>
      </c>
      <c r="H9" s="91"/>
      <c r="I9" s="91"/>
      <c r="J9" s="92"/>
      <c r="K9" s="92">
        <v>0</v>
      </c>
      <c r="L9" s="92">
        <v>0</v>
      </c>
      <c r="M9" s="92">
        <v>0</v>
      </c>
      <c r="N9" s="85">
        <v>0</v>
      </c>
      <c r="O9" s="92"/>
      <c r="P9" s="92"/>
      <c r="Q9" s="92"/>
    </row>
    <row r="10" spans="1:17" s="108" customFormat="1" ht="15" customHeight="1">
      <c r="A10" s="93" t="s">
        <v>3340</v>
      </c>
      <c r="B10" s="78">
        <v>77</v>
      </c>
      <c r="C10" s="84" t="s">
        <v>47</v>
      </c>
      <c r="D10" s="84" t="s">
        <v>46</v>
      </c>
      <c r="E10" s="112">
        <v>0.34</v>
      </c>
      <c r="F10" s="84">
        <v>34</v>
      </c>
      <c r="G10" s="83">
        <v>45717.462372685186</v>
      </c>
      <c r="H10" s="83">
        <v>45717.463773148149</v>
      </c>
      <c r="I10" s="83">
        <v>45717.465902777774</v>
      </c>
      <c r="J10" s="84" t="s">
        <v>27</v>
      </c>
      <c r="K10" s="84">
        <v>0</v>
      </c>
      <c r="L10" s="84">
        <v>0</v>
      </c>
      <c r="M10" s="84">
        <v>1</v>
      </c>
      <c r="N10" s="85">
        <v>0</v>
      </c>
      <c r="O10" s="113" t="s">
        <v>3321</v>
      </c>
      <c r="P10" s="113" t="s">
        <v>3327</v>
      </c>
      <c r="Q10" s="113"/>
    </row>
    <row r="11" spans="1:17" s="108" customFormat="1" ht="15" customHeight="1">
      <c r="A11" s="93" t="s">
        <v>3383</v>
      </c>
      <c r="B11" s="79">
        <v>77</v>
      </c>
      <c r="C11" s="80" t="s">
        <v>47</v>
      </c>
      <c r="D11" s="80">
        <v>0</v>
      </c>
      <c r="E11" s="81">
        <v>0</v>
      </c>
      <c r="F11" s="80">
        <v>0</v>
      </c>
      <c r="G11" s="82">
        <f>IF(COUNTA(D11:F11)=0, "", IF(SUM(D11:F11)&gt;1, 1, 0))</f>
        <v>0</v>
      </c>
      <c r="H11" s="83"/>
      <c r="I11" s="83"/>
      <c r="J11" s="84"/>
      <c r="K11" s="84">
        <v>0</v>
      </c>
      <c r="L11" s="84">
        <v>0</v>
      </c>
      <c r="M11" s="84">
        <v>0</v>
      </c>
      <c r="N11" s="85">
        <v>0</v>
      </c>
      <c r="O11" s="84"/>
      <c r="P11" s="84"/>
      <c r="Q11" s="84"/>
    </row>
    <row r="12" spans="1:17" s="108" customFormat="1" ht="15" customHeight="1">
      <c r="A12" s="93" t="s">
        <v>3341</v>
      </c>
      <c r="B12" s="78">
        <v>80</v>
      </c>
      <c r="C12" s="84" t="s">
        <v>50</v>
      </c>
      <c r="D12" s="84" t="s">
        <v>51</v>
      </c>
      <c r="E12" s="106" t="s">
        <v>1747</v>
      </c>
      <c r="F12" s="84">
        <v>176</v>
      </c>
      <c r="G12" s="83">
        <v>45717.4846412037</v>
      </c>
      <c r="H12" s="83">
        <v>45717.485451388886</v>
      </c>
      <c r="I12" s="83">
        <v>45717.486261574071</v>
      </c>
      <c r="J12" s="84" t="s">
        <v>27</v>
      </c>
      <c r="K12" s="84">
        <v>0</v>
      </c>
      <c r="L12" s="84">
        <v>0</v>
      </c>
      <c r="M12" s="84">
        <v>0</v>
      </c>
      <c r="N12" s="85">
        <v>0</v>
      </c>
      <c r="O12" s="84" t="s">
        <v>3321</v>
      </c>
      <c r="P12" s="84" t="s">
        <v>3321</v>
      </c>
      <c r="Q12" s="84" t="s">
        <v>3321</v>
      </c>
    </row>
    <row r="13" spans="1:17" s="108" customFormat="1" ht="15" customHeight="1">
      <c r="A13" s="93" t="s">
        <v>3340</v>
      </c>
      <c r="B13" s="78">
        <v>80</v>
      </c>
      <c r="C13" s="84" t="s">
        <v>50</v>
      </c>
      <c r="D13" s="84" t="s">
        <v>51</v>
      </c>
      <c r="E13" s="112" t="s">
        <v>1747</v>
      </c>
      <c r="F13" s="84">
        <v>176</v>
      </c>
      <c r="G13" s="83">
        <v>45717.487314814818</v>
      </c>
      <c r="H13" s="83">
        <v>45717.488298611112</v>
      </c>
      <c r="I13" s="83">
        <v>45717.489270833335</v>
      </c>
      <c r="J13" s="84" t="s">
        <v>27</v>
      </c>
      <c r="K13" s="84">
        <v>1</v>
      </c>
      <c r="L13" s="84">
        <v>0</v>
      </c>
      <c r="M13" s="84">
        <v>0</v>
      </c>
      <c r="N13" s="85">
        <v>0</v>
      </c>
      <c r="O13" s="113"/>
      <c r="P13" s="113" t="s">
        <v>3321</v>
      </c>
      <c r="Q13" s="113" t="s">
        <v>3321</v>
      </c>
    </row>
    <row r="14" spans="1:17" s="108" customFormat="1" ht="15" customHeight="1">
      <c r="A14" s="93" t="s">
        <v>3383</v>
      </c>
      <c r="B14" s="79">
        <v>80</v>
      </c>
      <c r="C14" s="80" t="s">
        <v>50</v>
      </c>
      <c r="D14" s="80">
        <v>0</v>
      </c>
      <c r="E14" s="81">
        <v>0</v>
      </c>
      <c r="F14" s="80">
        <v>0</v>
      </c>
      <c r="G14" s="82">
        <f>IF(COUNTA(D14:F14)=0, "", IF(SUM(D14:F14)&gt;1, 1, 0))</f>
        <v>0</v>
      </c>
      <c r="H14" s="83"/>
      <c r="I14" s="83"/>
      <c r="J14" s="84"/>
      <c r="K14" s="84">
        <v>0</v>
      </c>
      <c r="L14" s="84">
        <v>0</v>
      </c>
      <c r="M14" s="84">
        <v>0</v>
      </c>
      <c r="N14" s="85">
        <v>0</v>
      </c>
      <c r="O14" s="84"/>
      <c r="P14" s="84"/>
      <c r="Q14" s="84"/>
    </row>
    <row r="15" spans="1:17" s="108" customFormat="1" ht="15" customHeight="1">
      <c r="A15" s="93" t="s">
        <v>3341</v>
      </c>
      <c r="B15" s="78">
        <v>82</v>
      </c>
      <c r="C15" s="84" t="s">
        <v>53</v>
      </c>
      <c r="D15" s="84" t="s">
        <v>46</v>
      </c>
      <c r="E15" s="106" t="s">
        <v>2189</v>
      </c>
      <c r="F15" s="84">
        <v>34</v>
      </c>
      <c r="G15" s="83">
        <v>45717.742951388886</v>
      </c>
      <c r="H15" s="83">
        <v>45717.743703703702</v>
      </c>
      <c r="I15" s="83">
        <v>45717.744340277779</v>
      </c>
      <c r="J15" s="84" t="s">
        <v>27</v>
      </c>
      <c r="K15" s="84">
        <v>0</v>
      </c>
      <c r="L15" s="84">
        <v>1</v>
      </c>
      <c r="M15" s="84">
        <v>0</v>
      </c>
      <c r="N15" s="85">
        <v>0</v>
      </c>
      <c r="O15" s="84" t="s">
        <v>3321</v>
      </c>
      <c r="P15" s="84"/>
      <c r="Q15" s="84" t="s">
        <v>3321</v>
      </c>
    </row>
    <row r="16" spans="1:17" s="108" customFormat="1" ht="15" customHeight="1">
      <c r="A16" s="93" t="s">
        <v>3383</v>
      </c>
      <c r="B16" s="79">
        <v>82</v>
      </c>
      <c r="C16" s="80" t="s">
        <v>53</v>
      </c>
      <c r="D16" s="80">
        <v>0</v>
      </c>
      <c r="E16" s="81">
        <v>0</v>
      </c>
      <c r="F16" s="80">
        <v>0</v>
      </c>
      <c r="G16" s="82">
        <f>IF(COUNTA(D16:F16)=0, "", IF(SUM(D16:F16)&gt;1, 1, 0))</f>
        <v>0</v>
      </c>
      <c r="H16" s="83"/>
      <c r="I16" s="83"/>
      <c r="J16" s="84"/>
      <c r="K16" s="84">
        <v>0</v>
      </c>
      <c r="L16" s="84">
        <v>0</v>
      </c>
      <c r="M16" s="84">
        <v>0</v>
      </c>
      <c r="N16" s="85">
        <v>0</v>
      </c>
      <c r="O16" s="84"/>
      <c r="P16" s="84"/>
      <c r="Q16" s="84"/>
    </row>
    <row r="17" spans="1:17" s="108" customFormat="1" ht="15" customHeight="1">
      <c r="A17" s="93" t="s">
        <v>3341</v>
      </c>
      <c r="B17" s="109">
        <v>83</v>
      </c>
      <c r="C17" s="110" t="s">
        <v>54</v>
      </c>
      <c r="D17" s="110" t="s">
        <v>46</v>
      </c>
      <c r="E17" s="106" t="s">
        <v>1996</v>
      </c>
      <c r="F17" s="84">
        <v>34</v>
      </c>
      <c r="G17" s="83">
        <v>45717.745844907404</v>
      </c>
      <c r="H17" s="83">
        <v>45717.74827546296</v>
      </c>
      <c r="I17" s="83">
        <v>45717.749212962961</v>
      </c>
      <c r="J17" s="84" t="s">
        <v>27</v>
      </c>
      <c r="K17" s="84">
        <v>0</v>
      </c>
      <c r="L17" s="84">
        <v>1</v>
      </c>
      <c r="M17" s="84">
        <v>0</v>
      </c>
      <c r="N17" s="85">
        <v>0</v>
      </c>
      <c r="O17" s="111" t="s">
        <v>3335</v>
      </c>
      <c r="P17" s="84"/>
      <c r="Q17" s="84" t="s">
        <v>3321</v>
      </c>
    </row>
    <row r="18" spans="1:17" s="108" customFormat="1" ht="15" customHeight="1">
      <c r="A18" s="93" t="s">
        <v>3383</v>
      </c>
      <c r="B18" s="79">
        <v>83</v>
      </c>
      <c r="C18" s="80" t="s">
        <v>54</v>
      </c>
      <c r="D18" s="80">
        <v>0</v>
      </c>
      <c r="E18" s="81">
        <v>0</v>
      </c>
      <c r="F18" s="80">
        <v>0</v>
      </c>
      <c r="G18" s="82">
        <f>IF(COUNTA(D18:F18)=0, "", IF(SUM(D18:F18)&gt;1, 1, 0))</f>
        <v>0</v>
      </c>
      <c r="H18" s="83"/>
      <c r="I18" s="83"/>
      <c r="J18" s="84"/>
      <c r="K18" s="84">
        <v>0</v>
      </c>
      <c r="L18" s="84">
        <v>0</v>
      </c>
      <c r="M18" s="84">
        <v>0</v>
      </c>
      <c r="N18" s="85">
        <v>0</v>
      </c>
      <c r="O18" s="84"/>
      <c r="P18" s="84"/>
      <c r="Q18" s="84"/>
    </row>
    <row r="19" spans="1:17" s="108" customFormat="1" ht="15" customHeight="1">
      <c r="A19" s="93" t="s">
        <v>3340</v>
      </c>
      <c r="B19" s="114">
        <v>122</v>
      </c>
      <c r="C19" s="115" t="s">
        <v>68</v>
      </c>
      <c r="D19" s="115" t="s">
        <v>67</v>
      </c>
      <c r="E19" s="116">
        <v>0.36</v>
      </c>
      <c r="F19" s="84">
        <v>55</v>
      </c>
      <c r="G19" s="117">
        <v>45714.477777777778</v>
      </c>
      <c r="H19" s="117">
        <v>45714.479166666664</v>
      </c>
      <c r="I19" s="117">
        <v>45714.480555555558</v>
      </c>
      <c r="J19" s="84" t="s">
        <v>27</v>
      </c>
      <c r="K19" s="84">
        <v>0</v>
      </c>
      <c r="L19" s="84">
        <v>0</v>
      </c>
      <c r="M19" s="84">
        <v>1</v>
      </c>
      <c r="N19" s="85">
        <v>0</v>
      </c>
      <c r="O19" s="84" t="s">
        <v>3321</v>
      </c>
      <c r="P19" s="84" t="s">
        <v>3321</v>
      </c>
      <c r="Q19" s="84"/>
    </row>
    <row r="20" spans="1:17" s="108" customFormat="1" ht="15" customHeight="1">
      <c r="A20" s="93" t="s">
        <v>3383</v>
      </c>
      <c r="B20" s="79">
        <v>122</v>
      </c>
      <c r="C20" s="80" t="s">
        <v>68</v>
      </c>
      <c r="D20" s="80">
        <v>1</v>
      </c>
      <c r="E20" s="81">
        <v>0</v>
      </c>
      <c r="F20" s="80">
        <v>0</v>
      </c>
      <c r="G20" s="82">
        <f>IF(COUNTA(D20:F20)=0, "", IF(SUM(D20:F20)&gt;1, 1, 0))</f>
        <v>0</v>
      </c>
      <c r="H20" s="83"/>
      <c r="I20" s="83"/>
      <c r="J20" s="84"/>
      <c r="K20" s="84">
        <v>1</v>
      </c>
      <c r="L20" s="84">
        <v>0</v>
      </c>
      <c r="M20" s="84">
        <v>0</v>
      </c>
      <c r="N20" s="85">
        <v>0</v>
      </c>
      <c r="O20" s="84"/>
      <c r="P20" s="84"/>
      <c r="Q20" s="84"/>
    </row>
    <row r="21" spans="1:17" s="108" customFormat="1" ht="15" customHeight="1">
      <c r="A21" s="93" t="s">
        <v>3340</v>
      </c>
      <c r="B21" s="114">
        <v>131</v>
      </c>
      <c r="C21" s="115" t="s">
        <v>76</v>
      </c>
      <c r="D21" s="115" t="s">
        <v>67</v>
      </c>
      <c r="E21" s="116">
        <v>0.48399999999999999</v>
      </c>
      <c r="F21" s="84">
        <v>55</v>
      </c>
      <c r="G21" s="117">
        <v>45714.560416666667</v>
      </c>
      <c r="H21" s="117">
        <v>45714.561111111114</v>
      </c>
      <c r="I21" s="117">
        <v>45714.5625</v>
      </c>
      <c r="J21" s="84" t="s">
        <v>27</v>
      </c>
      <c r="K21" s="84">
        <v>0</v>
      </c>
      <c r="L21" s="84">
        <v>0</v>
      </c>
      <c r="M21" s="84">
        <v>0</v>
      </c>
      <c r="N21" s="85">
        <v>0</v>
      </c>
      <c r="O21" s="84" t="s">
        <v>3321</v>
      </c>
      <c r="P21" s="84" t="s">
        <v>3321</v>
      </c>
      <c r="Q21" s="84" t="s">
        <v>3321</v>
      </c>
    </row>
    <row r="22" spans="1:17" s="108" customFormat="1" ht="15" customHeight="1">
      <c r="A22" s="93" t="s">
        <v>3383</v>
      </c>
      <c r="B22" s="79">
        <v>131</v>
      </c>
      <c r="C22" s="80" t="s">
        <v>76</v>
      </c>
      <c r="D22" s="80">
        <v>0</v>
      </c>
      <c r="E22" s="81">
        <v>0</v>
      </c>
      <c r="F22" s="80">
        <v>0</v>
      </c>
      <c r="G22" s="82">
        <f>IF(COUNTA(D22:F22)=0, "", IF(SUM(D22:F22)&gt;1, 1, 0))</f>
        <v>0</v>
      </c>
      <c r="H22" s="83"/>
      <c r="I22" s="83"/>
      <c r="J22" s="84"/>
      <c r="K22" s="84">
        <v>0</v>
      </c>
      <c r="L22" s="84">
        <v>0</v>
      </c>
      <c r="M22" s="84">
        <v>0</v>
      </c>
      <c r="N22" s="85">
        <v>0</v>
      </c>
      <c r="O22" s="84"/>
      <c r="P22" s="84"/>
      <c r="Q22" s="84"/>
    </row>
    <row r="23" spans="1:17" s="108" customFormat="1" ht="15" customHeight="1">
      <c r="A23" s="93" t="s">
        <v>3341</v>
      </c>
      <c r="B23" s="114">
        <v>134</v>
      </c>
      <c r="C23" s="115" t="s">
        <v>79</v>
      </c>
      <c r="D23" s="115" t="s">
        <v>67</v>
      </c>
      <c r="E23" s="116">
        <v>0.54900000000000004</v>
      </c>
      <c r="F23" s="84">
        <v>55</v>
      </c>
      <c r="G23" s="117">
        <v>45715.370138888888</v>
      </c>
      <c r="H23" s="117">
        <v>45715.371527777781</v>
      </c>
      <c r="I23" s="117">
        <v>45715.372916666667</v>
      </c>
      <c r="J23" s="84" t="s">
        <v>27</v>
      </c>
      <c r="K23" s="84">
        <v>1</v>
      </c>
      <c r="L23" s="84">
        <v>0</v>
      </c>
      <c r="M23" s="84">
        <v>0</v>
      </c>
      <c r="N23" s="85">
        <v>0</v>
      </c>
      <c r="O23" s="84"/>
      <c r="P23" s="84" t="s">
        <v>3320</v>
      </c>
      <c r="Q23" s="84" t="s">
        <v>3320</v>
      </c>
    </row>
    <row r="24" spans="1:17" s="108" customFormat="1" ht="15" customHeight="1">
      <c r="A24" s="93" t="s">
        <v>3383</v>
      </c>
      <c r="B24" s="79">
        <v>134</v>
      </c>
      <c r="C24" s="80" t="s">
        <v>79</v>
      </c>
      <c r="D24" s="80">
        <v>0</v>
      </c>
      <c r="E24" s="81">
        <v>0</v>
      </c>
      <c r="F24" s="80">
        <v>0</v>
      </c>
      <c r="G24" s="82">
        <f>IF(COUNTA(D24:F24)=0, "", IF(SUM(D24:F24)&gt;1, 1, 0))</f>
        <v>0</v>
      </c>
      <c r="H24" s="83"/>
      <c r="I24" s="83"/>
      <c r="J24" s="84"/>
      <c r="K24" s="84">
        <v>0</v>
      </c>
      <c r="L24" s="84">
        <v>0</v>
      </c>
      <c r="M24" s="84">
        <v>0</v>
      </c>
      <c r="N24" s="85">
        <v>0</v>
      </c>
      <c r="O24" s="84"/>
      <c r="P24" s="84"/>
      <c r="Q24" s="84"/>
    </row>
    <row r="25" spans="1:17" s="108" customFormat="1" ht="15" customHeight="1">
      <c r="A25" s="93" t="s">
        <v>3341</v>
      </c>
      <c r="B25" s="114">
        <v>166</v>
      </c>
      <c r="C25" s="115" t="s">
        <v>85</v>
      </c>
      <c r="D25" s="115" t="s">
        <v>86</v>
      </c>
      <c r="E25" s="116">
        <v>0.21299999999999999</v>
      </c>
      <c r="F25" s="84">
        <v>67</v>
      </c>
      <c r="G25" s="117">
        <v>45715.377083333333</v>
      </c>
      <c r="H25" s="117">
        <v>45715.378472222219</v>
      </c>
      <c r="I25" s="117">
        <v>45715.379166666666</v>
      </c>
      <c r="J25" s="84" t="s">
        <v>27</v>
      </c>
      <c r="K25" s="84">
        <v>1</v>
      </c>
      <c r="L25" s="84">
        <v>0</v>
      </c>
      <c r="M25" s="84">
        <v>0</v>
      </c>
      <c r="N25" s="85">
        <v>0</v>
      </c>
      <c r="O25" s="84"/>
      <c r="P25" s="84" t="s">
        <v>3321</v>
      </c>
      <c r="Q25" s="84" t="s">
        <v>3321</v>
      </c>
    </row>
    <row r="26" spans="1:17" s="108" customFormat="1" ht="15" customHeight="1">
      <c r="A26" s="93" t="s">
        <v>3383</v>
      </c>
      <c r="B26" s="79">
        <v>166</v>
      </c>
      <c r="C26" s="80" t="s">
        <v>85</v>
      </c>
      <c r="D26" s="80">
        <v>0</v>
      </c>
      <c r="E26" s="81">
        <v>0</v>
      </c>
      <c r="F26" s="80">
        <v>0</v>
      </c>
      <c r="G26" s="82">
        <f>IF(COUNTA(D26:F26)=0, "", IF(SUM(D26:F26)&gt;1, 1, 0))</f>
        <v>0</v>
      </c>
      <c r="H26" s="83"/>
      <c r="I26" s="83"/>
      <c r="J26" s="84"/>
      <c r="K26" s="84">
        <v>0</v>
      </c>
      <c r="L26" s="84">
        <v>0</v>
      </c>
      <c r="M26" s="84">
        <v>0</v>
      </c>
      <c r="N26" s="85">
        <v>0</v>
      </c>
      <c r="O26" s="84"/>
      <c r="P26" s="84"/>
      <c r="Q26" s="84"/>
    </row>
    <row r="27" spans="1:17" s="108" customFormat="1" ht="15" customHeight="1">
      <c r="A27" s="93" t="s">
        <v>3340</v>
      </c>
      <c r="B27" s="114">
        <v>176</v>
      </c>
      <c r="C27" s="115" t="s">
        <v>96</v>
      </c>
      <c r="D27" s="115" t="s">
        <v>86</v>
      </c>
      <c r="E27" s="116">
        <v>0.36899999999999999</v>
      </c>
      <c r="F27" s="84">
        <v>67</v>
      </c>
      <c r="G27" s="117">
        <v>45721.59375</v>
      </c>
      <c r="H27" s="117">
        <v>45721.595138888886</v>
      </c>
      <c r="I27" s="117">
        <v>45721.597222222219</v>
      </c>
      <c r="J27" s="84" t="s">
        <v>27</v>
      </c>
      <c r="K27" s="84">
        <v>0</v>
      </c>
      <c r="L27" s="84">
        <v>0</v>
      </c>
      <c r="M27" s="84">
        <v>0</v>
      </c>
      <c r="N27" s="85">
        <v>0</v>
      </c>
      <c r="O27" s="84" t="s">
        <v>3321</v>
      </c>
      <c r="P27" s="84" t="s">
        <v>3321</v>
      </c>
      <c r="Q27" s="84" t="s">
        <v>3321</v>
      </c>
    </row>
    <row r="28" spans="1:17" s="108" customFormat="1" ht="15" customHeight="1">
      <c r="A28" s="93" t="s">
        <v>3383</v>
      </c>
      <c r="B28" s="79">
        <v>176</v>
      </c>
      <c r="C28" s="80" t="s">
        <v>96</v>
      </c>
      <c r="D28" s="80">
        <v>1</v>
      </c>
      <c r="E28" s="81">
        <v>0</v>
      </c>
      <c r="F28" s="80">
        <v>0</v>
      </c>
      <c r="G28" s="82">
        <f>IF(COUNTA(D28:F28)=0, "", IF(SUM(D28:F28)&gt;1, 1, 0))</f>
        <v>0</v>
      </c>
      <c r="H28" s="83"/>
      <c r="I28" s="83"/>
      <c r="J28" s="84"/>
      <c r="K28" s="84">
        <v>1</v>
      </c>
      <c r="L28" s="84">
        <v>0</v>
      </c>
      <c r="M28" s="84">
        <v>0</v>
      </c>
      <c r="N28" s="85">
        <v>0</v>
      </c>
      <c r="O28" s="84"/>
      <c r="P28" s="84"/>
      <c r="Q28" s="84"/>
    </row>
    <row r="29" spans="1:17" s="108" customFormat="1" ht="15" customHeight="1">
      <c r="A29" s="93" t="s">
        <v>3341</v>
      </c>
      <c r="B29" s="78">
        <v>32</v>
      </c>
      <c r="C29" s="84" t="s">
        <v>28</v>
      </c>
      <c r="D29" s="84" t="s">
        <v>26</v>
      </c>
      <c r="E29" s="106" t="s">
        <v>2071</v>
      </c>
      <c r="F29" s="84">
        <v>669</v>
      </c>
      <c r="G29" s="83">
        <v>45715.739074074074</v>
      </c>
      <c r="H29" s="83">
        <v>45715.740370370368</v>
      </c>
      <c r="I29" s="83">
        <v>45715.741944444446</v>
      </c>
      <c r="J29" s="84" t="s">
        <v>27</v>
      </c>
      <c r="K29" s="84">
        <v>0</v>
      </c>
      <c r="L29" s="84">
        <v>1</v>
      </c>
      <c r="M29" s="84">
        <v>0</v>
      </c>
      <c r="N29" s="85">
        <v>0</v>
      </c>
      <c r="O29" s="84" t="s">
        <v>3321</v>
      </c>
      <c r="P29" s="84"/>
      <c r="Q29" s="84" t="s">
        <v>3321</v>
      </c>
    </row>
    <row r="30" spans="1:17" s="108" customFormat="1" ht="15" customHeight="1">
      <c r="A30" s="93" t="s">
        <v>3383</v>
      </c>
      <c r="B30" s="79">
        <v>35</v>
      </c>
      <c r="C30" s="80" t="s">
        <v>31</v>
      </c>
      <c r="D30" s="80">
        <v>0</v>
      </c>
      <c r="E30" s="81">
        <v>0</v>
      </c>
      <c r="F30" s="80">
        <v>0</v>
      </c>
      <c r="G30" s="82">
        <f t="shared" ref="G30:G61" si="0">IF(COUNTA(D30:F30)=0, "", IF(SUM(D30:F30)&gt;1, 1, 0))</f>
        <v>0</v>
      </c>
      <c r="H30" s="83"/>
      <c r="I30" s="83"/>
      <c r="J30" s="84"/>
      <c r="K30" s="84">
        <v>0</v>
      </c>
      <c r="L30" s="84">
        <v>0</v>
      </c>
      <c r="M30" s="84">
        <v>0</v>
      </c>
      <c r="N30" s="85">
        <v>0</v>
      </c>
      <c r="O30" s="84"/>
      <c r="P30" s="84"/>
      <c r="Q30" s="84"/>
    </row>
    <row r="31" spans="1:17" s="108" customFormat="1" ht="15" customHeight="1">
      <c r="A31" s="93" t="s">
        <v>3383</v>
      </c>
      <c r="B31" s="79">
        <v>36</v>
      </c>
      <c r="C31" s="80" t="s">
        <v>32</v>
      </c>
      <c r="D31" s="80">
        <v>0</v>
      </c>
      <c r="E31" s="81">
        <v>0</v>
      </c>
      <c r="F31" s="80">
        <v>1</v>
      </c>
      <c r="G31" s="82">
        <f t="shared" si="0"/>
        <v>0</v>
      </c>
      <c r="H31" s="83"/>
      <c r="I31" s="83"/>
      <c r="J31" s="84"/>
      <c r="K31" s="84">
        <v>0</v>
      </c>
      <c r="L31" s="84">
        <v>0</v>
      </c>
      <c r="M31" s="84">
        <v>1</v>
      </c>
      <c r="N31" s="85">
        <v>0</v>
      </c>
      <c r="O31" s="84"/>
      <c r="P31" s="84"/>
      <c r="Q31" s="84"/>
    </row>
    <row r="32" spans="1:17" s="108" customFormat="1" ht="15" customHeight="1">
      <c r="A32" s="93" t="s">
        <v>3383</v>
      </c>
      <c r="B32" s="79">
        <v>37</v>
      </c>
      <c r="C32" s="80" t="s">
        <v>33</v>
      </c>
      <c r="D32" s="80">
        <v>0</v>
      </c>
      <c r="E32" s="81">
        <v>0</v>
      </c>
      <c r="F32" s="80">
        <v>0</v>
      </c>
      <c r="G32" s="82">
        <f t="shared" si="0"/>
        <v>0</v>
      </c>
      <c r="H32" s="83"/>
      <c r="I32" s="83"/>
      <c r="J32" s="84"/>
      <c r="K32" s="84">
        <v>0</v>
      </c>
      <c r="L32" s="84">
        <v>0</v>
      </c>
      <c r="M32" s="84">
        <v>0</v>
      </c>
      <c r="N32" s="85">
        <v>0</v>
      </c>
      <c r="O32" s="84"/>
      <c r="P32" s="84"/>
      <c r="Q32" s="84"/>
    </row>
    <row r="33" spans="1:17" s="108" customFormat="1" ht="15" customHeight="1">
      <c r="A33" s="93" t="s">
        <v>3383</v>
      </c>
      <c r="B33" s="79">
        <v>39</v>
      </c>
      <c r="C33" s="80" t="s">
        <v>35</v>
      </c>
      <c r="D33" s="80">
        <v>0</v>
      </c>
      <c r="E33" s="81">
        <v>0</v>
      </c>
      <c r="F33" s="80">
        <v>0</v>
      </c>
      <c r="G33" s="82">
        <f t="shared" si="0"/>
        <v>0</v>
      </c>
      <c r="H33" s="83"/>
      <c r="I33" s="83"/>
      <c r="J33" s="84"/>
      <c r="K33" s="84">
        <v>0</v>
      </c>
      <c r="L33" s="84">
        <v>0</v>
      </c>
      <c r="M33" s="84">
        <v>0</v>
      </c>
      <c r="N33" s="85">
        <v>0</v>
      </c>
      <c r="O33" s="84"/>
      <c r="P33" s="84"/>
      <c r="Q33" s="84"/>
    </row>
    <row r="34" spans="1:17" s="108" customFormat="1" ht="15" customHeight="1">
      <c r="A34" s="93" t="s">
        <v>3383</v>
      </c>
      <c r="B34" s="79">
        <v>40</v>
      </c>
      <c r="C34" s="80" t="s">
        <v>36</v>
      </c>
      <c r="D34" s="80">
        <v>0</v>
      </c>
      <c r="E34" s="81">
        <v>0</v>
      </c>
      <c r="F34" s="80">
        <v>1</v>
      </c>
      <c r="G34" s="82">
        <f t="shared" si="0"/>
        <v>0</v>
      </c>
      <c r="H34" s="83"/>
      <c r="I34" s="83"/>
      <c r="J34" s="84"/>
      <c r="K34" s="84">
        <v>0</v>
      </c>
      <c r="L34" s="84">
        <v>0</v>
      </c>
      <c r="M34" s="84">
        <v>1</v>
      </c>
      <c r="N34" s="85">
        <v>0</v>
      </c>
      <c r="O34" s="84"/>
      <c r="P34" s="84"/>
      <c r="Q34" s="84"/>
    </row>
    <row r="35" spans="1:17" s="108" customFormat="1" ht="15" customHeight="1">
      <c r="A35" s="93" t="s">
        <v>3383</v>
      </c>
      <c r="B35" s="79">
        <v>43</v>
      </c>
      <c r="C35" s="80" t="s">
        <v>39</v>
      </c>
      <c r="D35" s="80">
        <v>0</v>
      </c>
      <c r="E35" s="81">
        <v>0</v>
      </c>
      <c r="F35" s="80">
        <v>0</v>
      </c>
      <c r="G35" s="82">
        <f t="shared" si="0"/>
        <v>0</v>
      </c>
      <c r="H35" s="83"/>
      <c r="I35" s="83"/>
      <c r="J35" s="84"/>
      <c r="K35" s="84">
        <v>0</v>
      </c>
      <c r="L35" s="84">
        <v>0</v>
      </c>
      <c r="M35" s="84">
        <v>0</v>
      </c>
      <c r="N35" s="85">
        <v>0</v>
      </c>
      <c r="O35" s="84"/>
      <c r="P35" s="84"/>
      <c r="Q35" s="84"/>
    </row>
    <row r="36" spans="1:17" s="108" customFormat="1" ht="15" customHeight="1">
      <c r="A36" s="93" t="s">
        <v>3383</v>
      </c>
      <c r="B36" s="79">
        <v>44</v>
      </c>
      <c r="C36" s="80" t="s">
        <v>40</v>
      </c>
      <c r="D36" s="80">
        <v>0</v>
      </c>
      <c r="E36" s="81">
        <v>0</v>
      </c>
      <c r="F36" s="80">
        <v>0</v>
      </c>
      <c r="G36" s="82">
        <f t="shared" si="0"/>
        <v>0</v>
      </c>
      <c r="H36" s="83"/>
      <c r="I36" s="83"/>
      <c r="J36" s="84"/>
      <c r="K36" s="84">
        <v>0</v>
      </c>
      <c r="L36" s="84">
        <v>0</v>
      </c>
      <c r="M36" s="84">
        <v>0</v>
      </c>
      <c r="N36" s="85">
        <v>0</v>
      </c>
      <c r="O36" s="84"/>
      <c r="P36" s="84"/>
      <c r="Q36" s="84"/>
    </row>
    <row r="37" spans="1:17" s="108" customFormat="1" ht="15" customHeight="1">
      <c r="A37" s="93" t="s">
        <v>3383</v>
      </c>
      <c r="B37" s="79">
        <v>78</v>
      </c>
      <c r="C37" s="80" t="s">
        <v>48</v>
      </c>
      <c r="D37" s="80">
        <v>0</v>
      </c>
      <c r="E37" s="81">
        <v>0</v>
      </c>
      <c r="F37" s="80">
        <v>0</v>
      </c>
      <c r="G37" s="82">
        <f t="shared" si="0"/>
        <v>0</v>
      </c>
      <c r="H37" s="83"/>
      <c r="I37" s="83"/>
      <c r="J37" s="84"/>
      <c r="K37" s="84">
        <v>0</v>
      </c>
      <c r="L37" s="84">
        <v>0</v>
      </c>
      <c r="M37" s="84">
        <v>0</v>
      </c>
      <c r="N37" s="85">
        <v>0</v>
      </c>
      <c r="O37" s="84"/>
      <c r="P37" s="84"/>
      <c r="Q37" s="84"/>
    </row>
    <row r="38" spans="1:17" s="108" customFormat="1" ht="15" customHeight="1">
      <c r="A38" s="93" t="s">
        <v>3383</v>
      </c>
      <c r="B38" s="79">
        <v>79</v>
      </c>
      <c r="C38" s="80" t="s">
        <v>49</v>
      </c>
      <c r="D38" s="80">
        <v>0</v>
      </c>
      <c r="E38" s="81">
        <v>0</v>
      </c>
      <c r="F38" s="80">
        <v>0</v>
      </c>
      <c r="G38" s="82">
        <f t="shared" si="0"/>
        <v>0</v>
      </c>
      <c r="H38" s="83"/>
      <c r="I38" s="83"/>
      <c r="J38" s="84"/>
      <c r="K38" s="84">
        <v>0</v>
      </c>
      <c r="L38" s="84">
        <v>0</v>
      </c>
      <c r="M38" s="84">
        <v>0</v>
      </c>
      <c r="N38" s="85">
        <v>0</v>
      </c>
      <c r="O38" s="84"/>
      <c r="P38" s="84"/>
      <c r="Q38" s="84"/>
    </row>
    <row r="39" spans="1:17" s="108" customFormat="1" ht="15" customHeight="1">
      <c r="A39" s="93" t="s">
        <v>3383</v>
      </c>
      <c r="B39" s="79">
        <v>81</v>
      </c>
      <c r="C39" s="80" t="s">
        <v>52</v>
      </c>
      <c r="D39" s="80">
        <v>0</v>
      </c>
      <c r="E39" s="81">
        <v>0</v>
      </c>
      <c r="F39" s="80">
        <v>0</v>
      </c>
      <c r="G39" s="82">
        <f t="shared" si="0"/>
        <v>0</v>
      </c>
      <c r="H39" s="83"/>
      <c r="I39" s="83"/>
      <c r="J39" s="84"/>
      <c r="K39" s="84">
        <v>0</v>
      </c>
      <c r="L39" s="84">
        <v>0</v>
      </c>
      <c r="M39" s="84">
        <v>0</v>
      </c>
      <c r="N39" s="85">
        <v>0</v>
      </c>
      <c r="O39" s="84"/>
      <c r="P39" s="84"/>
      <c r="Q39" s="84"/>
    </row>
    <row r="40" spans="1:17" s="108" customFormat="1" ht="15" customHeight="1">
      <c r="A40" s="93" t="s">
        <v>3383</v>
      </c>
      <c r="B40" s="79">
        <v>84</v>
      </c>
      <c r="C40" s="80" t="s">
        <v>55</v>
      </c>
      <c r="D40" s="80">
        <v>0</v>
      </c>
      <c r="E40" s="81">
        <v>0</v>
      </c>
      <c r="F40" s="80">
        <v>1</v>
      </c>
      <c r="G40" s="82">
        <f t="shared" si="0"/>
        <v>0</v>
      </c>
      <c r="H40" s="83"/>
      <c r="I40" s="83"/>
      <c r="J40" s="84"/>
      <c r="K40" s="84">
        <v>0</v>
      </c>
      <c r="L40" s="84">
        <v>0</v>
      </c>
      <c r="M40" s="84">
        <v>1</v>
      </c>
      <c r="N40" s="85">
        <v>0</v>
      </c>
      <c r="O40" s="84"/>
      <c r="P40" s="84"/>
      <c r="Q40" s="84"/>
    </row>
    <row r="41" spans="1:17" s="108" customFormat="1" ht="15" customHeight="1">
      <c r="A41" s="93" t="s">
        <v>3383</v>
      </c>
      <c r="B41" s="79">
        <v>85</v>
      </c>
      <c r="C41" s="80" t="s">
        <v>56</v>
      </c>
      <c r="D41" s="80">
        <v>0</v>
      </c>
      <c r="E41" s="81">
        <v>0</v>
      </c>
      <c r="F41" s="80">
        <v>0</v>
      </c>
      <c r="G41" s="82">
        <f t="shared" si="0"/>
        <v>0</v>
      </c>
      <c r="H41" s="83"/>
      <c r="I41" s="83"/>
      <c r="J41" s="84"/>
      <c r="K41" s="84">
        <v>0</v>
      </c>
      <c r="L41" s="84">
        <v>0</v>
      </c>
      <c r="M41" s="84">
        <v>0</v>
      </c>
      <c r="N41" s="85">
        <v>0</v>
      </c>
      <c r="O41" s="84"/>
      <c r="P41" s="84"/>
      <c r="Q41" s="84"/>
    </row>
    <row r="42" spans="1:17" s="108" customFormat="1" ht="15" customHeight="1">
      <c r="A42" s="93" t="s">
        <v>3383</v>
      </c>
      <c r="B42" s="79">
        <v>86</v>
      </c>
      <c r="C42" s="80" t="s">
        <v>57</v>
      </c>
      <c r="D42" s="80">
        <v>0</v>
      </c>
      <c r="E42" s="81">
        <v>0</v>
      </c>
      <c r="F42" s="80">
        <v>1</v>
      </c>
      <c r="G42" s="82">
        <f t="shared" si="0"/>
        <v>0</v>
      </c>
      <c r="H42" s="83"/>
      <c r="I42" s="83"/>
      <c r="J42" s="84"/>
      <c r="K42" s="84">
        <v>0</v>
      </c>
      <c r="L42" s="84">
        <v>0</v>
      </c>
      <c r="M42" s="84">
        <v>1</v>
      </c>
      <c r="N42" s="85">
        <v>0</v>
      </c>
      <c r="O42" s="84"/>
      <c r="P42" s="84"/>
      <c r="Q42" s="84"/>
    </row>
    <row r="43" spans="1:17" s="108" customFormat="1" ht="15" customHeight="1">
      <c r="A43" s="93" t="s">
        <v>3383</v>
      </c>
      <c r="B43" s="79">
        <v>87</v>
      </c>
      <c r="C43" s="80" t="s">
        <v>59</v>
      </c>
      <c r="D43" s="80">
        <v>0</v>
      </c>
      <c r="E43" s="81">
        <v>0</v>
      </c>
      <c r="F43" s="80">
        <v>1</v>
      </c>
      <c r="G43" s="82">
        <f t="shared" si="0"/>
        <v>0</v>
      </c>
      <c r="H43" s="83"/>
      <c r="I43" s="83"/>
      <c r="J43" s="84"/>
      <c r="K43" s="84">
        <v>0</v>
      </c>
      <c r="L43" s="84">
        <v>0</v>
      </c>
      <c r="M43" s="84">
        <v>1</v>
      </c>
      <c r="N43" s="85">
        <v>0</v>
      </c>
      <c r="O43" s="84"/>
      <c r="P43" s="84"/>
      <c r="Q43" s="84"/>
    </row>
    <row r="44" spans="1:17" s="108" customFormat="1" ht="15" customHeight="1">
      <c r="A44" s="93" t="s">
        <v>3383</v>
      </c>
      <c r="B44" s="79">
        <v>88</v>
      </c>
      <c r="C44" s="80" t="s">
        <v>60</v>
      </c>
      <c r="D44" s="80">
        <v>0</v>
      </c>
      <c r="E44" s="81">
        <v>0</v>
      </c>
      <c r="F44" s="80">
        <v>0</v>
      </c>
      <c r="G44" s="82">
        <f t="shared" si="0"/>
        <v>0</v>
      </c>
      <c r="H44" s="83"/>
      <c r="I44" s="83"/>
      <c r="J44" s="84"/>
      <c r="K44" s="84">
        <v>0</v>
      </c>
      <c r="L44" s="84">
        <v>0</v>
      </c>
      <c r="M44" s="84">
        <v>0</v>
      </c>
      <c r="N44" s="85">
        <v>0</v>
      </c>
      <c r="O44" s="84"/>
      <c r="P44" s="84"/>
      <c r="Q44" s="84"/>
    </row>
    <row r="45" spans="1:17" s="108" customFormat="1" ht="15" customHeight="1">
      <c r="A45" s="93" t="s">
        <v>3383</v>
      </c>
      <c r="B45" s="79">
        <v>89</v>
      </c>
      <c r="C45" s="80" t="s">
        <v>61</v>
      </c>
      <c r="D45" s="80">
        <v>0</v>
      </c>
      <c r="E45" s="81">
        <v>0</v>
      </c>
      <c r="F45" s="80">
        <v>1</v>
      </c>
      <c r="G45" s="82">
        <f t="shared" si="0"/>
        <v>0</v>
      </c>
      <c r="H45" s="83"/>
      <c r="I45" s="83"/>
      <c r="J45" s="84"/>
      <c r="K45" s="84">
        <v>0</v>
      </c>
      <c r="L45" s="84">
        <v>0</v>
      </c>
      <c r="M45" s="84">
        <v>1</v>
      </c>
      <c r="N45" s="85">
        <v>0</v>
      </c>
      <c r="O45" s="84"/>
      <c r="P45" s="84"/>
      <c r="Q45" s="84"/>
    </row>
    <row r="46" spans="1:17" s="108" customFormat="1" ht="15" customHeight="1">
      <c r="A46" s="93" t="s">
        <v>3383</v>
      </c>
      <c r="B46" s="79">
        <v>90</v>
      </c>
      <c r="C46" s="80" t="s">
        <v>62</v>
      </c>
      <c r="D46" s="80">
        <v>0</v>
      </c>
      <c r="E46" s="81">
        <v>0</v>
      </c>
      <c r="F46" s="80">
        <v>0</v>
      </c>
      <c r="G46" s="82">
        <f t="shared" si="0"/>
        <v>0</v>
      </c>
      <c r="H46" s="83"/>
      <c r="I46" s="83"/>
      <c r="J46" s="84"/>
      <c r="K46" s="84">
        <v>0</v>
      </c>
      <c r="L46" s="84">
        <v>0</v>
      </c>
      <c r="M46" s="84">
        <v>0</v>
      </c>
      <c r="N46" s="85">
        <v>0</v>
      </c>
      <c r="O46" s="84"/>
      <c r="P46" s="84"/>
      <c r="Q46" s="84"/>
    </row>
    <row r="47" spans="1:17" s="108" customFormat="1" ht="15" customHeight="1">
      <c r="A47" s="93" t="s">
        <v>3383</v>
      </c>
      <c r="B47" s="79">
        <v>124</v>
      </c>
      <c r="C47" s="80" t="s">
        <v>35</v>
      </c>
      <c r="D47" s="80">
        <v>0</v>
      </c>
      <c r="E47" s="81">
        <v>0</v>
      </c>
      <c r="F47" s="80">
        <v>0</v>
      </c>
      <c r="G47" s="82">
        <f t="shared" si="0"/>
        <v>0</v>
      </c>
      <c r="H47" s="83"/>
      <c r="I47" s="83"/>
      <c r="J47" s="84"/>
      <c r="K47" s="84">
        <v>0</v>
      </c>
      <c r="L47" s="84">
        <v>0</v>
      </c>
      <c r="M47" s="84">
        <v>0</v>
      </c>
      <c r="N47" s="85">
        <v>0</v>
      </c>
      <c r="O47" s="84"/>
      <c r="P47" s="84"/>
      <c r="Q47" s="84"/>
    </row>
    <row r="48" spans="1:17" s="108" customFormat="1" ht="15" customHeight="1">
      <c r="A48" s="93" t="s">
        <v>3383</v>
      </c>
      <c r="B48" s="79">
        <v>125</v>
      </c>
      <c r="C48" s="80" t="s">
        <v>70</v>
      </c>
      <c r="D48" s="80">
        <v>0</v>
      </c>
      <c r="E48" s="81">
        <v>0</v>
      </c>
      <c r="F48" s="80">
        <v>0</v>
      </c>
      <c r="G48" s="82">
        <f t="shared" si="0"/>
        <v>0</v>
      </c>
      <c r="H48" s="83"/>
      <c r="I48" s="83"/>
      <c r="J48" s="84"/>
      <c r="K48" s="84">
        <v>0</v>
      </c>
      <c r="L48" s="84">
        <v>0</v>
      </c>
      <c r="M48" s="84">
        <v>0</v>
      </c>
      <c r="N48" s="85">
        <v>0</v>
      </c>
      <c r="O48" s="84"/>
      <c r="P48" s="84"/>
      <c r="Q48" s="84"/>
    </row>
    <row r="49" spans="1:17" s="108" customFormat="1" ht="15" customHeight="1">
      <c r="A49" s="93" t="s">
        <v>3383</v>
      </c>
      <c r="B49" s="79">
        <v>126</v>
      </c>
      <c r="C49" s="80" t="s">
        <v>39</v>
      </c>
      <c r="D49" s="80">
        <v>0</v>
      </c>
      <c r="E49" s="81">
        <v>0</v>
      </c>
      <c r="F49" s="80">
        <v>0</v>
      </c>
      <c r="G49" s="82">
        <f t="shared" si="0"/>
        <v>0</v>
      </c>
      <c r="H49" s="83"/>
      <c r="I49" s="83"/>
      <c r="J49" s="84"/>
      <c r="K49" s="84">
        <v>0</v>
      </c>
      <c r="L49" s="84">
        <v>0</v>
      </c>
      <c r="M49" s="84">
        <v>0</v>
      </c>
      <c r="N49" s="85">
        <v>0</v>
      </c>
      <c r="O49" s="84"/>
      <c r="P49" s="84"/>
      <c r="Q49" s="84"/>
    </row>
    <row r="50" spans="1:17" s="108" customFormat="1" ht="15" customHeight="1">
      <c r="A50" s="93" t="s">
        <v>3383</v>
      </c>
      <c r="B50" s="79">
        <v>127</v>
      </c>
      <c r="C50" s="80" t="s">
        <v>72</v>
      </c>
      <c r="D50" s="80">
        <v>0</v>
      </c>
      <c r="E50" s="81">
        <v>0</v>
      </c>
      <c r="F50" s="80">
        <v>0</v>
      </c>
      <c r="G50" s="82">
        <f t="shared" si="0"/>
        <v>0</v>
      </c>
      <c r="H50" s="83"/>
      <c r="I50" s="83"/>
      <c r="J50" s="84"/>
      <c r="K50" s="84">
        <v>0</v>
      </c>
      <c r="L50" s="84">
        <v>0</v>
      </c>
      <c r="M50" s="84">
        <v>0</v>
      </c>
      <c r="N50" s="85">
        <v>0</v>
      </c>
      <c r="O50" s="84"/>
      <c r="P50" s="84"/>
      <c r="Q50" s="84"/>
    </row>
    <row r="51" spans="1:17" s="108" customFormat="1" ht="15" customHeight="1">
      <c r="A51" s="93" t="s">
        <v>3383</v>
      </c>
      <c r="B51" s="79">
        <v>129</v>
      </c>
      <c r="C51" s="80" t="s">
        <v>74</v>
      </c>
      <c r="D51" s="80">
        <v>0</v>
      </c>
      <c r="E51" s="81">
        <v>1</v>
      </c>
      <c r="F51" s="80">
        <v>0</v>
      </c>
      <c r="G51" s="82">
        <f t="shared" si="0"/>
        <v>0</v>
      </c>
      <c r="H51" s="83"/>
      <c r="I51" s="83"/>
      <c r="J51" s="84"/>
      <c r="K51" s="84">
        <v>0</v>
      </c>
      <c r="L51" s="84">
        <v>1</v>
      </c>
      <c r="M51" s="84">
        <v>0</v>
      </c>
      <c r="N51" s="85">
        <v>0</v>
      </c>
      <c r="O51" s="84"/>
      <c r="P51" s="84"/>
      <c r="Q51" s="84"/>
    </row>
    <row r="52" spans="1:17" s="108" customFormat="1" ht="15" customHeight="1">
      <c r="A52" s="93" t="s">
        <v>3383</v>
      </c>
      <c r="B52" s="79">
        <v>130</v>
      </c>
      <c r="C52" s="80" t="s">
        <v>75</v>
      </c>
      <c r="D52" s="80">
        <v>0</v>
      </c>
      <c r="E52" s="81">
        <v>0</v>
      </c>
      <c r="F52" s="80">
        <v>0</v>
      </c>
      <c r="G52" s="82">
        <f t="shared" si="0"/>
        <v>0</v>
      </c>
      <c r="H52" s="83"/>
      <c r="I52" s="83"/>
      <c r="J52" s="84"/>
      <c r="K52" s="84">
        <v>0</v>
      </c>
      <c r="L52" s="84">
        <v>0</v>
      </c>
      <c r="M52" s="84">
        <v>0</v>
      </c>
      <c r="N52" s="85">
        <v>0</v>
      </c>
      <c r="O52" s="84"/>
      <c r="P52" s="84"/>
      <c r="Q52" s="84"/>
    </row>
    <row r="53" spans="1:17" s="108" customFormat="1" ht="15" customHeight="1">
      <c r="A53" s="93" t="s">
        <v>3383</v>
      </c>
      <c r="B53" s="79">
        <v>132</v>
      </c>
      <c r="C53" s="80" t="s">
        <v>77</v>
      </c>
      <c r="D53" s="80">
        <v>0</v>
      </c>
      <c r="E53" s="81">
        <v>0</v>
      </c>
      <c r="F53" s="80">
        <v>0</v>
      </c>
      <c r="G53" s="82">
        <f t="shared" si="0"/>
        <v>0</v>
      </c>
      <c r="H53" s="83"/>
      <c r="I53" s="83"/>
      <c r="J53" s="84"/>
      <c r="K53" s="84">
        <v>0</v>
      </c>
      <c r="L53" s="84">
        <v>0</v>
      </c>
      <c r="M53" s="84">
        <v>0</v>
      </c>
      <c r="N53" s="85">
        <v>0</v>
      </c>
      <c r="O53" s="84"/>
      <c r="P53" s="84"/>
      <c r="Q53" s="84"/>
    </row>
    <row r="54" spans="1:17" s="108" customFormat="1" ht="15" customHeight="1">
      <c r="A54" s="93" t="s">
        <v>3383</v>
      </c>
      <c r="B54" s="79">
        <v>133</v>
      </c>
      <c r="C54" s="80" t="s">
        <v>78</v>
      </c>
      <c r="D54" s="80">
        <v>0</v>
      </c>
      <c r="E54" s="81">
        <v>1</v>
      </c>
      <c r="F54" s="80">
        <v>0</v>
      </c>
      <c r="G54" s="82">
        <f t="shared" si="0"/>
        <v>0</v>
      </c>
      <c r="H54" s="83"/>
      <c r="I54" s="83"/>
      <c r="J54" s="84"/>
      <c r="K54" s="84">
        <v>0</v>
      </c>
      <c r="L54" s="84">
        <v>1</v>
      </c>
      <c r="M54" s="84">
        <v>0</v>
      </c>
      <c r="N54" s="85">
        <v>0</v>
      </c>
      <c r="O54" s="84"/>
      <c r="P54" s="84"/>
      <c r="Q54" s="84"/>
    </row>
    <row r="55" spans="1:17" s="108" customFormat="1" ht="15" customHeight="1">
      <c r="A55" s="93" t="s">
        <v>3383</v>
      </c>
      <c r="B55" s="79">
        <v>169</v>
      </c>
      <c r="C55" s="80" t="s">
        <v>89</v>
      </c>
      <c r="D55" s="80">
        <v>1</v>
      </c>
      <c r="E55" s="81">
        <v>0</v>
      </c>
      <c r="F55" s="80">
        <v>0</v>
      </c>
      <c r="G55" s="82">
        <f t="shared" si="0"/>
        <v>0</v>
      </c>
      <c r="H55" s="83"/>
      <c r="I55" s="83"/>
      <c r="J55" s="84"/>
      <c r="K55" s="84">
        <v>1</v>
      </c>
      <c r="L55" s="84">
        <v>0</v>
      </c>
      <c r="M55" s="84">
        <v>0</v>
      </c>
      <c r="N55" s="85">
        <v>0</v>
      </c>
      <c r="O55" s="84"/>
      <c r="P55" s="84"/>
      <c r="Q55" s="84"/>
    </row>
    <row r="56" spans="1:17" s="108" customFormat="1" ht="15" customHeight="1">
      <c r="A56" s="93" t="s">
        <v>3383</v>
      </c>
      <c r="B56" s="79">
        <v>170</v>
      </c>
      <c r="C56" s="80" t="s">
        <v>90</v>
      </c>
      <c r="D56" s="80">
        <v>0</v>
      </c>
      <c r="E56" s="81">
        <v>0</v>
      </c>
      <c r="F56" s="80">
        <v>0</v>
      </c>
      <c r="G56" s="82">
        <f t="shared" si="0"/>
        <v>0</v>
      </c>
      <c r="H56" s="83"/>
      <c r="I56" s="83"/>
      <c r="J56" s="84"/>
      <c r="K56" s="84">
        <v>0</v>
      </c>
      <c r="L56" s="84">
        <v>0</v>
      </c>
      <c r="M56" s="84">
        <v>0</v>
      </c>
      <c r="N56" s="85">
        <v>0</v>
      </c>
      <c r="O56" s="84"/>
      <c r="P56" s="84"/>
      <c r="Q56" s="84"/>
    </row>
    <row r="57" spans="1:17" s="108" customFormat="1" ht="15" customHeight="1">
      <c r="A57" s="93" t="s">
        <v>3383</v>
      </c>
      <c r="B57" s="79">
        <v>174</v>
      </c>
      <c r="C57" s="80" t="s">
        <v>94</v>
      </c>
      <c r="D57" s="80">
        <v>0</v>
      </c>
      <c r="E57" s="81">
        <v>0</v>
      </c>
      <c r="F57" s="80">
        <v>0</v>
      </c>
      <c r="G57" s="82">
        <f t="shared" si="0"/>
        <v>0</v>
      </c>
      <c r="H57" s="83"/>
      <c r="I57" s="83"/>
      <c r="J57" s="84"/>
      <c r="K57" s="84">
        <v>0</v>
      </c>
      <c r="L57" s="84">
        <v>0</v>
      </c>
      <c r="M57" s="84">
        <v>0</v>
      </c>
      <c r="N57" s="85">
        <v>0</v>
      </c>
      <c r="O57" s="84"/>
      <c r="P57" s="84"/>
      <c r="Q57" s="84"/>
    </row>
    <row r="58" spans="1:17" s="108" customFormat="1" ht="15" customHeight="1">
      <c r="A58" s="93" t="s">
        <v>3383</v>
      </c>
      <c r="B58" s="79">
        <v>175</v>
      </c>
      <c r="C58" s="80" t="s">
        <v>95</v>
      </c>
      <c r="D58" s="80">
        <v>0</v>
      </c>
      <c r="E58" s="81">
        <v>0</v>
      </c>
      <c r="F58" s="80">
        <v>0</v>
      </c>
      <c r="G58" s="82">
        <f t="shared" si="0"/>
        <v>0</v>
      </c>
      <c r="H58" s="83"/>
      <c r="I58" s="83"/>
      <c r="J58" s="84"/>
      <c r="K58" s="84">
        <v>0</v>
      </c>
      <c r="L58" s="84">
        <v>0</v>
      </c>
      <c r="M58" s="84">
        <v>0</v>
      </c>
      <c r="N58" s="85">
        <v>0</v>
      </c>
      <c r="O58" s="84"/>
      <c r="P58" s="84"/>
      <c r="Q58" s="84"/>
    </row>
    <row r="59" spans="1:17" s="108" customFormat="1" ht="15" customHeight="1">
      <c r="A59" s="93" t="s">
        <v>3383</v>
      </c>
      <c r="B59" s="79">
        <v>177</v>
      </c>
      <c r="C59" s="80" t="s">
        <v>97</v>
      </c>
      <c r="D59" s="80">
        <v>0</v>
      </c>
      <c r="E59" s="81">
        <v>0</v>
      </c>
      <c r="F59" s="80">
        <v>1</v>
      </c>
      <c r="G59" s="82">
        <f t="shared" si="0"/>
        <v>0</v>
      </c>
      <c r="H59" s="83"/>
      <c r="I59" s="83"/>
      <c r="J59" s="84"/>
      <c r="K59" s="84">
        <v>0</v>
      </c>
      <c r="L59" s="84">
        <v>0</v>
      </c>
      <c r="M59" s="84">
        <v>1</v>
      </c>
      <c r="N59" s="85">
        <v>0</v>
      </c>
      <c r="O59" s="84"/>
      <c r="P59" s="84"/>
      <c r="Q59" s="84"/>
    </row>
    <row r="60" spans="1:17" s="108" customFormat="1" ht="15" customHeight="1">
      <c r="A60" s="93" t="s">
        <v>3383</v>
      </c>
      <c r="B60" s="79">
        <v>178</v>
      </c>
      <c r="C60" s="80" t="s">
        <v>98</v>
      </c>
      <c r="D60" s="80">
        <v>0</v>
      </c>
      <c r="E60" s="81">
        <v>0</v>
      </c>
      <c r="F60" s="80">
        <v>0</v>
      </c>
      <c r="G60" s="82">
        <f t="shared" si="0"/>
        <v>0</v>
      </c>
      <c r="H60" s="83"/>
      <c r="I60" s="83"/>
      <c r="J60" s="84"/>
      <c r="K60" s="84">
        <v>0</v>
      </c>
      <c r="L60" s="84">
        <v>0</v>
      </c>
      <c r="M60" s="84">
        <v>0</v>
      </c>
      <c r="N60" s="85">
        <v>0</v>
      </c>
      <c r="O60" s="84"/>
      <c r="P60" s="84"/>
      <c r="Q60" s="84"/>
    </row>
    <row r="61" spans="1:17" s="108" customFormat="1" ht="15" customHeight="1">
      <c r="A61" s="94" t="s">
        <v>3383</v>
      </c>
      <c r="B61" s="95">
        <v>179</v>
      </c>
      <c r="C61" s="96" t="s">
        <v>99</v>
      </c>
      <c r="D61" s="96">
        <v>0</v>
      </c>
      <c r="E61" s="97">
        <v>0</v>
      </c>
      <c r="F61" s="96">
        <v>1</v>
      </c>
      <c r="G61" s="98">
        <f t="shared" si="0"/>
        <v>0</v>
      </c>
      <c r="H61" s="99"/>
      <c r="I61" s="99"/>
      <c r="J61" s="100"/>
      <c r="K61" s="100">
        <v>0</v>
      </c>
      <c r="L61" s="100">
        <v>0</v>
      </c>
      <c r="M61" s="100">
        <v>1</v>
      </c>
      <c r="N61" s="101">
        <v>0</v>
      </c>
      <c r="O61" s="100"/>
      <c r="P61" s="100"/>
      <c r="Q61" s="102"/>
    </row>
  </sheetData>
  <mergeCells count="1">
    <mergeCell ref="A1:C1"/>
  </mergeCells>
  <conditionalFormatting sqref="B2:B61">
    <cfRule type="duplicateValues" dxfId="9" priority="1"/>
  </conditionalFormatting>
  <hyperlinks>
    <hyperlink ref="C6" r:id="rId1" xr:uid="{290A497E-7F11-451D-A2E2-6F479E36B86F}"/>
    <hyperlink ref="D6" r:id="rId2" xr:uid="{A5158985-AAE9-4A2B-B4E0-F839F081397D}"/>
    <hyperlink ref="C10" r:id="rId3" xr:uid="{67D2B0B1-D1D3-41FE-9D04-FABE355E90E3}"/>
    <hyperlink ref="D10" r:id="rId4" xr:uid="{2527F5C7-53FD-4E26-BE79-0D7BA801413A}"/>
    <hyperlink ref="C13" r:id="rId5" xr:uid="{45A7C0DA-98D5-4097-A1E0-30B34911E7BE}"/>
    <hyperlink ref="D13" r:id="rId6" xr:uid="{FD515F1E-2C94-4D0F-AE15-2E4C7D2201A6}"/>
    <hyperlink ref="C19" r:id="rId7" xr:uid="{F3D131A5-1236-4FF4-B5B3-B738B321B1DD}"/>
    <hyperlink ref="D19" r:id="rId8" xr:uid="{47EA2F68-11F6-4F89-B221-2AD90C16B819}"/>
    <hyperlink ref="C21" r:id="rId9" xr:uid="{E4F7CA1A-83E4-4281-A412-3680F8725D6E}"/>
    <hyperlink ref="D21" r:id="rId10" xr:uid="{D311A5E6-898F-4967-86B9-28E38C911189}"/>
    <hyperlink ref="C27" r:id="rId11" xr:uid="{CC0CB93A-BC68-4C0C-9CED-FC8B9B6A63A1}"/>
    <hyperlink ref="D27" r:id="rId12" xr:uid="{416AA56D-2398-495E-9F1C-1B881B5622DD}"/>
    <hyperlink ref="C29" r:id="rId13" xr:uid="{C6E54853-7894-4680-B45D-9EDE2E1B6827}"/>
    <hyperlink ref="D29" r:id="rId14" xr:uid="{4662E7ED-27CF-41F9-A9C9-D22C2DDECB53}"/>
    <hyperlink ref="C3" r:id="rId15" xr:uid="{0A461F97-A697-4856-AA45-DE8212604FE7}"/>
    <hyperlink ref="D3" r:id="rId16" xr:uid="{6BE141C6-C770-4EB2-AD25-0B3C1FB70889}"/>
    <hyperlink ref="C5" r:id="rId17" xr:uid="{7C257C3D-60CD-47AE-88CA-E9AF8045E954}"/>
    <hyperlink ref="D5" r:id="rId18" xr:uid="{509D7A7A-2248-41DD-B18A-2FFCCF379514}"/>
    <hyperlink ref="C8" r:id="rId19" xr:uid="{ACEE6282-8C13-4BBE-A59A-E531A0322503}"/>
    <hyperlink ref="D8" r:id="rId20" xr:uid="{54C694B7-6537-40C7-A43A-C0E6E5692B24}"/>
    <hyperlink ref="C12" r:id="rId21" xr:uid="{9FB1155C-7A4C-4473-ACED-0E2259C4B2A8}"/>
    <hyperlink ref="D12" r:id="rId22" xr:uid="{A46FA5E4-178A-4F94-BC15-0417198D5B80}"/>
    <hyperlink ref="C15" r:id="rId23" xr:uid="{C6EAFBDD-4B91-4386-A528-9521E5B7B3BE}"/>
    <hyperlink ref="D15" r:id="rId24" xr:uid="{F3C1B8DA-5645-4528-8F2E-0218C5C27A77}"/>
    <hyperlink ref="C17" r:id="rId25" xr:uid="{528C7741-564E-4764-A760-7D66242B4654}"/>
    <hyperlink ref="D17" r:id="rId26" xr:uid="{21682E38-A55E-4E05-9348-BD6EDAC71149}"/>
    <hyperlink ref="C23" r:id="rId27" xr:uid="{4381BBD9-3FF5-4BFE-9DD7-C7B163F2D6FA}"/>
    <hyperlink ref="D23" r:id="rId28" xr:uid="{1D606671-2855-4EDD-86F7-3FCB0BD752F4}"/>
    <hyperlink ref="C25" r:id="rId29" xr:uid="{8554D951-046C-4A6C-983F-B29C88EDE8CA}"/>
    <hyperlink ref="D25" r:id="rId30" xr:uid="{C696294E-BACA-4D8F-8CDC-450272E5D271}"/>
    <hyperlink ref="C30" r:id="rId31" xr:uid="{7508874A-2390-4198-A12C-DBE1BB15E115}"/>
    <hyperlink ref="C31" r:id="rId32" xr:uid="{18B0C8DB-6F22-4A6D-8676-E0464428CE49}"/>
    <hyperlink ref="C32" r:id="rId33" xr:uid="{1707FECE-64A0-4497-B0E0-EB73746939ED}"/>
    <hyperlink ref="C4" r:id="rId34" xr:uid="{853A0352-9D1E-4E67-A7A7-D213F3D70B03}"/>
    <hyperlink ref="C33" r:id="rId35" xr:uid="{02737D4A-7429-4FB6-9AE3-018F5F2745D1}"/>
    <hyperlink ref="C34" r:id="rId36" xr:uid="{1AAF62BB-620E-44FB-B35B-6E44634825A1}"/>
    <hyperlink ref="C7" r:id="rId37" xr:uid="{F1F5E7E4-A8DD-4898-BE57-18ED62EFDE4C}"/>
    <hyperlink ref="C35" r:id="rId38" xr:uid="{AA88D96A-48B7-4771-88F2-39E5EE3E6727}"/>
    <hyperlink ref="C36" r:id="rId39" xr:uid="{25AC3B44-AD46-4901-BA41-F302F540AE97}"/>
    <hyperlink ref="C9" r:id="rId40" xr:uid="{89332757-0655-40BE-931E-64206C238961}"/>
    <hyperlink ref="C11" r:id="rId41" xr:uid="{B962C0BA-929D-4574-B975-21D069BCE2D6}"/>
    <hyperlink ref="C37" r:id="rId42" xr:uid="{28618E83-54FB-4E2B-8BAD-90B3B072F670}"/>
    <hyperlink ref="C38" r:id="rId43" xr:uid="{6864C5F0-B366-4723-8590-932503E310C9}"/>
    <hyperlink ref="C14" r:id="rId44" xr:uid="{D16357E3-F129-4AFC-8750-CDCFCE8D377B}"/>
    <hyperlink ref="C39" r:id="rId45" xr:uid="{4C2B285C-4ADF-4A17-A8D3-915755C3A097}"/>
    <hyperlink ref="C16" r:id="rId46" xr:uid="{7A07C4B7-3165-4D46-8B36-3A6B2A75D93A}"/>
    <hyperlink ref="C18" r:id="rId47" xr:uid="{CF81EE52-97EF-429B-980F-4F6A066E3C2A}"/>
    <hyperlink ref="C40" r:id="rId48" xr:uid="{9B1F445D-61C7-49F2-B176-9D8B04276C0C}"/>
    <hyperlink ref="C41" r:id="rId49" xr:uid="{72049F13-9238-4084-B096-0220B552421D}"/>
    <hyperlink ref="C42" r:id="rId50" xr:uid="{EB244F6D-9EA4-4A1F-BA7B-D8D7CCA37ED1}"/>
    <hyperlink ref="C43" r:id="rId51" xr:uid="{05AB92B8-358A-418C-942A-02E2D6FC992A}"/>
    <hyperlink ref="C44" r:id="rId52" xr:uid="{4969D44B-057D-4BF7-823A-0844C6CF2A30}"/>
    <hyperlink ref="C45" r:id="rId53" xr:uid="{2CD2FF89-D71C-40C9-9F1B-3EDAADD1783C}"/>
    <hyperlink ref="C46" r:id="rId54" xr:uid="{248DFD5A-0393-407A-B768-A36A66B1C342}"/>
    <hyperlink ref="C20" r:id="rId55" xr:uid="{1392D61C-3BAF-4E2F-92DF-360AAF19F268}"/>
    <hyperlink ref="C47" r:id="rId56" xr:uid="{8D409327-04DA-47D5-9C99-BF28C3ED2F71}"/>
    <hyperlink ref="C48" r:id="rId57" xr:uid="{26CF1D08-3D5F-4456-AB3E-3D31B7D35986}"/>
    <hyperlink ref="C49" r:id="rId58" xr:uid="{3903A99F-B5D9-438F-A6E8-FEE9D4D89E65}"/>
    <hyperlink ref="C50" r:id="rId59" xr:uid="{99553621-4E3B-4195-A535-EFBEBE9ED626}"/>
    <hyperlink ref="C51" r:id="rId60" xr:uid="{CF2D0D3D-C95F-4A89-B83B-E7F64F82543C}"/>
    <hyperlink ref="C52" r:id="rId61" xr:uid="{8431F518-5AD8-4198-A214-D953AD32B6A4}"/>
    <hyperlink ref="C22" r:id="rId62" xr:uid="{EA39F3E3-4FC7-4A61-BDB3-D8FA9EEAB4CB}"/>
    <hyperlink ref="C53" r:id="rId63" xr:uid="{FDD3C5BE-978F-475F-8EDA-78E243A111A2}"/>
    <hyperlink ref="C54" r:id="rId64" xr:uid="{E4DDE828-9B1B-40B0-ABB3-28024588FE11}"/>
    <hyperlink ref="C24" r:id="rId65" xr:uid="{27F568EE-7D28-4C5F-9375-C1BDDE7D9716}"/>
    <hyperlink ref="C26" r:id="rId66" xr:uid="{ABC32399-F39C-4896-83A1-4D0A2D7B2E4F}"/>
    <hyperlink ref="C55" r:id="rId67" xr:uid="{5A3447AA-87B0-414E-B91D-E365CDB1373A}"/>
    <hyperlink ref="C56" r:id="rId68" xr:uid="{D630856F-71DD-4A5E-A654-EF5B8C7548AA}"/>
    <hyperlink ref="C57" r:id="rId69" xr:uid="{A840D01A-137F-4BD5-85C9-235BA6C41746}"/>
    <hyperlink ref="C58" r:id="rId70" xr:uid="{B4B819E4-DDAD-49C1-B98D-BF4D27A9F039}"/>
    <hyperlink ref="C28" r:id="rId71" xr:uid="{AE427975-D203-4836-9986-FE005F376657}"/>
    <hyperlink ref="C59" r:id="rId72" xr:uid="{FA1D238E-17BB-4387-9975-D4822E89A19E}"/>
    <hyperlink ref="C60" r:id="rId73" xr:uid="{D9E0938A-D474-4CD3-B864-C1A360BD09A4}"/>
    <hyperlink ref="C61" r:id="rId74" xr:uid="{6D1C5E79-6244-419A-B5B2-FDF2CB8C1737}"/>
  </hyperlinks>
  <pageMargins left="0.7" right="0.7" top="0.75" bottom="0.75" header="0.3" footer="0.3"/>
  <tableParts count="1">
    <tablePart r:id="rId7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C270E-2941-4319-9EF4-27797DD17D85}">
  <sheetPr codeName="Sheet27"/>
  <dimension ref="A1:G63"/>
  <sheetViews>
    <sheetView topLeftCell="A22" workbookViewId="0">
      <selection activeCell="N48" sqref="N48"/>
    </sheetView>
  </sheetViews>
  <sheetFormatPr defaultRowHeight="14.5"/>
  <cols>
    <col min="3" max="3" width="48.7265625" bestFit="1" customWidth="1"/>
    <col min="4" max="6" width="10" customWidth="1"/>
    <col min="7" max="7" width="13.453125" customWidth="1"/>
  </cols>
  <sheetData>
    <row r="1" spans="1:7">
      <c r="A1" t="s">
        <v>3382</v>
      </c>
      <c r="B1" s="25" t="s">
        <v>0</v>
      </c>
      <c r="C1" s="25" t="s">
        <v>1</v>
      </c>
      <c r="D1" s="25" t="s">
        <v>9</v>
      </c>
      <c r="E1" s="25" t="s">
        <v>10</v>
      </c>
      <c r="F1" s="25" t="s">
        <v>11</v>
      </c>
      <c r="G1" s="8" t="s">
        <v>3322</v>
      </c>
    </row>
    <row r="2" spans="1:7">
      <c r="B2" s="31">
        <v>35</v>
      </c>
      <c r="C2" s="29" t="s">
        <v>31</v>
      </c>
      <c r="D2" s="34">
        <v>0</v>
      </c>
      <c r="E2" s="34">
        <v>0</v>
      </c>
      <c r="F2" s="34">
        <v>0</v>
      </c>
      <c r="G2" s="69">
        <f t="shared" ref="G2:G33" si="0">IF(COUNTA(D2:F2)=0, "", IF(SUM(D2:F2)&gt;1, 1, 0))</f>
        <v>0</v>
      </c>
    </row>
    <row r="3" spans="1:7">
      <c r="B3" s="31">
        <v>36</v>
      </c>
      <c r="C3" s="29" t="s">
        <v>32</v>
      </c>
      <c r="D3" s="34">
        <v>0</v>
      </c>
      <c r="E3" s="34">
        <v>0</v>
      </c>
      <c r="F3" s="34">
        <v>1</v>
      </c>
      <c r="G3" s="69">
        <f t="shared" si="0"/>
        <v>0</v>
      </c>
    </row>
    <row r="4" spans="1:7">
      <c r="B4" s="31">
        <v>37</v>
      </c>
      <c r="C4" s="29" t="s">
        <v>33</v>
      </c>
      <c r="D4" s="34">
        <v>0</v>
      </c>
      <c r="E4" s="34">
        <v>0</v>
      </c>
      <c r="F4" s="34">
        <v>0</v>
      </c>
      <c r="G4" s="70">
        <f t="shared" si="0"/>
        <v>0</v>
      </c>
    </row>
    <row r="5" spans="1:7">
      <c r="B5" s="31">
        <v>38</v>
      </c>
      <c r="C5" s="29" t="s">
        <v>34</v>
      </c>
      <c r="D5" s="34">
        <v>0</v>
      </c>
      <c r="E5" s="34">
        <v>0</v>
      </c>
      <c r="F5" s="34">
        <v>0</v>
      </c>
      <c r="G5" s="70">
        <f t="shared" si="0"/>
        <v>0</v>
      </c>
    </row>
    <row r="6" spans="1:7">
      <c r="A6" t="s">
        <v>3383</v>
      </c>
      <c r="B6" s="31">
        <v>39</v>
      </c>
      <c r="C6" s="29" t="s">
        <v>35</v>
      </c>
      <c r="D6" s="34">
        <v>0</v>
      </c>
      <c r="E6" s="34">
        <v>0</v>
      </c>
      <c r="F6" s="34">
        <v>0</v>
      </c>
      <c r="G6" s="70">
        <f t="shared" si="0"/>
        <v>0</v>
      </c>
    </row>
    <row r="7" spans="1:7">
      <c r="A7" t="s">
        <v>3383</v>
      </c>
      <c r="B7" s="31">
        <v>40</v>
      </c>
      <c r="C7" s="29" t="s">
        <v>36</v>
      </c>
      <c r="D7" s="34">
        <v>0</v>
      </c>
      <c r="E7" s="34">
        <v>0</v>
      </c>
      <c r="F7" s="34">
        <v>1</v>
      </c>
      <c r="G7" s="70">
        <f t="shared" si="0"/>
        <v>0</v>
      </c>
    </row>
    <row r="8" spans="1:7">
      <c r="A8" t="s">
        <v>3383</v>
      </c>
      <c r="B8" s="31">
        <v>41</v>
      </c>
      <c r="C8" s="29" t="s">
        <v>37</v>
      </c>
      <c r="D8" s="34">
        <v>0</v>
      </c>
      <c r="E8" s="34">
        <v>0</v>
      </c>
      <c r="F8" s="34">
        <v>0</v>
      </c>
      <c r="G8" s="70">
        <f t="shared" si="0"/>
        <v>0</v>
      </c>
    </row>
    <row r="9" spans="1:7">
      <c r="A9" t="s">
        <v>3383</v>
      </c>
      <c r="B9" s="31">
        <v>43</v>
      </c>
      <c r="C9" s="29" t="s">
        <v>39</v>
      </c>
      <c r="D9" s="34">
        <v>0</v>
      </c>
      <c r="E9" s="34">
        <v>0</v>
      </c>
      <c r="F9" s="34">
        <v>0</v>
      </c>
      <c r="G9" s="70">
        <f t="shared" si="0"/>
        <v>0</v>
      </c>
    </row>
    <row r="10" spans="1:7">
      <c r="A10" t="s">
        <v>3383</v>
      </c>
      <c r="B10" s="31">
        <v>44</v>
      </c>
      <c r="C10" s="29" t="s">
        <v>40</v>
      </c>
      <c r="D10" s="34">
        <v>0</v>
      </c>
      <c r="E10" s="34">
        <v>0</v>
      </c>
      <c r="F10" s="34">
        <v>0</v>
      </c>
      <c r="G10" s="70">
        <f t="shared" si="0"/>
        <v>0</v>
      </c>
    </row>
    <row r="11" spans="1:7">
      <c r="A11" t="s">
        <v>3383</v>
      </c>
      <c r="B11" s="31">
        <v>76</v>
      </c>
      <c r="C11" s="29" t="s">
        <v>45</v>
      </c>
      <c r="D11" s="34">
        <v>0</v>
      </c>
      <c r="E11" s="34">
        <v>0</v>
      </c>
      <c r="F11" s="34">
        <v>0</v>
      </c>
      <c r="G11" s="70">
        <f t="shared" si="0"/>
        <v>0</v>
      </c>
    </row>
    <row r="12" spans="1:7">
      <c r="A12" t="s">
        <v>3383</v>
      </c>
      <c r="B12" s="31">
        <v>77</v>
      </c>
      <c r="C12" s="29" t="s">
        <v>47</v>
      </c>
      <c r="D12" s="34">
        <v>0</v>
      </c>
      <c r="E12" s="34">
        <v>0</v>
      </c>
      <c r="F12" s="34">
        <v>0</v>
      </c>
      <c r="G12" s="70">
        <f t="shared" si="0"/>
        <v>0</v>
      </c>
    </row>
    <row r="13" spans="1:7">
      <c r="A13" t="s">
        <v>3383</v>
      </c>
      <c r="B13" s="31">
        <v>78</v>
      </c>
      <c r="C13" s="29" t="s">
        <v>48</v>
      </c>
      <c r="D13" s="34">
        <v>0</v>
      </c>
      <c r="E13" s="34">
        <v>0</v>
      </c>
      <c r="F13" s="34">
        <v>0</v>
      </c>
      <c r="G13" s="70">
        <f t="shared" si="0"/>
        <v>0</v>
      </c>
    </row>
    <row r="14" spans="1:7">
      <c r="A14" t="s">
        <v>3383</v>
      </c>
      <c r="B14" s="31">
        <v>79</v>
      </c>
      <c r="C14" s="29" t="s">
        <v>49</v>
      </c>
      <c r="D14" s="34">
        <v>0</v>
      </c>
      <c r="E14" s="34">
        <v>0</v>
      </c>
      <c r="F14" s="34">
        <v>0</v>
      </c>
      <c r="G14" s="70">
        <f t="shared" si="0"/>
        <v>0</v>
      </c>
    </row>
    <row r="15" spans="1:7">
      <c r="A15" t="s">
        <v>3383</v>
      </c>
      <c r="B15" s="31">
        <v>80</v>
      </c>
      <c r="C15" s="29" t="s">
        <v>50</v>
      </c>
      <c r="D15" s="34">
        <v>0</v>
      </c>
      <c r="E15" s="34">
        <v>0</v>
      </c>
      <c r="F15" s="34">
        <v>0</v>
      </c>
      <c r="G15" s="70">
        <f t="shared" si="0"/>
        <v>0</v>
      </c>
    </row>
    <row r="16" spans="1:7" ht="15" thickBot="1">
      <c r="A16" t="s">
        <v>3383</v>
      </c>
      <c r="B16" s="40">
        <v>81</v>
      </c>
      <c r="C16" s="38" t="s">
        <v>52</v>
      </c>
      <c r="D16" s="42">
        <v>0</v>
      </c>
      <c r="E16" s="42">
        <v>0</v>
      </c>
      <c r="F16" s="42">
        <v>0</v>
      </c>
      <c r="G16" s="70">
        <f t="shared" si="0"/>
        <v>0</v>
      </c>
    </row>
    <row r="17" spans="1:7">
      <c r="A17" t="s">
        <v>3383</v>
      </c>
      <c r="B17" s="31">
        <v>82</v>
      </c>
      <c r="C17" s="29" t="s">
        <v>53</v>
      </c>
      <c r="D17" s="34">
        <v>0</v>
      </c>
      <c r="E17" s="34">
        <v>0</v>
      </c>
      <c r="F17" s="34">
        <v>0</v>
      </c>
      <c r="G17" s="70">
        <f t="shared" si="0"/>
        <v>0</v>
      </c>
    </row>
    <row r="18" spans="1:7">
      <c r="A18" t="s">
        <v>3383</v>
      </c>
      <c r="B18" s="31">
        <v>83</v>
      </c>
      <c r="C18" s="29" t="s">
        <v>54</v>
      </c>
      <c r="D18" s="34">
        <v>0</v>
      </c>
      <c r="E18" s="34">
        <v>0</v>
      </c>
      <c r="F18" s="34">
        <v>0</v>
      </c>
      <c r="G18" s="70">
        <f t="shared" si="0"/>
        <v>0</v>
      </c>
    </row>
    <row r="19" spans="1:7">
      <c r="A19" t="s">
        <v>3383</v>
      </c>
      <c r="B19" s="31">
        <v>84</v>
      </c>
      <c r="C19" s="29" t="s">
        <v>55</v>
      </c>
      <c r="D19" s="34">
        <v>0</v>
      </c>
      <c r="E19" s="34">
        <v>0</v>
      </c>
      <c r="F19" s="34">
        <v>1</v>
      </c>
      <c r="G19" s="70">
        <f t="shared" si="0"/>
        <v>0</v>
      </c>
    </row>
    <row r="20" spans="1:7">
      <c r="A20" t="s">
        <v>3383</v>
      </c>
      <c r="B20" s="31">
        <v>85</v>
      </c>
      <c r="C20" s="29" t="s">
        <v>56</v>
      </c>
      <c r="D20" s="34">
        <v>0</v>
      </c>
      <c r="E20" s="34">
        <v>0</v>
      </c>
      <c r="F20" s="34">
        <v>0</v>
      </c>
      <c r="G20" s="70">
        <f t="shared" si="0"/>
        <v>0</v>
      </c>
    </row>
    <row r="21" spans="1:7">
      <c r="A21" t="s">
        <v>3383</v>
      </c>
      <c r="B21" s="31">
        <v>86</v>
      </c>
      <c r="C21" s="29" t="s">
        <v>57</v>
      </c>
      <c r="D21" s="34">
        <v>0</v>
      </c>
      <c r="E21" s="34">
        <v>0</v>
      </c>
      <c r="F21" s="34">
        <v>1</v>
      </c>
      <c r="G21" s="70">
        <f t="shared" si="0"/>
        <v>0</v>
      </c>
    </row>
    <row r="22" spans="1:7">
      <c r="A22" t="s">
        <v>3383</v>
      </c>
      <c r="B22" s="31">
        <v>87</v>
      </c>
      <c r="C22" s="29" t="s">
        <v>59</v>
      </c>
      <c r="D22" s="34">
        <v>0</v>
      </c>
      <c r="E22" s="34">
        <v>0</v>
      </c>
      <c r="F22" s="34">
        <v>1</v>
      </c>
      <c r="G22" s="70">
        <f t="shared" si="0"/>
        <v>0</v>
      </c>
    </row>
    <row r="23" spans="1:7">
      <c r="A23" t="s">
        <v>3383</v>
      </c>
      <c r="B23" s="31">
        <v>88</v>
      </c>
      <c r="C23" s="29" t="s">
        <v>60</v>
      </c>
      <c r="D23" s="34">
        <v>0</v>
      </c>
      <c r="E23" s="34">
        <v>0</v>
      </c>
      <c r="F23" s="34">
        <v>0</v>
      </c>
      <c r="G23" s="70">
        <f t="shared" si="0"/>
        <v>0</v>
      </c>
    </row>
    <row r="24" spans="1:7">
      <c r="A24" t="s">
        <v>3383</v>
      </c>
      <c r="B24" s="31">
        <v>89</v>
      </c>
      <c r="C24" s="29" t="s">
        <v>61</v>
      </c>
      <c r="D24" s="34">
        <v>0</v>
      </c>
      <c r="E24" s="34">
        <v>0</v>
      </c>
      <c r="F24" s="34">
        <v>1</v>
      </c>
      <c r="G24" s="70">
        <f t="shared" si="0"/>
        <v>0</v>
      </c>
    </row>
    <row r="25" spans="1:7">
      <c r="A25" t="s">
        <v>3383</v>
      </c>
      <c r="B25" s="31">
        <v>90</v>
      </c>
      <c r="C25" s="29" t="s">
        <v>62</v>
      </c>
      <c r="D25" s="34">
        <v>0</v>
      </c>
      <c r="E25" s="34">
        <v>0</v>
      </c>
      <c r="F25" s="34">
        <v>0</v>
      </c>
      <c r="G25" s="70">
        <f t="shared" si="0"/>
        <v>0</v>
      </c>
    </row>
    <row r="26" spans="1:7">
      <c r="A26" t="s">
        <v>3383</v>
      </c>
      <c r="B26" s="31">
        <v>122</v>
      </c>
      <c r="C26" s="29" t="s">
        <v>68</v>
      </c>
      <c r="D26" s="34">
        <v>1</v>
      </c>
      <c r="E26" s="34">
        <v>0</v>
      </c>
      <c r="F26" s="34">
        <v>0</v>
      </c>
      <c r="G26" s="70">
        <f t="shared" si="0"/>
        <v>0</v>
      </c>
    </row>
    <row r="27" spans="1:7">
      <c r="A27" t="s">
        <v>3383</v>
      </c>
      <c r="B27" s="31">
        <v>124</v>
      </c>
      <c r="C27" s="29" t="s">
        <v>35</v>
      </c>
      <c r="D27" s="34">
        <v>0</v>
      </c>
      <c r="E27" s="34">
        <v>0</v>
      </c>
      <c r="F27" s="34">
        <v>0</v>
      </c>
      <c r="G27" s="70">
        <f t="shared" si="0"/>
        <v>0</v>
      </c>
    </row>
    <row r="28" spans="1:7">
      <c r="A28" t="s">
        <v>3383</v>
      </c>
      <c r="B28" s="31">
        <v>125</v>
      </c>
      <c r="C28" s="29" t="s">
        <v>70</v>
      </c>
      <c r="D28" s="34">
        <v>0</v>
      </c>
      <c r="E28" s="34">
        <v>0</v>
      </c>
      <c r="F28" s="34">
        <v>0</v>
      </c>
      <c r="G28" s="69">
        <f t="shared" si="0"/>
        <v>0</v>
      </c>
    </row>
    <row r="29" spans="1:7">
      <c r="A29" t="s">
        <v>3383</v>
      </c>
      <c r="B29" s="31">
        <v>126</v>
      </c>
      <c r="C29" s="29" t="s">
        <v>39</v>
      </c>
      <c r="D29" s="34">
        <v>0</v>
      </c>
      <c r="E29" s="34">
        <v>0</v>
      </c>
      <c r="F29" s="34">
        <v>0</v>
      </c>
      <c r="G29" s="70">
        <f t="shared" si="0"/>
        <v>0</v>
      </c>
    </row>
    <row r="30" spans="1:7">
      <c r="A30" t="s">
        <v>3383</v>
      </c>
      <c r="B30" s="31">
        <v>127</v>
      </c>
      <c r="C30" s="29" t="s">
        <v>72</v>
      </c>
      <c r="D30" s="34">
        <v>0</v>
      </c>
      <c r="E30" s="34">
        <v>0</v>
      </c>
      <c r="F30" s="34">
        <v>0</v>
      </c>
      <c r="G30" s="69">
        <f t="shared" si="0"/>
        <v>0</v>
      </c>
    </row>
    <row r="31" spans="1:7" ht="15" thickBot="1">
      <c r="A31" t="s">
        <v>3383</v>
      </c>
      <c r="B31" s="40">
        <v>129</v>
      </c>
      <c r="C31" s="38" t="s">
        <v>74</v>
      </c>
      <c r="D31" s="42">
        <v>0</v>
      </c>
      <c r="E31" s="42">
        <v>1</v>
      </c>
      <c r="F31" s="42">
        <v>0</v>
      </c>
      <c r="G31" s="70">
        <f t="shared" si="0"/>
        <v>0</v>
      </c>
    </row>
    <row r="32" spans="1:7">
      <c r="A32" t="s">
        <v>3383</v>
      </c>
      <c r="B32" s="31">
        <v>130</v>
      </c>
      <c r="C32" s="29" t="s">
        <v>75</v>
      </c>
      <c r="D32" s="34">
        <v>0</v>
      </c>
      <c r="E32" s="34">
        <v>0</v>
      </c>
      <c r="F32" s="34">
        <v>0</v>
      </c>
      <c r="G32" s="70">
        <f t="shared" si="0"/>
        <v>0</v>
      </c>
    </row>
    <row r="33" spans="1:7">
      <c r="A33" t="s">
        <v>3383</v>
      </c>
      <c r="B33" s="31">
        <v>131</v>
      </c>
      <c r="C33" s="29" t="s">
        <v>76</v>
      </c>
      <c r="D33" s="34">
        <v>0</v>
      </c>
      <c r="E33" s="34">
        <v>0</v>
      </c>
      <c r="F33" s="34">
        <v>0</v>
      </c>
      <c r="G33" s="70">
        <f t="shared" si="0"/>
        <v>0</v>
      </c>
    </row>
    <row r="34" spans="1:7">
      <c r="A34" t="s">
        <v>3383</v>
      </c>
      <c r="B34" s="31">
        <v>132</v>
      </c>
      <c r="C34" s="29" t="s">
        <v>77</v>
      </c>
      <c r="D34" s="34">
        <v>0</v>
      </c>
      <c r="E34" s="34">
        <v>0</v>
      </c>
      <c r="F34" s="34">
        <v>0</v>
      </c>
      <c r="G34" s="70">
        <f t="shared" ref="G34:G61" si="1">IF(COUNTA(D34:F34)=0, "", IF(SUM(D34:F34)&gt;1, 1, 0))</f>
        <v>0</v>
      </c>
    </row>
    <row r="35" spans="1:7">
      <c r="A35" t="s">
        <v>3383</v>
      </c>
      <c r="B35" s="31">
        <v>133</v>
      </c>
      <c r="C35" s="29" t="s">
        <v>78</v>
      </c>
      <c r="D35" s="34">
        <v>0</v>
      </c>
      <c r="E35" s="34">
        <v>1</v>
      </c>
      <c r="F35" s="34">
        <v>0</v>
      </c>
      <c r="G35" s="70">
        <f t="shared" si="1"/>
        <v>0</v>
      </c>
    </row>
    <row r="36" spans="1:7">
      <c r="A36" t="s">
        <v>3383</v>
      </c>
      <c r="B36" s="31">
        <v>134</v>
      </c>
      <c r="C36" s="29" t="s">
        <v>79</v>
      </c>
      <c r="D36" s="34">
        <v>0</v>
      </c>
      <c r="E36" s="34">
        <v>0</v>
      </c>
      <c r="F36" s="34">
        <v>0</v>
      </c>
      <c r="G36" s="70">
        <f t="shared" si="1"/>
        <v>0</v>
      </c>
    </row>
    <row r="37" spans="1:7">
      <c r="A37" t="s">
        <v>3383</v>
      </c>
      <c r="B37" s="31">
        <v>166</v>
      </c>
      <c r="C37" s="29" t="s">
        <v>85</v>
      </c>
      <c r="D37" s="34">
        <v>0</v>
      </c>
      <c r="E37" s="34">
        <v>0</v>
      </c>
      <c r="F37" s="34">
        <v>0</v>
      </c>
      <c r="G37" s="70">
        <f t="shared" si="1"/>
        <v>0</v>
      </c>
    </row>
    <row r="38" spans="1:7">
      <c r="A38" t="s">
        <v>3383</v>
      </c>
      <c r="B38" s="31">
        <v>169</v>
      </c>
      <c r="C38" s="29" t="s">
        <v>89</v>
      </c>
      <c r="D38" s="34">
        <v>1</v>
      </c>
      <c r="E38" s="34">
        <v>0</v>
      </c>
      <c r="F38" s="34">
        <v>0</v>
      </c>
      <c r="G38" s="70">
        <f t="shared" si="1"/>
        <v>0</v>
      </c>
    </row>
    <row r="39" spans="1:7">
      <c r="A39" t="s">
        <v>3383</v>
      </c>
      <c r="B39" s="31">
        <v>170</v>
      </c>
      <c r="C39" s="29" t="s">
        <v>90</v>
      </c>
      <c r="D39" s="34">
        <v>0</v>
      </c>
      <c r="E39" s="34">
        <v>0</v>
      </c>
      <c r="F39" s="34">
        <v>0</v>
      </c>
      <c r="G39" s="70">
        <f t="shared" si="1"/>
        <v>0</v>
      </c>
    </row>
    <row r="40" spans="1:7">
      <c r="A40" t="s">
        <v>3383</v>
      </c>
      <c r="B40" s="31">
        <v>174</v>
      </c>
      <c r="C40" s="29" t="s">
        <v>94</v>
      </c>
      <c r="D40" s="34">
        <v>0</v>
      </c>
      <c r="E40" s="34">
        <v>0</v>
      </c>
      <c r="F40" s="34">
        <v>0</v>
      </c>
      <c r="G40" s="70">
        <f t="shared" si="1"/>
        <v>0</v>
      </c>
    </row>
    <row r="41" spans="1:7">
      <c r="A41" t="s">
        <v>3383</v>
      </c>
      <c r="B41" s="31">
        <v>175</v>
      </c>
      <c r="C41" s="29" t="s">
        <v>95</v>
      </c>
      <c r="D41" s="34">
        <v>0</v>
      </c>
      <c r="E41" s="34">
        <v>0</v>
      </c>
      <c r="F41" s="34">
        <v>0</v>
      </c>
      <c r="G41" s="70">
        <f t="shared" si="1"/>
        <v>0</v>
      </c>
    </row>
    <row r="42" spans="1:7">
      <c r="A42" t="s">
        <v>3383</v>
      </c>
      <c r="B42" s="31">
        <v>176</v>
      </c>
      <c r="C42" s="29" t="s">
        <v>96</v>
      </c>
      <c r="D42" s="34">
        <v>1</v>
      </c>
      <c r="E42" s="34">
        <v>0</v>
      </c>
      <c r="F42" s="34">
        <v>0</v>
      </c>
      <c r="G42" s="70">
        <f t="shared" si="1"/>
        <v>0</v>
      </c>
    </row>
    <row r="43" spans="1:7">
      <c r="A43" t="s">
        <v>3383</v>
      </c>
      <c r="B43" s="31">
        <v>177</v>
      </c>
      <c r="C43" s="29" t="s">
        <v>97</v>
      </c>
      <c r="D43" s="34">
        <v>0</v>
      </c>
      <c r="E43" s="34">
        <v>0</v>
      </c>
      <c r="F43" s="34">
        <v>1</v>
      </c>
      <c r="G43" s="70">
        <f t="shared" si="1"/>
        <v>0</v>
      </c>
    </row>
    <row r="44" spans="1:7">
      <c r="A44" t="s">
        <v>3383</v>
      </c>
      <c r="B44" s="31">
        <v>178</v>
      </c>
      <c r="C44" s="29" t="s">
        <v>98</v>
      </c>
      <c r="D44" s="34">
        <v>0</v>
      </c>
      <c r="E44" s="34">
        <v>0</v>
      </c>
      <c r="F44" s="34">
        <v>0</v>
      </c>
      <c r="G44" s="70">
        <f t="shared" si="1"/>
        <v>0</v>
      </c>
    </row>
    <row r="45" spans="1:7">
      <c r="A45" t="s">
        <v>3383</v>
      </c>
      <c r="B45" s="31">
        <v>179</v>
      </c>
      <c r="C45" s="29" t="s">
        <v>99</v>
      </c>
      <c r="D45" s="34">
        <v>0</v>
      </c>
      <c r="E45" s="34">
        <v>0</v>
      </c>
      <c r="F45" s="34">
        <v>1</v>
      </c>
      <c r="G45" s="70">
        <f t="shared" si="1"/>
        <v>0</v>
      </c>
    </row>
    <row r="46" spans="1:7" ht="15" thickBot="1">
      <c r="A46" t="s">
        <v>3383</v>
      </c>
      <c r="B46" s="40">
        <v>31</v>
      </c>
      <c r="C46" s="38" t="s">
        <v>25</v>
      </c>
      <c r="D46" s="42">
        <v>0</v>
      </c>
      <c r="E46" s="42">
        <v>1</v>
      </c>
      <c r="F46" s="42">
        <v>1</v>
      </c>
      <c r="G46" s="69">
        <f t="shared" si="1"/>
        <v>1</v>
      </c>
    </row>
    <row r="47" spans="1:7">
      <c r="A47" t="s">
        <v>3383</v>
      </c>
      <c r="B47" s="31">
        <v>32</v>
      </c>
      <c r="C47" s="29" t="s">
        <v>28</v>
      </c>
      <c r="D47" s="34">
        <v>1</v>
      </c>
      <c r="E47" s="34">
        <v>1</v>
      </c>
      <c r="F47" s="34">
        <v>1</v>
      </c>
      <c r="G47" s="69">
        <f t="shared" si="1"/>
        <v>1</v>
      </c>
    </row>
    <row r="48" spans="1:7">
      <c r="A48" t="s">
        <v>3383</v>
      </c>
      <c r="B48" s="31">
        <v>33</v>
      </c>
      <c r="C48" s="29" t="s">
        <v>29</v>
      </c>
      <c r="D48" s="34">
        <v>1</v>
      </c>
      <c r="E48" s="34">
        <v>1</v>
      </c>
      <c r="F48" s="34">
        <v>0</v>
      </c>
      <c r="G48" s="70">
        <f t="shared" si="1"/>
        <v>1</v>
      </c>
    </row>
    <row r="49" spans="1:7">
      <c r="A49" t="s">
        <v>3383</v>
      </c>
      <c r="B49" s="31">
        <v>34</v>
      </c>
      <c r="C49" s="29" t="s">
        <v>30</v>
      </c>
      <c r="D49" s="34">
        <v>1</v>
      </c>
      <c r="E49" s="34">
        <v>1</v>
      </c>
      <c r="F49" s="34">
        <v>1</v>
      </c>
      <c r="G49" s="69">
        <f t="shared" si="1"/>
        <v>1</v>
      </c>
    </row>
    <row r="50" spans="1:7">
      <c r="A50" t="s">
        <v>3383</v>
      </c>
      <c r="B50" s="31">
        <v>42</v>
      </c>
      <c r="C50" s="29" t="s">
        <v>38</v>
      </c>
      <c r="D50" s="34">
        <v>0</v>
      </c>
      <c r="E50" s="34">
        <v>1</v>
      </c>
      <c r="F50" s="34">
        <v>1</v>
      </c>
      <c r="G50" s="69">
        <f t="shared" si="1"/>
        <v>1</v>
      </c>
    </row>
    <row r="51" spans="1:7">
      <c r="A51" t="s">
        <v>3383</v>
      </c>
      <c r="B51" s="31">
        <v>45</v>
      </c>
      <c r="C51" s="29" t="s">
        <v>41</v>
      </c>
      <c r="D51" s="34">
        <v>1</v>
      </c>
      <c r="E51" s="34">
        <v>0</v>
      </c>
      <c r="F51" s="34">
        <v>1</v>
      </c>
      <c r="G51" s="70">
        <f t="shared" si="1"/>
        <v>1</v>
      </c>
    </row>
    <row r="52" spans="1:7">
      <c r="A52" t="s">
        <v>3383</v>
      </c>
      <c r="B52" s="31">
        <v>121</v>
      </c>
      <c r="C52" s="29" t="s">
        <v>66</v>
      </c>
      <c r="D52" s="34">
        <v>1</v>
      </c>
      <c r="E52" s="34">
        <v>1</v>
      </c>
      <c r="F52" s="34">
        <v>1</v>
      </c>
      <c r="G52" s="69">
        <f t="shared" si="1"/>
        <v>1</v>
      </c>
    </row>
    <row r="53" spans="1:7">
      <c r="A53" t="s">
        <v>3383</v>
      </c>
      <c r="B53" s="31">
        <v>123</v>
      </c>
      <c r="C53" s="29" t="s">
        <v>69</v>
      </c>
      <c r="D53" s="34">
        <v>0</v>
      </c>
      <c r="E53" s="34">
        <v>1</v>
      </c>
      <c r="F53" s="34">
        <v>1</v>
      </c>
      <c r="G53" s="69">
        <f t="shared" si="1"/>
        <v>1</v>
      </c>
    </row>
    <row r="54" spans="1:7">
      <c r="A54" t="s">
        <v>3383</v>
      </c>
      <c r="B54" s="31">
        <v>128</v>
      </c>
      <c r="C54" s="29" t="s">
        <v>73</v>
      </c>
      <c r="D54" s="34">
        <v>1</v>
      </c>
      <c r="E54" s="34">
        <v>1</v>
      </c>
      <c r="F54" s="34">
        <v>1</v>
      </c>
      <c r="G54" s="69">
        <f t="shared" si="1"/>
        <v>1</v>
      </c>
    </row>
    <row r="55" spans="1:7">
      <c r="A55" t="s">
        <v>3383</v>
      </c>
      <c r="B55" s="31">
        <v>135</v>
      </c>
      <c r="C55" s="29" t="s">
        <v>80</v>
      </c>
      <c r="D55" s="34">
        <v>1</v>
      </c>
      <c r="E55" s="34">
        <v>1</v>
      </c>
      <c r="F55" s="34">
        <v>1</v>
      </c>
      <c r="G55" s="69">
        <f t="shared" si="1"/>
        <v>1</v>
      </c>
    </row>
    <row r="56" spans="1:7">
      <c r="A56" t="s">
        <v>3383</v>
      </c>
      <c r="B56" s="31">
        <v>167</v>
      </c>
      <c r="C56" s="29" t="s">
        <v>87</v>
      </c>
      <c r="D56" s="34">
        <v>1</v>
      </c>
      <c r="E56" s="34">
        <v>0</v>
      </c>
      <c r="F56" s="34">
        <v>1</v>
      </c>
      <c r="G56" s="70">
        <f t="shared" si="1"/>
        <v>1</v>
      </c>
    </row>
    <row r="57" spans="1:7">
      <c r="A57" t="s">
        <v>3383</v>
      </c>
      <c r="B57" s="31">
        <v>168</v>
      </c>
      <c r="C57" s="29" t="s">
        <v>88</v>
      </c>
      <c r="D57" s="34">
        <v>1</v>
      </c>
      <c r="E57" s="34">
        <v>1</v>
      </c>
      <c r="F57" s="34">
        <v>1</v>
      </c>
      <c r="G57" s="69">
        <f t="shared" si="1"/>
        <v>1</v>
      </c>
    </row>
    <row r="58" spans="1:7">
      <c r="A58" t="s">
        <v>3383</v>
      </c>
      <c r="B58" s="31">
        <v>171</v>
      </c>
      <c r="C58" s="29" t="s">
        <v>91</v>
      </c>
      <c r="D58" s="34">
        <v>0</v>
      </c>
      <c r="E58" s="34">
        <v>1</v>
      </c>
      <c r="F58" s="34">
        <v>1</v>
      </c>
      <c r="G58" s="70">
        <f t="shared" si="1"/>
        <v>1</v>
      </c>
    </row>
    <row r="59" spans="1:7">
      <c r="A59" t="s">
        <v>3383</v>
      </c>
      <c r="B59" s="31">
        <v>172</v>
      </c>
      <c r="C59" s="29" t="s">
        <v>92</v>
      </c>
      <c r="D59" s="34">
        <v>0</v>
      </c>
      <c r="E59" s="34">
        <v>1</v>
      </c>
      <c r="F59" s="34">
        <v>1</v>
      </c>
      <c r="G59" s="69">
        <f t="shared" si="1"/>
        <v>1</v>
      </c>
    </row>
    <row r="60" spans="1:7">
      <c r="A60" t="s">
        <v>3383</v>
      </c>
      <c r="B60" s="31">
        <v>173</v>
      </c>
      <c r="C60" s="29" t="s">
        <v>93</v>
      </c>
      <c r="D60" s="34">
        <v>0</v>
      </c>
      <c r="E60" s="34">
        <v>1</v>
      </c>
      <c r="F60" s="34">
        <v>1</v>
      </c>
      <c r="G60" s="69">
        <f t="shared" si="1"/>
        <v>1</v>
      </c>
    </row>
    <row r="61" spans="1:7" ht="15" thickBot="1">
      <c r="B61" s="40">
        <v>180</v>
      </c>
      <c r="C61" s="38" t="s">
        <v>100</v>
      </c>
      <c r="D61" s="42">
        <v>0</v>
      </c>
      <c r="E61" s="42">
        <v>1</v>
      </c>
      <c r="F61" s="42">
        <v>1</v>
      </c>
      <c r="G61" s="69">
        <f t="shared" si="1"/>
        <v>1</v>
      </c>
    </row>
    <row r="62" spans="1:7" ht="15.5" thickTop="1" thickBot="1">
      <c r="B62" s="59"/>
      <c r="C62" s="60"/>
      <c r="D62" s="65"/>
      <c r="E62" s="65"/>
      <c r="F62" s="65"/>
    </row>
    <row r="63" spans="1:7" ht="15.5" thickTop="1" thickBot="1">
      <c r="D63" s="135">
        <f>COUNTIF(D2:F61,1)/COUNT(D2:F61)</f>
        <v>0.28333333333333333</v>
      </c>
      <c r="E63" s="135"/>
      <c r="F63" s="135"/>
      <c r="G63" s="68">
        <f>SUM(G2:G61)/(COUNTA(G2:G61))</f>
        <v>0.26666666666666666</v>
      </c>
    </row>
  </sheetData>
  <mergeCells count="1">
    <mergeCell ref="D63:F63"/>
  </mergeCells>
  <hyperlinks>
    <hyperlink ref="C46" r:id="rId1" xr:uid="{176DA75A-C52F-4BA5-A7D7-02FE7CE02265}"/>
    <hyperlink ref="C47" r:id="rId2" xr:uid="{D42256A4-915A-459D-A220-6BCF3C9ADA7D}"/>
    <hyperlink ref="C48" r:id="rId3" xr:uid="{674ED409-76C1-4D03-A834-B5B76A44E841}"/>
    <hyperlink ref="C49" r:id="rId4" xr:uid="{9F0F103A-B95F-4D87-B5EE-B4FDD2386FC1}"/>
    <hyperlink ref="C2" r:id="rId5" xr:uid="{0AA269C1-B839-44ED-9B8F-6EF2039F30B5}"/>
    <hyperlink ref="C3" r:id="rId6" xr:uid="{A1FD811C-0E7F-47DC-8AAE-45E36F27E611}"/>
    <hyperlink ref="C4" r:id="rId7" xr:uid="{04A9714E-9968-4772-952C-AF2DF5A3627B}"/>
    <hyperlink ref="C5" r:id="rId8" xr:uid="{7265DCE9-3876-4C3D-B004-4192B5366720}"/>
    <hyperlink ref="C6" r:id="rId9" xr:uid="{58F25538-C14C-4CC0-8780-1850DACE0DDD}"/>
    <hyperlink ref="C7" r:id="rId10" xr:uid="{1C789D86-5D30-44E7-B635-6678E1F4A4BD}"/>
    <hyperlink ref="C8" r:id="rId11" xr:uid="{BE31DA46-B58F-4813-A091-11A542A1520F}"/>
    <hyperlink ref="C50" r:id="rId12" xr:uid="{E053B42B-9872-4BD6-B696-59402037A449}"/>
    <hyperlink ref="C9" r:id="rId13" xr:uid="{C4B7C956-48D6-42AE-8F06-1626B5E8D73A}"/>
    <hyperlink ref="C10" r:id="rId14" xr:uid="{CEA92350-DA97-4EED-9613-5CBB7DF110BE}"/>
    <hyperlink ref="C51" r:id="rId15" xr:uid="{DC57F1B0-2746-4FC9-B816-44D102D656D7}"/>
    <hyperlink ref="C11" r:id="rId16" xr:uid="{8B84D953-6E18-4C95-9690-309D1E04BAA9}"/>
    <hyperlink ref="C12" r:id="rId17" xr:uid="{CF6728E6-2304-4B4C-A042-191AEC56194D}"/>
    <hyperlink ref="C13" r:id="rId18" xr:uid="{782DAC68-8DAE-40FA-B95C-B86FED6FC788}"/>
    <hyperlink ref="C14" r:id="rId19" xr:uid="{66F63F43-D77B-448F-9C88-77121CA801F4}"/>
    <hyperlink ref="C15" r:id="rId20" xr:uid="{9C5AA1A2-8883-4687-BE7F-28DBAC2C593C}"/>
    <hyperlink ref="C16" r:id="rId21" xr:uid="{985AE81B-F5D5-4BF9-9327-8135C1B11027}"/>
    <hyperlink ref="C17" r:id="rId22" xr:uid="{9133E528-DB2C-4626-914A-E303B1FA6244}"/>
    <hyperlink ref="C18" r:id="rId23" xr:uid="{93E21F33-60C8-49C6-BE85-0A371C930622}"/>
    <hyperlink ref="C19" r:id="rId24" xr:uid="{3F7E6276-D479-40DA-BEA6-2855F821A077}"/>
    <hyperlink ref="C20" r:id="rId25" xr:uid="{6C785618-2852-435A-B744-9EA37D0FE901}"/>
    <hyperlink ref="C21" r:id="rId26" xr:uid="{54CCDEA2-2684-4CA7-88B0-B020F18AF407}"/>
    <hyperlink ref="C22" r:id="rId27" xr:uid="{3A4B29EC-1F4A-4432-A403-6009498DF75C}"/>
    <hyperlink ref="C23" r:id="rId28" xr:uid="{8AAFD629-8E52-467E-BACA-D8641CD6E4FB}"/>
    <hyperlink ref="C24" r:id="rId29" xr:uid="{3FE940CB-59AD-4E73-A893-068BC3E0CF75}"/>
    <hyperlink ref="C25" r:id="rId30" xr:uid="{D8494656-BE9E-4FB4-BEE3-12EEF6AB54EE}"/>
    <hyperlink ref="C52" r:id="rId31" xr:uid="{AB44FAD0-F656-42C8-AE0D-9CC7356B8C30}"/>
    <hyperlink ref="C26" r:id="rId32" xr:uid="{AE26D92D-572E-4268-9EEF-2145B89941F2}"/>
    <hyperlink ref="C53" r:id="rId33" xr:uid="{75A81282-0B26-4AF6-953C-F0C361F8FD7B}"/>
    <hyperlink ref="C27" r:id="rId34" xr:uid="{18EC120B-B3AC-4954-83E7-F8E87D4D35A8}"/>
    <hyperlink ref="C28" r:id="rId35" xr:uid="{D2903F69-F6A2-479E-91AE-EE61F6CE9366}"/>
    <hyperlink ref="C29" r:id="rId36" xr:uid="{59DEC6EC-12C2-4C16-8623-110081FB51D3}"/>
    <hyperlink ref="C30" r:id="rId37" xr:uid="{CA4ECD4A-FDD6-4795-A75E-DE69861C40D1}"/>
    <hyperlink ref="C54" r:id="rId38" xr:uid="{F9820A7C-D367-4246-8E9A-96E60CF9FF7A}"/>
    <hyperlink ref="C31" r:id="rId39" xr:uid="{27A77C9F-4585-4A3F-AFF1-DCF4764E8536}"/>
    <hyperlink ref="C32" r:id="rId40" xr:uid="{6EE23404-6348-48DE-9218-26D4F859DCBA}"/>
    <hyperlink ref="C33" r:id="rId41" xr:uid="{EF64E8C4-6C2D-4223-94A8-71D45788DB37}"/>
    <hyperlink ref="C34" r:id="rId42" xr:uid="{7B5FB96D-2060-42C6-BB29-D19C440D5A55}"/>
    <hyperlink ref="C35" r:id="rId43" xr:uid="{20BEEC9A-66CB-4F4C-B74E-D542CD0FE458}"/>
    <hyperlink ref="C36" r:id="rId44" xr:uid="{B7C6F4A8-6A58-40F3-9251-805561125945}"/>
    <hyperlink ref="C55" r:id="rId45" xr:uid="{EC7B669B-9D91-45FB-819A-2173F48A6145}"/>
    <hyperlink ref="C37" r:id="rId46" xr:uid="{263BCABD-C6AA-4AD4-8B61-E6F39A35C5E7}"/>
    <hyperlink ref="C56" r:id="rId47" xr:uid="{67913097-7666-4AD9-B264-76A219035265}"/>
    <hyperlink ref="C57" r:id="rId48" xr:uid="{611BF401-456D-4244-B8A8-B4EF386FFBC5}"/>
    <hyperlink ref="C38" r:id="rId49" xr:uid="{270F33F5-2DBB-4851-A08D-B38C2072B31B}"/>
    <hyperlink ref="C39" r:id="rId50" xr:uid="{990A9659-42B9-405C-AB4E-A0FD08A59D3A}"/>
    <hyperlink ref="C58" r:id="rId51" xr:uid="{A42B1A4F-7EBD-493E-888D-03A33BF0C0F2}"/>
    <hyperlink ref="C59" r:id="rId52" xr:uid="{363036C9-B102-407B-A805-10A95F88F0DA}"/>
    <hyperlink ref="C60" r:id="rId53" xr:uid="{B184CE46-72D7-4BDE-9B45-8F9C2516393C}"/>
    <hyperlink ref="C40" r:id="rId54" xr:uid="{C1FA7252-6178-4AF3-9808-B92015B736B0}"/>
    <hyperlink ref="C41" r:id="rId55" xr:uid="{76E603BA-DC72-43DC-8BE6-1C1FEC37A734}"/>
    <hyperlink ref="C42" r:id="rId56" xr:uid="{A53E5264-8B02-4E7C-B310-EDB69DDB9BB1}"/>
    <hyperlink ref="C43" r:id="rId57" xr:uid="{4205E9DB-6E0A-4903-992D-48A96BEC34A3}"/>
    <hyperlink ref="C44" r:id="rId58" xr:uid="{D8078B1F-921F-4F43-AE6B-72D397732268}"/>
    <hyperlink ref="C45" r:id="rId59" xr:uid="{256CBEB5-9970-47A0-8226-0F83E9E04427}"/>
    <hyperlink ref="C61" r:id="rId60" xr:uid="{F5099E45-E514-4BBD-8FFE-08D2C8C33C02}"/>
  </hyperlinks>
  <pageMargins left="0.7" right="0.7" top="0.75" bottom="0.75" header="0.3" footer="0.3"/>
  <tableParts count="1">
    <tablePart r:id="rId6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69394-7679-47AD-9EBA-DD94E6F7DA9F}">
  <sheetPr codeName="Sheet22">
    <tabColor rgb="FF7030A0"/>
  </sheetPr>
  <dimension ref="A1:Q66"/>
  <sheetViews>
    <sheetView zoomScale="90" zoomScaleNormal="90" workbookViewId="0">
      <selection activeCell="C18" sqref="C18"/>
    </sheetView>
  </sheetViews>
  <sheetFormatPr defaultRowHeight="14.5"/>
  <cols>
    <col min="2" max="2" width="49.7265625" bestFit="1" customWidth="1"/>
    <col min="3" max="3" width="15.26953125" customWidth="1"/>
    <col min="4" max="4" width="22" customWidth="1"/>
    <col min="5" max="5" width="19.1796875" customWidth="1"/>
    <col min="6" max="8" width="18.81640625" bestFit="1" customWidth="1"/>
    <col min="9" max="9" width="10.453125" customWidth="1"/>
    <col min="10" max="12" width="10.1796875" customWidth="1"/>
    <col min="13" max="13" width="13.7265625" bestFit="1" customWidth="1"/>
    <col min="14" max="14" width="12.1796875" bestFit="1" customWidth="1"/>
    <col min="15" max="15" width="17.54296875" customWidth="1"/>
    <col min="16" max="16" width="20.453125" customWidth="1"/>
    <col min="17" max="17" width="17.1796875" bestFit="1" customWidth="1"/>
  </cols>
  <sheetData>
    <row r="1" spans="1:17" s="133" customFormat="1" ht="21">
      <c r="A1" s="167" t="s">
        <v>3445</v>
      </c>
      <c r="B1" s="167"/>
    </row>
    <row r="2" spans="1:17" ht="15" customHeight="1">
      <c r="A2" s="119" t="s">
        <v>0</v>
      </c>
      <c r="B2" s="17" t="s">
        <v>1</v>
      </c>
      <c r="C2" s="17" t="s">
        <v>2</v>
      </c>
      <c r="D2" s="17" t="s">
        <v>3</v>
      </c>
      <c r="E2" s="17" t="s">
        <v>4</v>
      </c>
      <c r="F2" s="17" t="s">
        <v>5</v>
      </c>
      <c r="G2" s="18" t="s">
        <v>6</v>
      </c>
      <c r="H2" s="18" t="s">
        <v>7</v>
      </c>
      <c r="I2" s="17" t="s">
        <v>8</v>
      </c>
      <c r="J2" s="17" t="s">
        <v>9</v>
      </c>
      <c r="K2" s="17" t="s">
        <v>10</v>
      </c>
      <c r="L2" s="17" t="s">
        <v>11</v>
      </c>
      <c r="M2" s="19" t="s">
        <v>3319</v>
      </c>
      <c r="N2" s="19" t="s">
        <v>3323</v>
      </c>
      <c r="O2" s="19" t="s">
        <v>3324</v>
      </c>
      <c r="P2" s="19" t="s">
        <v>3325</v>
      </c>
      <c r="Q2" s="77" t="s">
        <v>3387</v>
      </c>
    </row>
    <row r="3" spans="1:17" ht="15" customHeight="1">
      <c r="A3" s="16">
        <v>31</v>
      </c>
      <c r="B3" s="16" t="s">
        <v>25</v>
      </c>
      <c r="C3" s="16" t="s">
        <v>26</v>
      </c>
      <c r="D3" s="76">
        <v>0.47099999999999997</v>
      </c>
      <c r="E3" s="16">
        <v>669</v>
      </c>
      <c r="F3" s="20">
        <v>45715.721180555556</v>
      </c>
      <c r="G3" s="20">
        <v>45715.724363425928</v>
      </c>
      <c r="H3" s="20">
        <v>45715.725706018522</v>
      </c>
      <c r="I3" s="16" t="s">
        <v>27</v>
      </c>
      <c r="J3" s="16">
        <v>1</v>
      </c>
      <c r="K3" s="16">
        <v>1</v>
      </c>
      <c r="L3" s="16">
        <v>1</v>
      </c>
      <c r="M3" s="21">
        <f>IF(COUNTA(Table1719[[#This Row],[Passed1]:[Passed3]])=0, "", IF(SUM(Table1719[[#This Row],[Passed1]:[Passed3]])&gt;1, 1, 0))</f>
        <v>1</v>
      </c>
      <c r="N3" s="16"/>
      <c r="O3" s="16"/>
      <c r="P3" s="16"/>
      <c r="Q3" s="22" cm="1">
        <f t="array" ref="Q3">SUM((Table1719[[#This Row],[Passed1]:[Passed3]])/3)</f>
        <v>1</v>
      </c>
    </row>
    <row r="4" spans="1:17" ht="15" customHeight="1">
      <c r="A4" s="16">
        <v>32</v>
      </c>
      <c r="B4" s="16" t="s">
        <v>28</v>
      </c>
      <c r="C4" s="16" t="s">
        <v>26</v>
      </c>
      <c r="D4" s="76">
        <v>0.28399999999999997</v>
      </c>
      <c r="E4" s="16">
        <v>669</v>
      </c>
      <c r="F4" s="20">
        <v>45715.743055555555</v>
      </c>
      <c r="G4" s="20">
        <v>45715.744571759256</v>
      </c>
      <c r="H4" s="20">
        <v>45715.745243055557</v>
      </c>
      <c r="I4" s="16" t="s">
        <v>27</v>
      </c>
      <c r="J4" s="16">
        <v>1</v>
      </c>
      <c r="K4" s="16">
        <v>1</v>
      </c>
      <c r="L4" s="16">
        <v>1</v>
      </c>
      <c r="M4" s="21">
        <f>IF(COUNTA(Table1719[[#This Row],[Passed1]:[Passed3]])=0, "", IF(SUM(Table1719[[#This Row],[Passed1]:[Passed3]])&gt;1, 1, 0))</f>
        <v>1</v>
      </c>
      <c r="N4" s="16"/>
      <c r="O4" s="16"/>
      <c r="P4" s="16"/>
      <c r="Q4" s="22" cm="1">
        <f t="array" ref="Q4">SUM((Table1719[[#This Row],[Passed1]:[Passed3]])/3)</f>
        <v>1</v>
      </c>
    </row>
    <row r="5" spans="1:17" ht="15" customHeight="1">
      <c r="A5" s="16">
        <v>33</v>
      </c>
      <c r="B5" s="16" t="s">
        <v>29</v>
      </c>
      <c r="C5" s="16" t="s">
        <v>26</v>
      </c>
      <c r="D5" s="76">
        <v>0.27100000000000002</v>
      </c>
      <c r="E5" s="16">
        <v>669</v>
      </c>
      <c r="F5" s="20">
        <v>45715.74728009259</v>
      </c>
      <c r="G5" s="20">
        <v>45715.748240740744</v>
      </c>
      <c r="H5" s="20">
        <v>45715.749363425923</v>
      </c>
      <c r="I5" s="16" t="s">
        <v>27</v>
      </c>
      <c r="J5" s="16">
        <v>1</v>
      </c>
      <c r="K5" s="16">
        <v>1</v>
      </c>
      <c r="L5" s="16">
        <v>1</v>
      </c>
      <c r="M5" s="21">
        <f>IF(COUNTA(Table1719[[#This Row],[Passed1]:[Passed3]])=0, "", IF(SUM(Table1719[[#This Row],[Passed1]:[Passed3]])&gt;1, 1, 0))</f>
        <v>1</v>
      </c>
      <c r="N5" s="16"/>
      <c r="O5" s="16"/>
      <c r="P5" s="16"/>
      <c r="Q5" s="22" cm="1">
        <f t="array" ref="Q5">SUM((Table1719[[#This Row],[Passed1]:[Passed3]])/3)</f>
        <v>1</v>
      </c>
    </row>
    <row r="6" spans="1:17" ht="15" customHeight="1">
      <c r="A6" s="16">
        <v>34</v>
      </c>
      <c r="B6" s="16" t="s">
        <v>30</v>
      </c>
      <c r="C6" s="16" t="s">
        <v>26</v>
      </c>
      <c r="D6" s="76">
        <v>0.32800000000000001</v>
      </c>
      <c r="E6" s="16">
        <v>669</v>
      </c>
      <c r="F6" s="20">
        <v>45715.770902777775</v>
      </c>
      <c r="G6" s="20">
        <v>45715.77375</v>
      </c>
      <c r="H6" s="20">
        <v>45715.77416666667</v>
      </c>
      <c r="I6" s="16" t="s">
        <v>27</v>
      </c>
      <c r="J6" s="16">
        <v>1</v>
      </c>
      <c r="K6" s="16">
        <v>1</v>
      </c>
      <c r="L6" s="16">
        <v>1</v>
      </c>
      <c r="M6" s="21">
        <f>IF(COUNTA(Table1719[[#This Row],[Passed1]:[Passed3]])=0, "", IF(SUM(Table1719[[#This Row],[Passed1]:[Passed3]])&gt;1, 1, 0))</f>
        <v>1</v>
      </c>
      <c r="N6" s="16"/>
      <c r="O6" s="16"/>
      <c r="P6" s="16"/>
      <c r="Q6" s="22" cm="1">
        <f t="array" ref="Q6">SUM((Table1719[[#This Row],[Passed1]:[Passed3]])/3)</f>
        <v>1</v>
      </c>
    </row>
    <row r="7" spans="1:17" ht="15" customHeight="1">
      <c r="A7" s="16">
        <v>35</v>
      </c>
      <c r="B7" s="16" t="s">
        <v>31</v>
      </c>
      <c r="C7" s="16" t="s">
        <v>26</v>
      </c>
      <c r="D7" s="76">
        <v>0.33400000000000002</v>
      </c>
      <c r="E7" s="16">
        <v>669</v>
      </c>
      <c r="F7" s="20">
        <v>45715.775879629633</v>
      </c>
      <c r="G7" s="20">
        <v>45715.777592592596</v>
      </c>
      <c r="H7" s="20">
        <v>45715.779340277775</v>
      </c>
      <c r="I7" s="16" t="s">
        <v>27</v>
      </c>
      <c r="J7" s="16">
        <v>1</v>
      </c>
      <c r="K7" s="16">
        <v>1</v>
      </c>
      <c r="L7" s="16">
        <v>1</v>
      </c>
      <c r="M7" s="21">
        <f>IF(COUNTA(Table1719[[#This Row],[Passed1]:[Passed3]])=0, "", IF(SUM(Table1719[[#This Row],[Passed1]:[Passed3]])&gt;1, 1, 0))</f>
        <v>1</v>
      </c>
      <c r="N7" s="16"/>
      <c r="O7" s="16"/>
      <c r="P7" s="16"/>
      <c r="Q7" s="22" cm="1">
        <f t="array" ref="Q7">SUM((Table1719[[#This Row],[Passed1]:[Passed3]])/3)</f>
        <v>1</v>
      </c>
    </row>
    <row r="8" spans="1:17" ht="15" customHeight="1">
      <c r="A8" s="16">
        <v>36</v>
      </c>
      <c r="B8" s="16" t="s">
        <v>32</v>
      </c>
      <c r="C8" s="16" t="s">
        <v>26</v>
      </c>
      <c r="D8" s="76">
        <v>0.34699999999999998</v>
      </c>
      <c r="E8" s="16">
        <v>669</v>
      </c>
      <c r="F8" s="20">
        <v>45716.872002314813</v>
      </c>
      <c r="G8" s="20">
        <v>45716.874155092592</v>
      </c>
      <c r="H8" s="20">
        <v>45716.874930555554</v>
      </c>
      <c r="I8" s="16" t="s">
        <v>27</v>
      </c>
      <c r="J8" s="16">
        <v>1</v>
      </c>
      <c r="K8" s="16">
        <v>1</v>
      </c>
      <c r="L8" s="16">
        <v>1</v>
      </c>
      <c r="M8" s="21">
        <f>IF(COUNTA(Table1719[[#This Row],[Passed1]:[Passed3]])=0, "", IF(SUM(Table1719[[#This Row],[Passed1]:[Passed3]])&gt;1, 1, 0))</f>
        <v>1</v>
      </c>
      <c r="N8" s="16"/>
      <c r="O8" s="16"/>
      <c r="P8" s="16"/>
      <c r="Q8" s="22" cm="1">
        <f t="array" ref="Q8">SUM((Table1719[[#This Row],[Passed1]:[Passed3]])/3)</f>
        <v>1</v>
      </c>
    </row>
    <row r="9" spans="1:17" ht="15" customHeight="1">
      <c r="A9" s="16">
        <v>37</v>
      </c>
      <c r="B9" s="16" t="s">
        <v>33</v>
      </c>
      <c r="C9" s="16" t="s">
        <v>26</v>
      </c>
      <c r="D9" s="76">
        <v>0.377</v>
      </c>
      <c r="E9" s="16">
        <v>669</v>
      </c>
      <c r="F9" s="20">
        <v>45716.876157407409</v>
      </c>
      <c r="G9" s="20">
        <v>45716.87703703704</v>
      </c>
      <c r="H9" s="20">
        <v>45716.877974537034</v>
      </c>
      <c r="I9" s="16" t="s">
        <v>27</v>
      </c>
      <c r="J9" s="16">
        <v>1</v>
      </c>
      <c r="K9" s="16">
        <v>1</v>
      </c>
      <c r="L9" s="16">
        <v>1</v>
      </c>
      <c r="M9" s="21">
        <f>IF(COUNTA(Table1719[[#This Row],[Passed1]:[Passed3]])=0, "", IF(SUM(Table1719[[#This Row],[Passed1]:[Passed3]])&gt;1, 1, 0))</f>
        <v>1</v>
      </c>
      <c r="N9" s="16"/>
      <c r="O9" s="16"/>
      <c r="P9" s="16"/>
      <c r="Q9" s="22" cm="1">
        <f t="array" ref="Q9">SUM((Table1719[[#This Row],[Passed1]:[Passed3]])/3)</f>
        <v>1</v>
      </c>
    </row>
    <row r="10" spans="1:17" ht="15" customHeight="1">
      <c r="A10" s="16">
        <v>38</v>
      </c>
      <c r="B10" s="16" t="s">
        <v>34</v>
      </c>
      <c r="C10" s="16" t="s">
        <v>26</v>
      </c>
      <c r="D10" s="76">
        <v>0.40200000000000002</v>
      </c>
      <c r="E10" s="16">
        <v>669</v>
      </c>
      <c r="F10" s="20">
        <v>45716.886365740742</v>
      </c>
      <c r="G10" s="20">
        <v>45716.88753472222</v>
      </c>
      <c r="H10" s="20">
        <v>45716.888842592591</v>
      </c>
      <c r="I10" s="16" t="s">
        <v>27</v>
      </c>
      <c r="J10" s="16">
        <v>1</v>
      </c>
      <c r="K10" s="16">
        <v>1</v>
      </c>
      <c r="L10" s="16">
        <v>1</v>
      </c>
      <c r="M10" s="21">
        <f>IF(COUNTA(Table1719[[#This Row],[Passed1]:[Passed3]])=0, "", IF(SUM(Table1719[[#This Row],[Passed1]:[Passed3]])&gt;1, 1, 0))</f>
        <v>1</v>
      </c>
      <c r="N10" s="16"/>
      <c r="O10" s="16"/>
      <c r="P10" s="16"/>
      <c r="Q10" s="22" cm="1">
        <f t="array" ref="Q10">SUM((Table1719[[#This Row],[Passed1]:[Passed3]])/3)</f>
        <v>1</v>
      </c>
    </row>
    <row r="11" spans="1:17" ht="15" customHeight="1">
      <c r="A11" s="16">
        <v>39</v>
      </c>
      <c r="B11" s="16" t="s">
        <v>35</v>
      </c>
      <c r="C11" s="16" t="s">
        <v>26</v>
      </c>
      <c r="D11" s="76">
        <v>0.41199999999999998</v>
      </c>
      <c r="E11" s="16">
        <v>669</v>
      </c>
      <c r="F11" s="20">
        <v>45716.889861111114</v>
      </c>
      <c r="G11" s="20">
        <v>45716.890833333331</v>
      </c>
      <c r="H11" s="20">
        <v>45716.89166666667</v>
      </c>
      <c r="I11" s="16" t="s">
        <v>27</v>
      </c>
      <c r="J11" s="16">
        <v>1</v>
      </c>
      <c r="K11" s="16">
        <v>1</v>
      </c>
      <c r="L11" s="16">
        <v>1</v>
      </c>
      <c r="M11" s="21">
        <f>IF(COUNTA(Table1719[[#This Row],[Passed1]:[Passed3]])=0, "", IF(SUM(Table1719[[#This Row],[Passed1]:[Passed3]])&gt;1, 1, 0))</f>
        <v>1</v>
      </c>
      <c r="N11" s="16"/>
      <c r="O11" s="16"/>
      <c r="P11" s="16"/>
      <c r="Q11" s="22" cm="1">
        <f t="array" ref="Q11">SUM((Table1719[[#This Row],[Passed1]:[Passed3]])/3)</f>
        <v>1</v>
      </c>
    </row>
    <row r="12" spans="1:17" ht="15" customHeight="1">
      <c r="A12" s="16">
        <v>40</v>
      </c>
      <c r="B12" s="16" t="s">
        <v>36</v>
      </c>
      <c r="C12" s="16" t="s">
        <v>26</v>
      </c>
      <c r="D12" s="76">
        <v>0.45800000000000002</v>
      </c>
      <c r="E12" s="16">
        <v>669</v>
      </c>
      <c r="F12" s="20">
        <v>45716.90011574074</v>
      </c>
      <c r="G12" s="20">
        <v>45716.900509259256</v>
      </c>
      <c r="H12" s="20">
        <v>45716.901145833333</v>
      </c>
      <c r="I12" s="16" t="s">
        <v>27</v>
      </c>
      <c r="J12" s="16">
        <v>1</v>
      </c>
      <c r="K12" s="16">
        <v>1</v>
      </c>
      <c r="L12" s="16">
        <v>1</v>
      </c>
      <c r="M12" s="21">
        <f>IF(COUNTA(Table1719[[#This Row],[Passed1]:[Passed3]])=0, "", IF(SUM(Table1719[[#This Row],[Passed1]:[Passed3]])&gt;1, 1, 0))</f>
        <v>1</v>
      </c>
      <c r="N12" s="16"/>
      <c r="O12" s="16"/>
      <c r="P12" s="16"/>
      <c r="Q12" s="22" cm="1">
        <f t="array" ref="Q12">SUM((Table1719[[#This Row],[Passed1]:[Passed3]])/3)</f>
        <v>1</v>
      </c>
    </row>
    <row r="13" spans="1:17" ht="15" customHeight="1">
      <c r="A13" s="16">
        <v>41</v>
      </c>
      <c r="B13" s="16" t="s">
        <v>37</v>
      </c>
      <c r="C13" s="16" t="s">
        <v>26</v>
      </c>
      <c r="D13" s="76">
        <v>0.52300000000000002</v>
      </c>
      <c r="E13" s="16">
        <v>669</v>
      </c>
      <c r="F13" s="20">
        <v>45716.902291666665</v>
      </c>
      <c r="G13" s="20">
        <v>45716.903460648151</v>
      </c>
      <c r="H13" s="20">
        <v>45716.905231481483</v>
      </c>
      <c r="I13" s="16" t="s">
        <v>27</v>
      </c>
      <c r="J13" s="16">
        <v>0</v>
      </c>
      <c r="K13" s="16">
        <v>0</v>
      </c>
      <c r="L13" s="16">
        <v>0</v>
      </c>
      <c r="M13" s="21">
        <f>IF(COUNTA(Table1719[[#This Row],[Passed1]:[Passed3]])=0, "", IF(SUM(Table1719[[#This Row],[Passed1]:[Passed3]])&gt;1, 1, 0))</f>
        <v>0</v>
      </c>
      <c r="N13" s="16" t="s">
        <v>3328</v>
      </c>
      <c r="O13" s="16" t="s">
        <v>3334</v>
      </c>
      <c r="P13" s="16" t="s">
        <v>3329</v>
      </c>
      <c r="Q13" s="22" cm="1">
        <f t="array" ref="Q13">SUM((Table1719[[#This Row],[Passed1]:[Passed3]])/3)</f>
        <v>0</v>
      </c>
    </row>
    <row r="14" spans="1:17" ht="15" customHeight="1">
      <c r="A14" s="16">
        <v>42</v>
      </c>
      <c r="B14" s="16" t="s">
        <v>38</v>
      </c>
      <c r="C14" s="16" t="s">
        <v>26</v>
      </c>
      <c r="D14" s="76">
        <v>0.65100000000000002</v>
      </c>
      <c r="E14" s="16">
        <v>669</v>
      </c>
      <c r="F14" s="20">
        <v>45716.911446759259</v>
      </c>
      <c r="G14" s="20">
        <v>45716.912627314814</v>
      </c>
      <c r="H14" s="20">
        <v>45716.912928240738</v>
      </c>
      <c r="I14" s="16" t="s">
        <v>27</v>
      </c>
      <c r="J14" s="16">
        <v>1</v>
      </c>
      <c r="K14" s="16">
        <v>1</v>
      </c>
      <c r="L14" s="16">
        <v>1</v>
      </c>
      <c r="M14" s="21">
        <f>IF(COUNTA(Table1719[[#This Row],[Passed1]:[Passed3]])=0, "", IF(SUM(Table1719[[#This Row],[Passed1]:[Passed3]])&gt;1, 1, 0))</f>
        <v>1</v>
      </c>
      <c r="N14" s="12"/>
      <c r="O14" s="12"/>
      <c r="P14" s="12"/>
      <c r="Q14" s="22" cm="1">
        <f t="array" ref="Q14">SUM((Table1719[[#This Row],[Passed1]:[Passed3]])/3)</f>
        <v>1</v>
      </c>
    </row>
    <row r="15" spans="1:17" ht="15" customHeight="1">
      <c r="A15" s="16">
        <v>43</v>
      </c>
      <c r="B15" s="16" t="s">
        <v>39</v>
      </c>
      <c r="C15" s="16" t="s">
        <v>26</v>
      </c>
      <c r="D15" s="76">
        <v>0.41199999999999998</v>
      </c>
      <c r="E15" s="16">
        <v>669</v>
      </c>
      <c r="F15" s="20">
        <v>45716.913935185185</v>
      </c>
      <c r="G15" s="20">
        <v>45716.914641203701</v>
      </c>
      <c r="H15" s="20">
        <v>45716.915185185186</v>
      </c>
      <c r="I15" s="16" t="s">
        <v>27</v>
      </c>
      <c r="J15" s="16">
        <v>1</v>
      </c>
      <c r="K15" s="16">
        <v>1</v>
      </c>
      <c r="L15" s="16">
        <v>0</v>
      </c>
      <c r="M15" s="21">
        <f>IF(COUNTA(Table1719[[#This Row],[Passed1]:[Passed3]])=0, "", IF(SUM(Table1719[[#This Row],[Passed1]:[Passed3]])&gt;1, 1, 0))</f>
        <v>1</v>
      </c>
      <c r="N15" s="12"/>
      <c r="O15" s="12"/>
      <c r="P15" s="12" t="s">
        <v>3330</v>
      </c>
      <c r="Q15" s="22" cm="1">
        <f t="array" ref="Q15">SUM((Table1719[[#This Row],[Passed1]:[Passed3]])/3)</f>
        <v>0.66666666666666663</v>
      </c>
    </row>
    <row r="16" spans="1:17" ht="15" customHeight="1">
      <c r="A16" s="16">
        <v>44</v>
      </c>
      <c r="B16" s="16" t="s">
        <v>40</v>
      </c>
      <c r="C16" s="16" t="s">
        <v>26</v>
      </c>
      <c r="D16" s="76">
        <v>0.47399999999999998</v>
      </c>
      <c r="E16" s="16">
        <v>669</v>
      </c>
      <c r="F16" s="20">
        <v>45717.443831018521</v>
      </c>
      <c r="G16" s="20">
        <v>45717.445532407408</v>
      </c>
      <c r="H16" s="20">
        <v>45717.446886574071</v>
      </c>
      <c r="I16" s="16" t="s">
        <v>27</v>
      </c>
      <c r="J16" s="16">
        <v>1</v>
      </c>
      <c r="K16" s="16">
        <v>1</v>
      </c>
      <c r="L16" s="16">
        <v>0</v>
      </c>
      <c r="M16" s="21">
        <f>IF(COUNTA(Table1719[[#This Row],[Passed1]:[Passed3]])=0, "", IF(SUM(Table1719[[#This Row],[Passed1]:[Passed3]])&gt;1, 1, 0))</f>
        <v>1</v>
      </c>
      <c r="N16" s="12"/>
      <c r="O16" s="12"/>
      <c r="P16" s="12"/>
      <c r="Q16" s="22" cm="1">
        <f t="array" ref="Q16">SUM((Table1719[[#This Row],[Passed1]:[Passed3]])/3)</f>
        <v>0.66666666666666663</v>
      </c>
    </row>
    <row r="17" spans="1:17" ht="15" customHeight="1">
      <c r="A17" s="16">
        <v>45</v>
      </c>
      <c r="B17" s="16" t="s">
        <v>41</v>
      </c>
      <c r="C17" s="16" t="s">
        <v>26</v>
      </c>
      <c r="D17" s="76">
        <v>0.55800000000000005</v>
      </c>
      <c r="E17" s="16">
        <v>669</v>
      </c>
      <c r="F17" s="20">
        <v>45717.447905092595</v>
      </c>
      <c r="G17" s="20">
        <v>45717.448634259257</v>
      </c>
      <c r="H17" s="20">
        <v>45717.449525462966</v>
      </c>
      <c r="I17" s="16" t="s">
        <v>27</v>
      </c>
      <c r="J17" s="16">
        <v>1</v>
      </c>
      <c r="K17" s="16">
        <v>1</v>
      </c>
      <c r="L17" s="16">
        <v>0</v>
      </c>
      <c r="M17" s="21">
        <f>IF(COUNTA(Table1719[[#This Row],[Passed1]:[Passed3]])=0, "", IF(SUM(Table1719[[#This Row],[Passed1]:[Passed3]])&gt;1, 1, 0))</f>
        <v>1</v>
      </c>
      <c r="N17" s="12"/>
      <c r="O17" s="12"/>
      <c r="P17" s="12"/>
      <c r="Q17" s="22" cm="1">
        <f t="array" ref="Q17">SUM((Table1719[[#This Row],[Passed1]:[Passed3]])/3)</f>
        <v>0.66666666666666663</v>
      </c>
    </row>
    <row r="18" spans="1:17" ht="15" customHeight="1">
      <c r="A18" s="16">
        <v>76</v>
      </c>
      <c r="B18" s="16" t="s">
        <v>45</v>
      </c>
      <c r="C18" s="16" t="s">
        <v>46</v>
      </c>
      <c r="D18" s="76">
        <v>0.624</v>
      </c>
      <c r="E18" s="16">
        <v>34</v>
      </c>
      <c r="F18" s="20">
        <v>45717.456435185188</v>
      </c>
      <c r="G18" s="20">
        <v>45717.457384259258</v>
      </c>
      <c r="H18" s="20">
        <v>45717.460960648146</v>
      </c>
      <c r="I18" s="16" t="s">
        <v>27</v>
      </c>
      <c r="J18" s="16">
        <v>1</v>
      </c>
      <c r="K18" s="16">
        <v>0</v>
      </c>
      <c r="L18" s="16">
        <v>1</v>
      </c>
      <c r="M18" s="21">
        <f>IF(COUNTA(Table1719[[#This Row],[Passed1]:[Passed3]])=0, "", IF(SUM(Table1719[[#This Row],[Passed1]:[Passed3]])&gt;1, 1, 0))</f>
        <v>1</v>
      </c>
      <c r="N18" s="12"/>
      <c r="O18" s="12" t="s">
        <v>3326</v>
      </c>
      <c r="P18" s="12"/>
      <c r="Q18" s="22" cm="1">
        <f t="array" ref="Q18">SUM((Table1719[[#This Row],[Passed1]:[Passed3]])/3)</f>
        <v>0.66666666666666663</v>
      </c>
    </row>
    <row r="19" spans="1:17" ht="15" customHeight="1">
      <c r="A19" s="16">
        <v>77</v>
      </c>
      <c r="B19" s="16" t="s">
        <v>47</v>
      </c>
      <c r="C19" s="16" t="s">
        <v>46</v>
      </c>
      <c r="D19" s="76">
        <v>0.34</v>
      </c>
      <c r="E19" s="16">
        <v>34</v>
      </c>
      <c r="F19" s="20">
        <v>45717.462372685186</v>
      </c>
      <c r="G19" s="20">
        <v>45717.463773148149</v>
      </c>
      <c r="H19" s="20">
        <v>45717.465902777774</v>
      </c>
      <c r="I19" s="16" t="s">
        <v>27</v>
      </c>
      <c r="J19" s="16">
        <v>0</v>
      </c>
      <c r="K19" s="16">
        <v>0</v>
      </c>
      <c r="L19" s="16">
        <v>1</v>
      </c>
      <c r="M19" s="21">
        <f>IF(COUNTA(Table1719[[#This Row],[Passed1]:[Passed3]])=0, "", IF(SUM(Table1719[[#This Row],[Passed1]:[Passed3]])&gt;1, 1, 0))</f>
        <v>0</v>
      </c>
      <c r="N19" s="12" t="s">
        <v>3321</v>
      </c>
      <c r="O19" s="12" t="s">
        <v>3327</v>
      </c>
      <c r="P19" s="12"/>
      <c r="Q19" s="22" cm="1">
        <f t="array" ref="Q19">SUM((Table1719[[#This Row],[Passed1]:[Passed3]])/3)</f>
        <v>0.33333333333333331</v>
      </c>
    </row>
    <row r="20" spans="1:17" ht="15" customHeight="1">
      <c r="A20" s="16">
        <v>78</v>
      </c>
      <c r="B20" s="16" t="s">
        <v>48</v>
      </c>
      <c r="C20" s="16" t="s">
        <v>46</v>
      </c>
      <c r="D20" s="76">
        <v>0.497</v>
      </c>
      <c r="E20" s="16">
        <v>34</v>
      </c>
      <c r="F20" s="20">
        <v>45717.474224537036</v>
      </c>
      <c r="G20" s="20">
        <v>45717.474918981483</v>
      </c>
      <c r="H20" s="20">
        <v>45717.476076388892</v>
      </c>
      <c r="I20" s="16" t="s">
        <v>27</v>
      </c>
      <c r="J20" s="16">
        <v>1</v>
      </c>
      <c r="K20" s="16">
        <v>1</v>
      </c>
      <c r="L20" s="16">
        <v>1</v>
      </c>
      <c r="M20" s="21">
        <f>IF(COUNTA(Table1719[[#This Row],[Passed1]:[Passed3]])=0, "", IF(SUM(Table1719[[#This Row],[Passed1]:[Passed3]])&gt;1, 1, 0))</f>
        <v>1</v>
      </c>
      <c r="N20" s="12"/>
      <c r="O20" s="12"/>
      <c r="P20" s="12"/>
      <c r="Q20" s="22" cm="1">
        <f t="array" ref="Q20">SUM((Table1719[[#This Row],[Passed1]:[Passed3]])/3)</f>
        <v>1</v>
      </c>
    </row>
    <row r="21" spans="1:17" ht="15" customHeight="1">
      <c r="A21" s="16">
        <v>79</v>
      </c>
      <c r="B21" s="16" t="s">
        <v>49</v>
      </c>
      <c r="C21" s="16" t="s">
        <v>46</v>
      </c>
      <c r="D21" s="76">
        <v>0.66900000000000004</v>
      </c>
      <c r="E21" s="16">
        <v>34</v>
      </c>
      <c r="F21" s="20">
        <v>45717.478333333333</v>
      </c>
      <c r="G21" s="20">
        <v>45717.479004629633</v>
      </c>
      <c r="H21" s="20">
        <v>45717.480324074073</v>
      </c>
      <c r="I21" s="16" t="s">
        <v>27</v>
      </c>
      <c r="J21" s="16">
        <v>1</v>
      </c>
      <c r="K21" s="16">
        <v>1</v>
      </c>
      <c r="L21" s="16">
        <v>1</v>
      </c>
      <c r="M21" s="21">
        <f>IF(COUNTA(Table1719[[#This Row],[Passed1]:[Passed3]])=0, "", IF(SUM(Table1719[[#This Row],[Passed1]:[Passed3]])&gt;1, 1, 0))</f>
        <v>1</v>
      </c>
      <c r="N21" s="12"/>
      <c r="O21" s="12"/>
      <c r="P21" s="12"/>
      <c r="Q21" s="22" cm="1">
        <f t="array" ref="Q21">SUM((Table1719[[#This Row],[Passed1]:[Passed3]])/3)</f>
        <v>1</v>
      </c>
    </row>
    <row r="22" spans="1:17" ht="15" customHeight="1">
      <c r="A22" s="16">
        <v>80</v>
      </c>
      <c r="B22" s="16" t="s">
        <v>50</v>
      </c>
      <c r="C22" s="16" t="s">
        <v>51</v>
      </c>
      <c r="D22" s="76">
        <v>0.36899999999999999</v>
      </c>
      <c r="E22" s="16">
        <v>176</v>
      </c>
      <c r="F22" s="20">
        <v>45717.487314814818</v>
      </c>
      <c r="G22" s="20">
        <v>45717.488298611112</v>
      </c>
      <c r="H22" s="20">
        <v>45717.489270833335</v>
      </c>
      <c r="I22" s="16" t="s">
        <v>27</v>
      </c>
      <c r="J22" s="16">
        <v>1</v>
      </c>
      <c r="K22" s="16">
        <v>0</v>
      </c>
      <c r="L22" s="16">
        <v>0</v>
      </c>
      <c r="M22" s="21">
        <f>IF(COUNTA(Table1719[[#This Row],[Passed1]:[Passed3]])=0, "", IF(SUM(Table1719[[#This Row],[Passed1]:[Passed3]])&gt;1, 1, 0))</f>
        <v>0</v>
      </c>
      <c r="N22" s="12"/>
      <c r="O22" s="12" t="s">
        <v>3321</v>
      </c>
      <c r="P22" s="12" t="s">
        <v>3321</v>
      </c>
      <c r="Q22" s="22" cm="1">
        <f t="array" ref="Q22">SUM((Table1719[[#This Row],[Passed1]:[Passed3]])/3)</f>
        <v>0.33333333333333331</v>
      </c>
    </row>
    <row r="23" spans="1:17" ht="15" customHeight="1">
      <c r="A23" s="16">
        <v>81</v>
      </c>
      <c r="B23" s="16" t="s">
        <v>52</v>
      </c>
      <c r="C23" s="16" t="s">
        <v>46</v>
      </c>
      <c r="D23" s="76">
        <v>0.495</v>
      </c>
      <c r="E23" s="16">
        <v>34</v>
      </c>
      <c r="F23" s="20">
        <v>45717.732592592591</v>
      </c>
      <c r="G23" s="20">
        <v>45717.734861111108</v>
      </c>
      <c r="H23" s="20">
        <v>45717.73574074074</v>
      </c>
      <c r="I23" s="16" t="s">
        <v>27</v>
      </c>
      <c r="J23" s="16">
        <v>1</v>
      </c>
      <c r="K23" s="16">
        <v>1</v>
      </c>
      <c r="L23" s="16">
        <v>1</v>
      </c>
      <c r="M23" s="21">
        <f>IF(COUNTA(Table1719[[#This Row],[Passed1]:[Passed3]])=0, "", IF(SUM(Table1719[[#This Row],[Passed1]:[Passed3]])&gt;1, 1, 0))</f>
        <v>1</v>
      </c>
      <c r="N23" s="12"/>
      <c r="O23" s="12"/>
      <c r="P23" s="12"/>
      <c r="Q23" s="22" cm="1">
        <f t="array" ref="Q23">SUM((Table1719[[#This Row],[Passed1]:[Passed3]])/3)</f>
        <v>1</v>
      </c>
    </row>
    <row r="24" spans="1:17" ht="15" customHeight="1">
      <c r="A24" s="16">
        <v>82</v>
      </c>
      <c r="B24" s="16" t="s">
        <v>53</v>
      </c>
      <c r="C24" s="16" t="s">
        <v>46</v>
      </c>
      <c r="D24" s="76">
        <v>0.65800000000000003</v>
      </c>
      <c r="E24" s="16">
        <v>34</v>
      </c>
      <c r="F24" s="20">
        <v>45723.87871527778</v>
      </c>
      <c r="G24" s="20">
        <v>45723.880046296297</v>
      </c>
      <c r="H24" s="20">
        <v>45723.882152777776</v>
      </c>
      <c r="I24" s="16" t="s">
        <v>27</v>
      </c>
      <c r="J24" s="16">
        <v>0</v>
      </c>
      <c r="K24" s="16">
        <v>1</v>
      </c>
      <c r="L24" s="16">
        <v>1</v>
      </c>
      <c r="M24" s="21">
        <f>IF(COUNTA(Table1719[[#This Row],[Passed1]:[Passed3]])=0, "", IF(SUM(Table1719[[#This Row],[Passed1]:[Passed3]])&gt;1, 1, 0))</f>
        <v>1</v>
      </c>
      <c r="N24" s="12" t="s">
        <v>3321</v>
      </c>
      <c r="O24" s="12"/>
      <c r="P24" s="12" t="s">
        <v>3321</v>
      </c>
      <c r="Q24" s="22" cm="1">
        <f t="array" ref="Q24">SUM((Table1719[[#This Row],[Passed1]:[Passed3]])/3)</f>
        <v>0.66666666666666663</v>
      </c>
    </row>
    <row r="25" spans="1:17" ht="15" customHeight="1">
      <c r="A25" s="16">
        <v>83</v>
      </c>
      <c r="B25" s="16" t="s">
        <v>54</v>
      </c>
      <c r="C25" s="16" t="s">
        <v>46</v>
      </c>
      <c r="D25" s="76">
        <v>0.41199999999999998</v>
      </c>
      <c r="E25" s="16">
        <v>34</v>
      </c>
      <c r="F25" s="20">
        <v>45723.8828587963</v>
      </c>
      <c r="G25" s="20">
        <v>45723.883750000001</v>
      </c>
      <c r="H25" s="20">
        <v>45723.886122685188</v>
      </c>
      <c r="I25" s="16" t="s">
        <v>27</v>
      </c>
      <c r="J25" s="16">
        <v>1</v>
      </c>
      <c r="K25" s="16">
        <v>1</v>
      </c>
      <c r="L25" s="16">
        <v>1</v>
      </c>
      <c r="M25" s="21">
        <f>IF(COUNTA(Table1719[[#This Row],[Passed1]:[Passed3]])=0, "", IF(SUM(Table1719[[#This Row],[Passed1]:[Passed3]])&gt;1, 1, 0))</f>
        <v>1</v>
      </c>
      <c r="N25" s="12"/>
      <c r="O25" s="12"/>
      <c r="P25" s="12"/>
      <c r="Q25" s="22" cm="1">
        <f t="array" ref="Q25">SUM((Table1719[[#This Row],[Passed1]:[Passed3]])/3)</f>
        <v>1</v>
      </c>
    </row>
    <row r="26" spans="1:17" ht="15" customHeight="1">
      <c r="A26" s="16">
        <v>84</v>
      </c>
      <c r="B26" s="16" t="s">
        <v>55</v>
      </c>
      <c r="C26" s="16" t="s">
        <v>46</v>
      </c>
      <c r="D26" s="76">
        <v>0.39700000000000002</v>
      </c>
      <c r="E26" s="16">
        <v>34</v>
      </c>
      <c r="F26" s="20">
        <v>45723.887094907404</v>
      </c>
      <c r="G26" s="20">
        <v>45723.889398148145</v>
      </c>
      <c r="H26" s="20">
        <v>45723.889745370368</v>
      </c>
      <c r="I26" s="16" t="s">
        <v>27</v>
      </c>
      <c r="J26" s="16">
        <v>0</v>
      </c>
      <c r="K26" s="16">
        <v>1</v>
      </c>
      <c r="L26" s="16">
        <v>1</v>
      </c>
      <c r="M26" s="21">
        <f>IF(COUNTA(Table1719[[#This Row],[Passed1]:[Passed3]])=0, "", IF(SUM(Table1719[[#This Row],[Passed1]:[Passed3]])&gt;1, 1, 0))</f>
        <v>1</v>
      </c>
      <c r="N26" s="12" t="s">
        <v>3321</v>
      </c>
      <c r="O26" s="12"/>
      <c r="P26" s="12"/>
      <c r="Q26" s="22" cm="1">
        <f t="array" ref="Q26">SUM((Table1719[[#This Row],[Passed1]:[Passed3]])/3)</f>
        <v>0.66666666666666663</v>
      </c>
    </row>
    <row r="27" spans="1:17" ht="15" customHeight="1">
      <c r="A27" s="16">
        <v>85</v>
      </c>
      <c r="B27" s="16" t="s">
        <v>56</v>
      </c>
      <c r="C27" s="16" t="s">
        <v>46</v>
      </c>
      <c r="D27" s="76">
        <v>0.59799999999999998</v>
      </c>
      <c r="E27" s="16">
        <v>34</v>
      </c>
      <c r="F27" s="20">
        <v>45723.890798611108</v>
      </c>
      <c r="G27" s="20">
        <v>45723.892129629632</v>
      </c>
      <c r="H27" s="20">
        <v>45723.89303240741</v>
      </c>
      <c r="I27" s="16" t="s">
        <v>27</v>
      </c>
      <c r="J27" s="16">
        <v>1</v>
      </c>
      <c r="K27" s="16">
        <v>1</v>
      </c>
      <c r="L27" s="16">
        <v>1</v>
      </c>
      <c r="M27" s="21">
        <f>IF(COUNTA(Table1719[[#This Row],[Passed1]:[Passed3]])=0, "", IF(SUM(Table1719[[#This Row],[Passed1]:[Passed3]])&gt;1, 1, 0))</f>
        <v>1</v>
      </c>
      <c r="N27" s="12"/>
      <c r="O27" s="12"/>
      <c r="P27" s="12"/>
      <c r="Q27" s="22" cm="1">
        <f t="array" ref="Q27">SUM((Table1719[[#This Row],[Passed1]:[Passed3]])/3)</f>
        <v>1</v>
      </c>
    </row>
    <row r="28" spans="1:17" ht="15" customHeight="1">
      <c r="A28" s="16">
        <v>86</v>
      </c>
      <c r="B28" s="16" t="s">
        <v>57</v>
      </c>
      <c r="C28" s="16" t="s">
        <v>58</v>
      </c>
      <c r="D28" s="76">
        <v>0.27300000000000002</v>
      </c>
      <c r="E28" s="16">
        <v>69</v>
      </c>
      <c r="F28" s="20">
        <v>45723.893842592595</v>
      </c>
      <c r="G28" s="20">
        <v>45723.896770833337</v>
      </c>
      <c r="H28" s="20">
        <v>45723.898553240739</v>
      </c>
      <c r="I28" s="16" t="s">
        <v>27</v>
      </c>
      <c r="J28" s="16">
        <v>1</v>
      </c>
      <c r="K28" s="16">
        <v>1</v>
      </c>
      <c r="L28" s="16">
        <v>1</v>
      </c>
      <c r="M28" s="21">
        <f>IF(COUNTA(Table1719[[#This Row],[Passed1]:[Passed3]])=0, "", IF(SUM(Table1719[[#This Row],[Passed1]:[Passed3]])&gt;1, 1, 0))</f>
        <v>1</v>
      </c>
      <c r="N28" s="12"/>
      <c r="O28" s="12"/>
      <c r="P28" s="12"/>
      <c r="Q28" s="22" cm="1">
        <f t="array" ref="Q28">SUM((Table1719[[#This Row],[Passed1]:[Passed3]])/3)</f>
        <v>1</v>
      </c>
    </row>
    <row r="29" spans="1:17" ht="15" customHeight="1">
      <c r="A29" s="16">
        <v>87</v>
      </c>
      <c r="B29" s="16" t="s">
        <v>59</v>
      </c>
      <c r="C29" s="16" t="s">
        <v>58</v>
      </c>
      <c r="D29" s="76">
        <v>0.29699999999999999</v>
      </c>
      <c r="E29" s="16">
        <v>69</v>
      </c>
      <c r="F29" s="20">
        <v>45723.900138888886</v>
      </c>
      <c r="G29" s="20">
        <v>45723.901261574072</v>
      </c>
      <c r="H29" s="20">
        <v>45723.902083333334</v>
      </c>
      <c r="I29" s="16" t="s">
        <v>27</v>
      </c>
      <c r="J29" s="16">
        <v>1</v>
      </c>
      <c r="K29" s="16">
        <v>1</v>
      </c>
      <c r="L29" s="16">
        <v>1</v>
      </c>
      <c r="M29" s="21">
        <f>IF(COUNTA(Table1719[[#This Row],[Passed1]:[Passed3]])=0, "", IF(SUM(Table1719[[#This Row],[Passed1]:[Passed3]])&gt;1, 1, 0))</f>
        <v>1</v>
      </c>
      <c r="N29" s="12"/>
      <c r="O29" s="12"/>
      <c r="P29" s="12"/>
      <c r="Q29" s="22" cm="1">
        <f t="array" ref="Q29">SUM((Table1719[[#This Row],[Passed1]:[Passed3]])/3)</f>
        <v>1</v>
      </c>
    </row>
    <row r="30" spans="1:17" ht="15" customHeight="1">
      <c r="A30" s="16">
        <v>88</v>
      </c>
      <c r="B30" s="16" t="s">
        <v>60</v>
      </c>
      <c r="C30" s="16" t="s">
        <v>58</v>
      </c>
      <c r="D30" s="76">
        <v>0.40100000000000002</v>
      </c>
      <c r="E30" s="16">
        <v>69</v>
      </c>
      <c r="F30" s="20">
        <v>45723.902696759258</v>
      </c>
      <c r="G30" s="20">
        <v>45723.903634259259</v>
      </c>
      <c r="H30" s="20">
        <v>45723.904618055552</v>
      </c>
      <c r="I30" s="16" t="s">
        <v>27</v>
      </c>
      <c r="J30" s="16">
        <v>1</v>
      </c>
      <c r="K30" s="16">
        <v>1</v>
      </c>
      <c r="L30" s="16">
        <v>1</v>
      </c>
      <c r="M30" s="21">
        <f>IF(COUNTA(Table1719[[#This Row],[Passed1]:[Passed3]])=0, "", IF(SUM(Table1719[[#This Row],[Passed1]:[Passed3]])&gt;1, 1, 0))</f>
        <v>1</v>
      </c>
      <c r="N30" s="12"/>
      <c r="O30" s="12"/>
      <c r="P30" s="12"/>
      <c r="Q30" s="22" cm="1">
        <f t="array" ref="Q30">SUM((Table1719[[#This Row],[Passed1]:[Passed3]])/3)</f>
        <v>1</v>
      </c>
    </row>
    <row r="31" spans="1:17" ht="15" customHeight="1">
      <c r="A31" s="16">
        <v>89</v>
      </c>
      <c r="B31" s="16" t="s">
        <v>61</v>
      </c>
      <c r="C31" s="16" t="s">
        <v>58</v>
      </c>
      <c r="D31" s="76">
        <v>0.41499999999999998</v>
      </c>
      <c r="E31" s="16">
        <v>69</v>
      </c>
      <c r="F31" s="20">
        <v>45723.905601851853</v>
      </c>
      <c r="G31" s="20">
        <v>45723.907719907409</v>
      </c>
      <c r="H31" s="20">
        <v>45723.909317129626</v>
      </c>
      <c r="I31" s="16" t="s">
        <v>27</v>
      </c>
      <c r="J31" s="16">
        <v>1</v>
      </c>
      <c r="K31" s="16">
        <v>0</v>
      </c>
      <c r="L31" s="16">
        <v>1</v>
      </c>
      <c r="M31" s="21">
        <f>IF(COUNTA(Table1719[[#This Row],[Passed1]:[Passed3]])=0, "", IF(SUM(Table1719[[#This Row],[Passed1]:[Passed3]])&gt;1, 1, 0))</f>
        <v>1</v>
      </c>
      <c r="N31" s="12"/>
      <c r="O31" s="12" t="s">
        <v>3337</v>
      </c>
      <c r="P31" s="12"/>
      <c r="Q31" s="22" cm="1">
        <f t="array" ref="Q31">SUM((Table1719[[#This Row],[Passed1]:[Passed3]])/3)</f>
        <v>0.66666666666666663</v>
      </c>
    </row>
    <row r="32" spans="1:17" ht="15" customHeight="1">
      <c r="A32" s="16">
        <v>90</v>
      </c>
      <c r="B32" s="16" t="s">
        <v>62</v>
      </c>
      <c r="C32" s="16" t="s">
        <v>58</v>
      </c>
      <c r="D32" s="76">
        <v>0.52400000000000002</v>
      </c>
      <c r="E32" s="16">
        <v>69</v>
      </c>
      <c r="F32" s="20">
        <v>45723.910439814812</v>
      </c>
      <c r="G32" s="20">
        <v>45723.911064814813</v>
      </c>
      <c r="H32" s="20">
        <v>45723.911932870367</v>
      </c>
      <c r="I32" s="16" t="s">
        <v>27</v>
      </c>
      <c r="J32" s="16">
        <v>1</v>
      </c>
      <c r="K32" s="16">
        <v>1</v>
      </c>
      <c r="L32" s="16">
        <v>1</v>
      </c>
      <c r="M32" s="21">
        <f>IF(COUNTA(Table1719[[#This Row],[Passed1]:[Passed3]])=0, "", IF(SUM(Table1719[[#This Row],[Passed1]:[Passed3]])&gt;1, 1, 0))</f>
        <v>1</v>
      </c>
      <c r="N32" s="12"/>
      <c r="O32" s="12"/>
      <c r="P32" s="12"/>
      <c r="Q32" s="22" cm="1">
        <f t="array" ref="Q32">SUM((Table1719[[#This Row],[Passed1]:[Passed3]])/3)</f>
        <v>1</v>
      </c>
    </row>
    <row r="33" spans="1:17" ht="15" customHeight="1">
      <c r="A33" s="16">
        <v>121</v>
      </c>
      <c r="B33" s="16" t="s">
        <v>66</v>
      </c>
      <c r="C33" s="16" t="s">
        <v>67</v>
      </c>
      <c r="D33" s="76">
        <v>0.42</v>
      </c>
      <c r="E33" s="16">
        <v>55</v>
      </c>
      <c r="F33" s="20">
        <v>45714.474305555559</v>
      </c>
      <c r="G33" s="20">
        <v>45714.474999999999</v>
      </c>
      <c r="H33" s="20">
        <v>45714.475694444445</v>
      </c>
      <c r="I33" s="16" t="s">
        <v>27</v>
      </c>
      <c r="J33" s="16">
        <v>1</v>
      </c>
      <c r="K33" s="16">
        <v>1</v>
      </c>
      <c r="L33" s="16">
        <v>1</v>
      </c>
      <c r="M33" s="21">
        <f>IF(COUNTA(Table1719[[#This Row],[Passed1]:[Passed3]])=0, "", IF(SUM(Table1719[[#This Row],[Passed1]:[Passed3]])&gt;1, 1, 0))</f>
        <v>1</v>
      </c>
      <c r="N33" s="12"/>
      <c r="O33" s="12"/>
      <c r="P33" s="12"/>
      <c r="Q33" s="22" cm="1">
        <f t="array" ref="Q33">SUM((Table1719[[#This Row],[Passed1]:[Passed3]])/3)</f>
        <v>1</v>
      </c>
    </row>
    <row r="34" spans="1:17" ht="15" customHeight="1">
      <c r="A34" s="16">
        <v>122</v>
      </c>
      <c r="B34" s="16" t="s">
        <v>68</v>
      </c>
      <c r="C34" s="16" t="s">
        <v>67</v>
      </c>
      <c r="D34" s="76">
        <v>0.36</v>
      </c>
      <c r="E34" s="16">
        <v>55</v>
      </c>
      <c r="F34" s="20">
        <v>45714.477777777778</v>
      </c>
      <c r="G34" s="20">
        <v>45714.479166666664</v>
      </c>
      <c r="H34" s="20">
        <v>45714.480555555558</v>
      </c>
      <c r="I34" s="16" t="s">
        <v>27</v>
      </c>
      <c r="J34" s="16">
        <v>0</v>
      </c>
      <c r="K34" s="16">
        <v>0</v>
      </c>
      <c r="L34" s="16">
        <v>1</v>
      </c>
      <c r="M34" s="21">
        <f>IF(COUNTA(Table1719[[#This Row],[Passed1]:[Passed3]])=0, "", IF(SUM(Table1719[[#This Row],[Passed1]:[Passed3]])&gt;1, 1, 0))</f>
        <v>0</v>
      </c>
      <c r="N34" s="12" t="s">
        <v>3321</v>
      </c>
      <c r="O34" s="12" t="s">
        <v>3321</v>
      </c>
      <c r="P34" s="12"/>
      <c r="Q34" s="22" cm="1">
        <f t="array" ref="Q34">SUM((Table1719[[#This Row],[Passed1]:[Passed3]])/3)</f>
        <v>0.33333333333333331</v>
      </c>
    </row>
    <row r="35" spans="1:17" ht="15" customHeight="1">
      <c r="A35" s="16">
        <v>123</v>
      </c>
      <c r="B35" s="16" t="s">
        <v>69</v>
      </c>
      <c r="C35" s="16" t="s">
        <v>67</v>
      </c>
      <c r="D35" s="76">
        <v>0.37</v>
      </c>
      <c r="E35" s="16">
        <v>55</v>
      </c>
      <c r="F35" s="20">
        <v>45714.482638888891</v>
      </c>
      <c r="G35" s="20">
        <v>45714.48333333333</v>
      </c>
      <c r="H35" s="20">
        <v>45714.484027777777</v>
      </c>
      <c r="I35" s="16" t="s">
        <v>27</v>
      </c>
      <c r="J35" s="16">
        <v>1</v>
      </c>
      <c r="K35" s="16">
        <v>1</v>
      </c>
      <c r="L35" s="16">
        <v>1</v>
      </c>
      <c r="M35" s="21">
        <f>IF(COUNTA(Table1719[[#This Row],[Passed1]:[Passed3]])=0, "", IF(SUM(Table1719[[#This Row],[Passed1]:[Passed3]])&gt;1, 1, 0))</f>
        <v>1</v>
      </c>
      <c r="N35" s="12"/>
      <c r="O35" s="12"/>
      <c r="P35" s="12"/>
      <c r="Q35" s="22" cm="1">
        <f t="array" ref="Q35">SUM((Table1719[[#This Row],[Passed1]:[Passed3]])/3)</f>
        <v>1</v>
      </c>
    </row>
    <row r="36" spans="1:17" ht="15" customHeight="1">
      <c r="A36" s="16">
        <v>124</v>
      </c>
      <c r="B36" s="16" t="s">
        <v>35</v>
      </c>
      <c r="C36" s="16" t="s">
        <v>67</v>
      </c>
      <c r="D36" s="76">
        <v>0.41199999999999998</v>
      </c>
      <c r="E36" s="16">
        <v>55</v>
      </c>
      <c r="F36" s="20">
        <v>45714.487500000003</v>
      </c>
      <c r="G36" s="20">
        <v>45714.488194444442</v>
      </c>
      <c r="H36" s="20">
        <v>45714.489583333336</v>
      </c>
      <c r="I36" s="16" t="s">
        <v>27</v>
      </c>
      <c r="J36" s="16">
        <v>1</v>
      </c>
      <c r="K36" s="16">
        <v>1</v>
      </c>
      <c r="L36" s="16">
        <v>1</v>
      </c>
      <c r="M36" s="21">
        <f>IF(COUNTA(Table1719[[#This Row],[Passed1]:[Passed3]])=0, "", IF(SUM(Table1719[[#This Row],[Passed1]:[Passed3]])&gt;1, 1, 0))</f>
        <v>1</v>
      </c>
      <c r="N36" s="12"/>
      <c r="O36" s="12"/>
      <c r="P36" s="12"/>
      <c r="Q36" s="22" cm="1">
        <f t="array" ref="Q36">SUM((Table1719[[#This Row],[Passed1]:[Passed3]])/3)</f>
        <v>1</v>
      </c>
    </row>
    <row r="37" spans="1:17" ht="15" customHeight="1">
      <c r="A37" s="16">
        <v>125</v>
      </c>
      <c r="B37" s="16" t="s">
        <v>70</v>
      </c>
      <c r="C37" s="16" t="s">
        <v>67</v>
      </c>
      <c r="D37" s="76">
        <v>0.435</v>
      </c>
      <c r="E37" s="16">
        <v>55</v>
      </c>
      <c r="F37" s="20">
        <v>45714.493055555555</v>
      </c>
      <c r="G37" s="20">
        <v>45714.495833333334</v>
      </c>
      <c r="H37" s="20">
        <v>45714.497916666667</v>
      </c>
      <c r="I37" s="16" t="s">
        <v>27</v>
      </c>
      <c r="J37" s="16">
        <v>1</v>
      </c>
      <c r="K37" s="16">
        <v>1</v>
      </c>
      <c r="L37" s="16">
        <v>1</v>
      </c>
      <c r="M37" s="21">
        <f>IF(COUNTA(Table1719[[#This Row],[Passed1]:[Passed3]])=0, "", IF(SUM(Table1719[[#This Row],[Passed1]:[Passed3]])&gt;1, 1, 0))</f>
        <v>1</v>
      </c>
      <c r="N37" s="12"/>
      <c r="O37" s="12"/>
      <c r="P37" s="12"/>
      <c r="Q37" s="22" cm="1">
        <f t="array" ref="Q37">SUM((Table1719[[#This Row],[Passed1]:[Passed3]])/3)</f>
        <v>1</v>
      </c>
    </row>
    <row r="38" spans="1:17" ht="15" customHeight="1">
      <c r="A38" s="16">
        <v>126</v>
      </c>
      <c r="B38" s="16" t="s">
        <v>39</v>
      </c>
      <c r="C38" s="16" t="s">
        <v>67</v>
      </c>
      <c r="D38" s="76">
        <v>0.41199999999999998</v>
      </c>
      <c r="E38" s="16">
        <v>55</v>
      </c>
      <c r="F38" s="20">
        <v>45714.503472222219</v>
      </c>
      <c r="G38" s="20">
        <v>45714.504166666666</v>
      </c>
      <c r="H38" s="20">
        <v>45714.506249999999</v>
      </c>
      <c r="I38" s="16" t="s">
        <v>27</v>
      </c>
      <c r="J38" s="16">
        <v>1</v>
      </c>
      <c r="K38" s="16">
        <v>1</v>
      </c>
      <c r="L38" s="16">
        <v>1</v>
      </c>
      <c r="M38" s="21">
        <f>IF(COUNTA(Table1719[[#This Row],[Passed1]:[Passed3]])=0, "", IF(SUM(Table1719[[#This Row],[Passed1]:[Passed3]])&gt;1, 1, 0))</f>
        <v>1</v>
      </c>
      <c r="N38" s="12"/>
      <c r="O38" s="12"/>
      <c r="P38" s="12"/>
      <c r="Q38" s="22" cm="1">
        <f t="array" ref="Q38">SUM((Table1719[[#This Row],[Passed1]:[Passed3]])/3)</f>
        <v>1</v>
      </c>
    </row>
    <row r="39" spans="1:17" ht="15" customHeight="1">
      <c r="A39" s="16">
        <v>127</v>
      </c>
      <c r="B39" s="16" t="s">
        <v>72</v>
      </c>
      <c r="C39" s="16" t="s">
        <v>67</v>
      </c>
      <c r="D39" s="76">
        <v>0.53500000000000003</v>
      </c>
      <c r="E39" s="16">
        <v>55</v>
      </c>
      <c r="F39" s="20">
        <v>45714.507638888892</v>
      </c>
      <c r="G39" s="20">
        <v>45714.508333333331</v>
      </c>
      <c r="H39" s="20">
        <v>45714.509722222225</v>
      </c>
      <c r="I39" s="16" t="s">
        <v>27</v>
      </c>
      <c r="J39" s="16">
        <v>1</v>
      </c>
      <c r="K39" s="16">
        <v>1</v>
      </c>
      <c r="L39" s="16">
        <v>1</v>
      </c>
      <c r="M39" s="21">
        <f>IF(COUNTA(Table1719[[#This Row],[Passed1]:[Passed3]])=0, "", IF(SUM(Table1719[[#This Row],[Passed1]:[Passed3]])&gt;1, 1, 0))</f>
        <v>1</v>
      </c>
      <c r="N39" s="12"/>
      <c r="O39" s="12"/>
      <c r="P39" s="12"/>
      <c r="Q39" s="22" cm="1">
        <f t="array" ref="Q39">SUM((Table1719[[#This Row],[Passed1]:[Passed3]])/3)</f>
        <v>1</v>
      </c>
    </row>
    <row r="40" spans="1:17" ht="15" customHeight="1">
      <c r="A40" s="16">
        <v>128</v>
      </c>
      <c r="B40" s="16" t="s">
        <v>73</v>
      </c>
      <c r="C40" s="16" t="s">
        <v>67</v>
      </c>
      <c r="D40" s="76">
        <v>0.52900000000000003</v>
      </c>
      <c r="E40" s="16">
        <v>55</v>
      </c>
      <c r="F40" s="20">
        <v>45714.511805555558</v>
      </c>
      <c r="G40" s="20">
        <v>45714.512499999997</v>
      </c>
      <c r="H40" s="20">
        <v>45714.513888888891</v>
      </c>
      <c r="I40" s="16" t="s">
        <v>27</v>
      </c>
      <c r="J40" s="16">
        <v>1</v>
      </c>
      <c r="K40" s="16">
        <v>1</v>
      </c>
      <c r="L40" s="16">
        <v>1</v>
      </c>
      <c r="M40" s="21">
        <f>IF(COUNTA(Table1719[[#This Row],[Passed1]:[Passed3]])=0, "", IF(SUM(Table1719[[#This Row],[Passed1]:[Passed3]])&gt;1, 1, 0))</f>
        <v>1</v>
      </c>
      <c r="N40" s="12"/>
      <c r="O40" s="12"/>
      <c r="P40" s="12"/>
      <c r="Q40" s="22" cm="1">
        <f t="array" ref="Q40">SUM((Table1719[[#This Row],[Passed1]:[Passed3]])/3)</f>
        <v>1</v>
      </c>
    </row>
    <row r="41" spans="1:17" ht="15" customHeight="1">
      <c r="A41" s="16">
        <v>129</v>
      </c>
      <c r="B41" s="16" t="s">
        <v>74</v>
      </c>
      <c r="C41" s="16" t="s">
        <v>67</v>
      </c>
      <c r="D41" s="76">
        <v>0.49299999999999999</v>
      </c>
      <c r="E41" s="16">
        <v>55</v>
      </c>
      <c r="F41" s="20">
        <v>45714.515972222223</v>
      </c>
      <c r="G41" s="20">
        <v>45714.51666666667</v>
      </c>
      <c r="H41" s="20">
        <v>45714.518055555556</v>
      </c>
      <c r="I41" s="16" t="s">
        <v>27</v>
      </c>
      <c r="J41" s="16">
        <v>1</v>
      </c>
      <c r="K41" s="16">
        <v>1</v>
      </c>
      <c r="L41" s="16">
        <v>1</v>
      </c>
      <c r="M41" s="21">
        <f>IF(COUNTA(Table1719[[#This Row],[Passed1]:[Passed3]])=0, "", IF(SUM(Table1719[[#This Row],[Passed1]:[Passed3]])&gt;1, 1, 0))</f>
        <v>1</v>
      </c>
      <c r="N41" s="12"/>
      <c r="O41" s="12"/>
      <c r="P41" s="12"/>
      <c r="Q41" s="22" cm="1">
        <f t="array" ref="Q41">SUM((Table1719[[#This Row],[Passed1]:[Passed3]])/3)</f>
        <v>1</v>
      </c>
    </row>
    <row r="42" spans="1:17" ht="15" customHeight="1">
      <c r="A42" s="16">
        <v>130</v>
      </c>
      <c r="B42" s="16" t="s">
        <v>75</v>
      </c>
      <c r="C42" s="16" t="s">
        <v>67</v>
      </c>
      <c r="D42" s="76">
        <v>0.46899999999999997</v>
      </c>
      <c r="E42" s="16">
        <v>55</v>
      </c>
      <c r="F42" s="20">
        <v>45714.519444444442</v>
      </c>
      <c r="G42" s="20">
        <v>45714.520833333336</v>
      </c>
      <c r="H42" s="20">
        <v>45714.522222222222</v>
      </c>
      <c r="I42" s="16" t="s">
        <v>27</v>
      </c>
      <c r="J42" s="16">
        <v>1</v>
      </c>
      <c r="K42" s="16">
        <v>1</v>
      </c>
      <c r="L42" s="16">
        <v>1</v>
      </c>
      <c r="M42" s="21">
        <f>IF(COUNTA(Table1719[[#This Row],[Passed1]:[Passed3]])=0, "", IF(SUM(Table1719[[#This Row],[Passed1]:[Passed3]])&gt;1, 1, 0))</f>
        <v>1</v>
      </c>
      <c r="N42" s="12"/>
      <c r="O42" s="12"/>
      <c r="P42" s="12"/>
      <c r="Q42" s="22" cm="1">
        <f t="array" ref="Q42">SUM((Table1719[[#This Row],[Passed1]:[Passed3]])/3)</f>
        <v>1</v>
      </c>
    </row>
    <row r="43" spans="1:17" ht="15" customHeight="1">
      <c r="A43" s="16">
        <v>131</v>
      </c>
      <c r="B43" s="16" t="s">
        <v>76</v>
      </c>
      <c r="C43" s="16" t="s">
        <v>67</v>
      </c>
      <c r="D43" s="76">
        <v>0.48399999999999999</v>
      </c>
      <c r="E43" s="16">
        <v>55</v>
      </c>
      <c r="F43" s="20">
        <v>45714.560416666667</v>
      </c>
      <c r="G43" s="20">
        <v>45714.561111111114</v>
      </c>
      <c r="H43" s="20">
        <v>45714.5625</v>
      </c>
      <c r="I43" s="16" t="s">
        <v>27</v>
      </c>
      <c r="J43" s="16">
        <v>0</v>
      </c>
      <c r="K43" s="16">
        <v>0</v>
      </c>
      <c r="L43" s="16">
        <v>0</v>
      </c>
      <c r="M43" s="21">
        <f>IF(COUNTA(Table1719[[#This Row],[Passed1]:[Passed3]])=0, "", IF(SUM(Table1719[[#This Row],[Passed1]:[Passed3]])&gt;1, 1, 0))</f>
        <v>0</v>
      </c>
      <c r="N43" s="12" t="s">
        <v>3321</v>
      </c>
      <c r="O43" s="12" t="s">
        <v>3321</v>
      </c>
      <c r="P43" s="12" t="s">
        <v>3321</v>
      </c>
      <c r="Q43" s="22" cm="1">
        <f t="array" ref="Q43">SUM((Table1719[[#This Row],[Passed1]:[Passed3]])/3)</f>
        <v>0</v>
      </c>
    </row>
    <row r="44" spans="1:17" ht="15" customHeight="1">
      <c r="A44" s="16">
        <v>132</v>
      </c>
      <c r="B44" s="16" t="s">
        <v>77</v>
      </c>
      <c r="C44" s="16" t="s">
        <v>67</v>
      </c>
      <c r="D44" s="76">
        <v>0.51700000000000002</v>
      </c>
      <c r="E44" s="16">
        <v>55</v>
      </c>
      <c r="F44" s="20">
        <v>45714.576388888891</v>
      </c>
      <c r="G44" s="20">
        <v>45714.577777777777</v>
      </c>
      <c r="H44" s="20">
        <v>45714.578472222223</v>
      </c>
      <c r="I44" s="16" t="s">
        <v>27</v>
      </c>
      <c r="J44" s="16">
        <v>1</v>
      </c>
      <c r="K44" s="16">
        <v>1</v>
      </c>
      <c r="L44" s="16">
        <v>1</v>
      </c>
      <c r="M44" s="21">
        <f>IF(COUNTA(Table1719[[#This Row],[Passed1]:[Passed3]])=0, "", IF(SUM(Table1719[[#This Row],[Passed1]:[Passed3]])&gt;1, 1, 0))</f>
        <v>1</v>
      </c>
      <c r="N44" s="12"/>
      <c r="O44" s="12"/>
      <c r="P44" s="12"/>
      <c r="Q44" s="22" cm="1">
        <f t="array" ref="Q44">SUM((Table1719[[#This Row],[Passed1]:[Passed3]])/3)</f>
        <v>1</v>
      </c>
    </row>
    <row r="45" spans="1:17" ht="15" customHeight="1">
      <c r="A45" s="16">
        <v>133</v>
      </c>
      <c r="B45" s="16" t="s">
        <v>78</v>
      </c>
      <c r="C45" s="16" t="s">
        <v>67</v>
      </c>
      <c r="D45" s="76">
        <v>0.52300000000000002</v>
      </c>
      <c r="E45" s="16">
        <v>55</v>
      </c>
      <c r="F45" s="20">
        <v>45714.581250000003</v>
      </c>
      <c r="G45" s="20">
        <v>45714.582638888889</v>
      </c>
      <c r="H45" s="20">
        <v>45714.584027777775</v>
      </c>
      <c r="I45" s="16" t="s">
        <v>27</v>
      </c>
      <c r="J45" s="16">
        <v>1</v>
      </c>
      <c r="K45" s="16">
        <v>1</v>
      </c>
      <c r="L45" s="16">
        <v>1</v>
      </c>
      <c r="M45" s="21">
        <f>IF(COUNTA(Table1719[[#This Row],[Passed1]:[Passed3]])=0, "", IF(SUM(Table1719[[#This Row],[Passed1]:[Passed3]])&gt;1, 1, 0))</f>
        <v>1</v>
      </c>
      <c r="N45" s="12"/>
      <c r="O45" s="12"/>
      <c r="P45" s="12"/>
      <c r="Q45" s="22" cm="1">
        <f t="array" ref="Q45">SUM((Table1719[[#This Row],[Passed1]:[Passed3]])/3)</f>
        <v>1</v>
      </c>
    </row>
    <row r="46" spans="1:17" ht="15" customHeight="1">
      <c r="A46" s="16">
        <v>134</v>
      </c>
      <c r="B46" s="16" t="s">
        <v>79</v>
      </c>
      <c r="C46" s="16" t="s">
        <v>67</v>
      </c>
      <c r="D46" s="76">
        <v>0.54900000000000004</v>
      </c>
      <c r="E46" s="16">
        <v>55</v>
      </c>
      <c r="F46" s="20">
        <v>45714.587500000001</v>
      </c>
      <c r="G46" s="20">
        <v>45714.590277777781</v>
      </c>
      <c r="H46" s="20">
        <v>45714.593055555553</v>
      </c>
      <c r="I46" s="16" t="s">
        <v>27</v>
      </c>
      <c r="J46" s="16">
        <v>1</v>
      </c>
      <c r="K46" s="16">
        <v>1</v>
      </c>
      <c r="L46" s="16">
        <v>1</v>
      </c>
      <c r="M46" s="21">
        <f>IF(COUNTA(Table1719[[#This Row],[Passed1]:[Passed3]])=0, "", IF(SUM(Table1719[[#This Row],[Passed1]:[Passed3]])&gt;1, 1, 0))</f>
        <v>1</v>
      </c>
      <c r="N46" s="12"/>
      <c r="O46" s="12"/>
      <c r="P46" s="12"/>
      <c r="Q46" s="22" cm="1">
        <f t="array" ref="Q46">SUM((Table1719[[#This Row],[Passed1]:[Passed3]])/3)</f>
        <v>1</v>
      </c>
    </row>
    <row r="47" spans="1:17" ht="15" customHeight="1">
      <c r="A47" s="16">
        <v>135</v>
      </c>
      <c r="B47" s="16" t="s">
        <v>80</v>
      </c>
      <c r="C47" s="16" t="s">
        <v>81</v>
      </c>
      <c r="D47" s="76">
        <v>0.48499999999999999</v>
      </c>
      <c r="E47" s="16">
        <v>6</v>
      </c>
      <c r="F47" s="20">
        <v>45714.594444444447</v>
      </c>
      <c r="G47" s="20">
        <v>45714.59652777778</v>
      </c>
      <c r="H47" s="20">
        <v>45714.597916666666</v>
      </c>
      <c r="I47" s="16" t="s">
        <v>24</v>
      </c>
      <c r="J47" s="16">
        <v>1</v>
      </c>
      <c r="K47" s="16">
        <v>1</v>
      </c>
      <c r="L47" s="16">
        <v>1</v>
      </c>
      <c r="M47" s="21">
        <f>IF(COUNTA(Table1719[[#This Row],[Passed1]:[Passed3]])=0, "", IF(SUM(Table1719[[#This Row],[Passed1]:[Passed3]])&gt;1, 1, 0))</f>
        <v>1</v>
      </c>
      <c r="N47" s="12"/>
      <c r="O47" s="12"/>
      <c r="P47" s="12"/>
      <c r="Q47" s="22" cm="1">
        <f t="array" ref="Q47">SUM((Table1719[[#This Row],[Passed1]:[Passed3]])/3)</f>
        <v>1</v>
      </c>
    </row>
    <row r="48" spans="1:17" ht="15" customHeight="1">
      <c r="A48" s="16">
        <v>166</v>
      </c>
      <c r="B48" s="16" t="s">
        <v>85</v>
      </c>
      <c r="C48" s="16" t="s">
        <v>86</v>
      </c>
      <c r="D48" s="76">
        <v>0.21299999999999999</v>
      </c>
      <c r="E48" s="16">
        <v>67</v>
      </c>
      <c r="F48" s="20">
        <v>45721.397222222222</v>
      </c>
      <c r="G48" s="20">
        <v>45721.398611111108</v>
      </c>
      <c r="H48" s="20">
        <v>45721.486111111109</v>
      </c>
      <c r="I48" s="16" t="s">
        <v>27</v>
      </c>
      <c r="J48" s="16">
        <v>1</v>
      </c>
      <c r="K48" s="16">
        <v>1</v>
      </c>
      <c r="L48" s="16">
        <v>1</v>
      </c>
      <c r="M48" s="21">
        <f>IF(COUNTA(Table1719[[#This Row],[Passed1]:[Passed3]])=0, "", IF(SUM(Table1719[[#This Row],[Passed1]:[Passed3]])&gt;1, 1, 0))</f>
        <v>1</v>
      </c>
      <c r="N48" s="12"/>
      <c r="O48" s="12"/>
      <c r="P48" s="12"/>
      <c r="Q48" s="22" cm="1">
        <f t="array" ref="Q48">SUM((Table1719[[#This Row],[Passed1]:[Passed3]])/3)</f>
        <v>1</v>
      </c>
    </row>
    <row r="49" spans="1:17" ht="15" customHeight="1">
      <c r="A49" s="16">
        <v>167</v>
      </c>
      <c r="B49" s="16" t="s">
        <v>87</v>
      </c>
      <c r="C49" s="16" t="s">
        <v>86</v>
      </c>
      <c r="D49" s="76">
        <v>0.23400000000000001</v>
      </c>
      <c r="E49" s="16">
        <v>67</v>
      </c>
      <c r="F49" s="20">
        <v>45721.487500000003</v>
      </c>
      <c r="G49" s="20">
        <v>45721.488194444442</v>
      </c>
      <c r="H49" s="20">
        <v>45721.490277777775</v>
      </c>
      <c r="I49" s="16" t="s">
        <v>27</v>
      </c>
      <c r="J49" s="16">
        <v>1</v>
      </c>
      <c r="K49" s="16">
        <v>1</v>
      </c>
      <c r="L49" s="16">
        <v>1</v>
      </c>
      <c r="M49" s="21">
        <f>IF(COUNTA(Table1719[[#This Row],[Passed1]:[Passed3]])=0, "", IF(SUM(Table1719[[#This Row],[Passed1]:[Passed3]])&gt;1, 1, 0))</f>
        <v>1</v>
      </c>
      <c r="N49" s="12"/>
      <c r="O49" s="12"/>
      <c r="P49" s="12"/>
      <c r="Q49" s="22" cm="1">
        <f t="array" ref="Q49">SUM((Table1719[[#This Row],[Passed1]:[Passed3]])/3)</f>
        <v>1</v>
      </c>
    </row>
    <row r="50" spans="1:17" ht="15" customHeight="1">
      <c r="A50" s="16">
        <v>168</v>
      </c>
      <c r="B50" s="16" t="s">
        <v>88</v>
      </c>
      <c r="C50" s="16" t="s">
        <v>86</v>
      </c>
      <c r="D50" s="76">
        <v>0.317</v>
      </c>
      <c r="E50" s="16">
        <v>67</v>
      </c>
      <c r="F50" s="20">
        <v>45721.490972222222</v>
      </c>
      <c r="G50" s="20">
        <v>45721.492361111108</v>
      </c>
      <c r="H50" s="20">
        <v>45721.493750000001</v>
      </c>
      <c r="I50" s="16" t="s">
        <v>27</v>
      </c>
      <c r="J50" s="16">
        <v>1</v>
      </c>
      <c r="K50" s="16">
        <v>1</v>
      </c>
      <c r="L50" s="16">
        <v>1</v>
      </c>
      <c r="M50" s="21">
        <f>IF(COUNTA(Table1719[[#This Row],[Passed1]:[Passed3]])=0, "", IF(SUM(Table1719[[#This Row],[Passed1]:[Passed3]])&gt;1, 1, 0))</f>
        <v>1</v>
      </c>
      <c r="N50" s="12"/>
      <c r="O50" s="12"/>
      <c r="P50" s="12"/>
      <c r="Q50" s="22" cm="1">
        <f t="array" ref="Q50">SUM((Table1719[[#This Row],[Passed1]:[Passed3]])/3)</f>
        <v>1</v>
      </c>
    </row>
    <row r="51" spans="1:17" ht="15" customHeight="1">
      <c r="A51" s="16">
        <v>169</v>
      </c>
      <c r="B51" s="16" t="s">
        <v>89</v>
      </c>
      <c r="C51" s="16" t="s">
        <v>86</v>
      </c>
      <c r="D51" s="76">
        <v>0.32700000000000001</v>
      </c>
      <c r="E51" s="16">
        <v>67</v>
      </c>
      <c r="F51" s="20">
        <v>45721.495138888888</v>
      </c>
      <c r="G51" s="20">
        <v>45721.496527777781</v>
      </c>
      <c r="H51" s="20">
        <v>45721.499305555553</v>
      </c>
      <c r="I51" s="16" t="s">
        <v>27</v>
      </c>
      <c r="J51" s="16">
        <v>1</v>
      </c>
      <c r="K51" s="16">
        <v>1</v>
      </c>
      <c r="L51" s="16">
        <v>1</v>
      </c>
      <c r="M51" s="21">
        <f>IF(COUNTA(Table1719[[#This Row],[Passed1]:[Passed3]])=0, "", IF(SUM(Table1719[[#This Row],[Passed1]:[Passed3]])&gt;1, 1, 0))</f>
        <v>1</v>
      </c>
      <c r="N51" s="12"/>
      <c r="O51" s="12"/>
      <c r="P51" s="12"/>
      <c r="Q51" s="22" cm="1">
        <f t="array" ref="Q51">SUM((Table1719[[#This Row],[Passed1]:[Passed3]])/3)</f>
        <v>1</v>
      </c>
    </row>
    <row r="52" spans="1:17" ht="15" customHeight="1">
      <c r="A52" s="16">
        <v>170</v>
      </c>
      <c r="B52" s="16" t="s">
        <v>90</v>
      </c>
      <c r="C52" s="16" t="s">
        <v>86</v>
      </c>
      <c r="D52" s="76">
        <v>0.35799999999999998</v>
      </c>
      <c r="E52" s="16">
        <v>67</v>
      </c>
      <c r="F52" s="20">
        <v>45721.501388888886</v>
      </c>
      <c r="G52" s="20">
        <v>45721.502083333333</v>
      </c>
      <c r="H52" s="20">
        <v>45721.504166666666</v>
      </c>
      <c r="I52" s="16" t="s">
        <v>27</v>
      </c>
      <c r="J52" s="16">
        <v>1</v>
      </c>
      <c r="K52" s="16">
        <v>1</v>
      </c>
      <c r="L52" s="16">
        <v>1</v>
      </c>
      <c r="M52" s="21">
        <f>IF(COUNTA(Table1719[[#This Row],[Passed1]:[Passed3]])=0, "", IF(SUM(Table1719[[#This Row],[Passed1]:[Passed3]])&gt;1, 1, 0))</f>
        <v>1</v>
      </c>
      <c r="N52" s="12"/>
      <c r="O52" s="12"/>
      <c r="P52" s="12"/>
      <c r="Q52" s="22" cm="1">
        <f t="array" ref="Q52">SUM((Table1719[[#This Row],[Passed1]:[Passed3]])/3)</f>
        <v>1</v>
      </c>
    </row>
    <row r="53" spans="1:17" ht="15" customHeight="1">
      <c r="A53" s="16">
        <v>171</v>
      </c>
      <c r="B53" s="16" t="s">
        <v>91</v>
      </c>
      <c r="C53" s="16" t="s">
        <v>86</v>
      </c>
      <c r="D53" s="76">
        <v>0.379</v>
      </c>
      <c r="E53" s="16">
        <v>67</v>
      </c>
      <c r="F53" s="20">
        <v>45721.506944444445</v>
      </c>
      <c r="G53" s="20">
        <v>45721.508333333331</v>
      </c>
      <c r="H53" s="20">
        <v>45721.510416666664</v>
      </c>
      <c r="I53" s="16" t="s">
        <v>27</v>
      </c>
      <c r="J53" s="16">
        <v>0</v>
      </c>
      <c r="K53" s="16">
        <v>1</v>
      </c>
      <c r="L53" s="16">
        <v>1</v>
      </c>
      <c r="M53" s="21">
        <f>IF(COUNTA(Table1719[[#This Row],[Passed1]:[Passed3]])=0, "", IF(SUM(Table1719[[#This Row],[Passed1]:[Passed3]])&gt;1, 1, 0))</f>
        <v>1</v>
      </c>
      <c r="N53" s="12" t="s">
        <v>3336</v>
      </c>
      <c r="O53" s="12"/>
      <c r="P53" s="12"/>
      <c r="Q53" s="22" cm="1">
        <f t="array" ref="Q53">SUM((Table1719[[#This Row],[Passed1]:[Passed3]])/3)</f>
        <v>0.66666666666666663</v>
      </c>
    </row>
    <row r="54" spans="1:17" ht="15" customHeight="1">
      <c r="A54" s="16">
        <v>172</v>
      </c>
      <c r="B54" s="16" t="s">
        <v>92</v>
      </c>
      <c r="C54" s="16" t="s">
        <v>86</v>
      </c>
      <c r="D54" s="76">
        <v>0.36599999999999999</v>
      </c>
      <c r="E54" s="16">
        <v>67</v>
      </c>
      <c r="F54" s="20">
        <v>45721.511805555558</v>
      </c>
      <c r="G54" s="20">
        <v>45721.512499999997</v>
      </c>
      <c r="H54" s="20">
        <v>45721.513888888891</v>
      </c>
      <c r="I54" s="16" t="s">
        <v>27</v>
      </c>
      <c r="J54" s="16">
        <v>1</v>
      </c>
      <c r="K54" s="16">
        <v>1</v>
      </c>
      <c r="L54" s="16">
        <v>1</v>
      </c>
      <c r="M54" s="21">
        <f>IF(COUNTA(Table1719[[#This Row],[Passed1]:[Passed3]])=0, "", IF(SUM(Table1719[[#This Row],[Passed1]:[Passed3]])&gt;1, 1, 0))</f>
        <v>1</v>
      </c>
      <c r="N54" s="12"/>
      <c r="O54" s="12"/>
      <c r="P54" s="12"/>
      <c r="Q54" s="22" cm="1">
        <f t="array" ref="Q54">SUM((Table1719[[#This Row],[Passed1]:[Passed3]])/3)</f>
        <v>1</v>
      </c>
    </row>
    <row r="55" spans="1:17" ht="15" customHeight="1">
      <c r="A55" s="16">
        <v>173</v>
      </c>
      <c r="B55" s="16" t="s">
        <v>93</v>
      </c>
      <c r="C55" s="16" t="s">
        <v>86</v>
      </c>
      <c r="D55" s="76">
        <v>0.39600000000000002</v>
      </c>
      <c r="E55" s="16">
        <v>67</v>
      </c>
      <c r="F55" s="20">
        <v>45721.515277777777</v>
      </c>
      <c r="G55" s="20">
        <v>45721.515972222223</v>
      </c>
      <c r="H55" s="20">
        <v>45721.517361111109</v>
      </c>
      <c r="I55" s="16" t="s">
        <v>27</v>
      </c>
      <c r="J55" s="16">
        <v>1</v>
      </c>
      <c r="K55" s="16">
        <v>1</v>
      </c>
      <c r="L55" s="16">
        <v>1</v>
      </c>
      <c r="M55" s="21">
        <f>IF(COUNTA(Table1719[[#This Row],[Passed1]:[Passed3]])=0, "", IF(SUM(Table1719[[#This Row],[Passed1]:[Passed3]])&gt;1, 1, 0))</f>
        <v>1</v>
      </c>
      <c r="N55" s="12"/>
      <c r="O55" s="12"/>
      <c r="P55" s="12"/>
      <c r="Q55" s="22" cm="1">
        <f t="array" ref="Q55">SUM((Table1719[[#This Row],[Passed1]:[Passed3]])/3)</f>
        <v>1</v>
      </c>
    </row>
    <row r="56" spans="1:17" ht="15" customHeight="1">
      <c r="A56" s="16">
        <v>174</v>
      </c>
      <c r="B56" s="16" t="s">
        <v>94</v>
      </c>
      <c r="C56" s="16" t="s">
        <v>86</v>
      </c>
      <c r="D56" s="76">
        <v>0.41899999999999998</v>
      </c>
      <c r="E56" s="16">
        <v>67</v>
      </c>
      <c r="F56" s="20">
        <v>45721.586111111108</v>
      </c>
      <c r="G56" s="20">
        <v>45721.586805555555</v>
      </c>
      <c r="H56" s="20">
        <v>45721.588194444441</v>
      </c>
      <c r="I56" s="16" t="s">
        <v>27</v>
      </c>
      <c r="J56" s="16">
        <v>1</v>
      </c>
      <c r="K56" s="16">
        <v>1</v>
      </c>
      <c r="L56" s="16">
        <v>1</v>
      </c>
      <c r="M56" s="21">
        <f>IF(COUNTA(Table1719[[#This Row],[Passed1]:[Passed3]])=0, "", IF(SUM(Table1719[[#This Row],[Passed1]:[Passed3]])&gt;1, 1, 0))</f>
        <v>1</v>
      </c>
      <c r="N56" s="12"/>
      <c r="O56" s="12"/>
      <c r="P56" s="12"/>
      <c r="Q56" s="22" cm="1">
        <f t="array" ref="Q56">SUM((Table1719[[#This Row],[Passed1]:[Passed3]])/3)</f>
        <v>1</v>
      </c>
    </row>
    <row r="57" spans="1:17" ht="15" customHeight="1">
      <c r="A57" s="16">
        <v>175</v>
      </c>
      <c r="B57" s="16" t="s">
        <v>95</v>
      </c>
      <c r="C57" s="16" t="s">
        <v>86</v>
      </c>
      <c r="D57" s="76">
        <v>0.40500000000000003</v>
      </c>
      <c r="E57" s="16">
        <v>67</v>
      </c>
      <c r="F57" s="20">
        <v>45721.589583333334</v>
      </c>
      <c r="G57" s="20">
        <v>45721.590277777781</v>
      </c>
      <c r="H57" s="20">
        <v>45721.591666666667</v>
      </c>
      <c r="I57" s="16" t="s">
        <v>27</v>
      </c>
      <c r="J57" s="16">
        <v>1</v>
      </c>
      <c r="K57" s="16">
        <v>1</v>
      </c>
      <c r="L57" s="16">
        <v>1</v>
      </c>
      <c r="M57" s="21">
        <f>IF(COUNTA(Table1719[[#This Row],[Passed1]:[Passed3]])=0, "", IF(SUM(Table1719[[#This Row],[Passed1]:[Passed3]])&gt;1, 1, 0))</f>
        <v>1</v>
      </c>
      <c r="N57" s="12"/>
      <c r="O57" s="12"/>
      <c r="P57" s="12"/>
      <c r="Q57" s="22" cm="1">
        <f t="array" ref="Q57">SUM((Table1719[[#This Row],[Passed1]:[Passed3]])/3)</f>
        <v>1</v>
      </c>
    </row>
    <row r="58" spans="1:17" ht="15" customHeight="1">
      <c r="A58" s="16">
        <v>176</v>
      </c>
      <c r="B58" s="16" t="s">
        <v>96</v>
      </c>
      <c r="C58" s="16" t="s">
        <v>86</v>
      </c>
      <c r="D58" s="76">
        <v>0.36899999999999999</v>
      </c>
      <c r="E58" s="16">
        <v>67</v>
      </c>
      <c r="F58" s="20">
        <v>45721.59375</v>
      </c>
      <c r="G58" s="20">
        <v>45721.595138888886</v>
      </c>
      <c r="H58" s="20">
        <v>45721.597222222219</v>
      </c>
      <c r="I58" s="16" t="s">
        <v>27</v>
      </c>
      <c r="J58" s="16">
        <v>0</v>
      </c>
      <c r="K58" s="16">
        <v>0</v>
      </c>
      <c r="L58" s="16">
        <v>0</v>
      </c>
      <c r="M58" s="21">
        <f>IF(COUNTA(Table1719[[#This Row],[Passed1]:[Passed3]])=0, "", IF(SUM(Table1719[[#This Row],[Passed1]:[Passed3]])&gt;1, 1, 0))</f>
        <v>0</v>
      </c>
      <c r="N58" s="12" t="s">
        <v>3321</v>
      </c>
      <c r="O58" s="12" t="s">
        <v>3321</v>
      </c>
      <c r="P58" s="12" t="s">
        <v>3321</v>
      </c>
      <c r="Q58" s="22" cm="1">
        <f t="array" ref="Q58">SUM((Table1719[[#This Row],[Passed1]:[Passed3]])/3)</f>
        <v>0</v>
      </c>
    </row>
    <row r="59" spans="1:17" ht="15" customHeight="1">
      <c r="A59" s="16">
        <v>177</v>
      </c>
      <c r="B59" s="16" t="s">
        <v>97</v>
      </c>
      <c r="C59" s="16" t="s">
        <v>86</v>
      </c>
      <c r="D59" s="76">
        <v>0.436</v>
      </c>
      <c r="E59" s="16">
        <v>67</v>
      </c>
      <c r="F59" s="20">
        <v>45721.598611111112</v>
      </c>
      <c r="G59" s="20">
        <v>45721.599305555559</v>
      </c>
      <c r="H59" s="20">
        <v>45721.600694444445</v>
      </c>
      <c r="I59" s="16" t="s">
        <v>27</v>
      </c>
      <c r="J59" s="16">
        <v>1</v>
      </c>
      <c r="K59" s="16">
        <v>1</v>
      </c>
      <c r="L59" s="16">
        <v>1</v>
      </c>
      <c r="M59" s="21">
        <f>IF(COUNTA(Table1719[[#This Row],[Passed1]:[Passed3]])=0, "", IF(SUM(Table1719[[#This Row],[Passed1]:[Passed3]])&gt;1, 1, 0))</f>
        <v>1</v>
      </c>
      <c r="N59" s="12"/>
      <c r="O59" s="12"/>
      <c r="P59" s="12"/>
      <c r="Q59" s="22" cm="1">
        <f t="array" ref="Q59">SUM((Table1719[[#This Row],[Passed1]:[Passed3]])/3)</f>
        <v>1</v>
      </c>
    </row>
    <row r="60" spans="1:17" ht="15" customHeight="1">
      <c r="A60" s="16">
        <v>178</v>
      </c>
      <c r="B60" s="16" t="s">
        <v>98</v>
      </c>
      <c r="C60" s="16" t="s">
        <v>86</v>
      </c>
      <c r="D60" s="76">
        <v>0.42699999999999999</v>
      </c>
      <c r="E60" s="16">
        <v>67</v>
      </c>
      <c r="F60" s="20">
        <v>45721.602083333331</v>
      </c>
      <c r="G60" s="20">
        <v>45721.603472222225</v>
      </c>
      <c r="H60" s="20">
        <v>45721.604166666664</v>
      </c>
      <c r="I60" s="16" t="s">
        <v>27</v>
      </c>
      <c r="J60" s="16">
        <v>1</v>
      </c>
      <c r="K60" s="16">
        <v>1</v>
      </c>
      <c r="L60" s="16">
        <v>1</v>
      </c>
      <c r="M60" s="21">
        <f>IF(COUNTA(Table1719[[#This Row],[Passed1]:[Passed3]])=0, "", IF(SUM(Table1719[[#This Row],[Passed1]:[Passed3]])&gt;1, 1, 0))</f>
        <v>1</v>
      </c>
      <c r="N60" s="12"/>
      <c r="O60" s="12"/>
      <c r="P60" s="12"/>
      <c r="Q60" s="22" cm="1">
        <f t="array" ref="Q60">SUM((Table1719[[#This Row],[Passed1]:[Passed3]])/3)</f>
        <v>1</v>
      </c>
    </row>
    <row r="61" spans="1:17" ht="15" customHeight="1">
      <c r="A61" s="16">
        <v>179</v>
      </c>
      <c r="B61" s="16" t="s">
        <v>99</v>
      </c>
      <c r="C61" s="16" t="s">
        <v>86</v>
      </c>
      <c r="D61" s="76">
        <v>0.44800000000000001</v>
      </c>
      <c r="E61" s="16">
        <v>67</v>
      </c>
      <c r="F61" s="20">
        <v>45721.622916666667</v>
      </c>
      <c r="G61" s="20">
        <v>45721.624305555553</v>
      </c>
      <c r="H61" s="20">
        <v>45721.625694444447</v>
      </c>
      <c r="I61" s="16" t="s">
        <v>27</v>
      </c>
      <c r="J61" s="16">
        <v>1</v>
      </c>
      <c r="K61" s="16">
        <v>1</v>
      </c>
      <c r="L61" s="16">
        <v>0</v>
      </c>
      <c r="M61" s="21">
        <f>IF(COUNTA(Table1719[[#This Row],[Passed1]:[Passed3]])=0, "", IF(SUM(Table1719[[#This Row],[Passed1]:[Passed3]])&gt;1, 1, 0))</f>
        <v>1</v>
      </c>
      <c r="N61" s="12"/>
      <c r="O61" s="12"/>
      <c r="P61" s="12" t="s">
        <v>3321</v>
      </c>
      <c r="Q61" s="22" cm="1">
        <f t="array" ref="Q61">SUM((Table1719[[#This Row],[Passed1]:[Passed3]])/3)</f>
        <v>0.66666666666666663</v>
      </c>
    </row>
    <row r="62" spans="1:17" ht="15" customHeight="1">
      <c r="A62" s="16">
        <v>180</v>
      </c>
      <c r="B62" s="16" t="s">
        <v>100</v>
      </c>
      <c r="C62" s="16" t="s">
        <v>86</v>
      </c>
      <c r="D62" s="76">
        <v>0.44500000000000001</v>
      </c>
      <c r="E62" s="16">
        <v>67</v>
      </c>
      <c r="F62" s="20">
        <v>45721.627083333333</v>
      </c>
      <c r="G62" s="20">
        <v>45721.62777777778</v>
      </c>
      <c r="H62" s="20">
        <v>45721.629166666666</v>
      </c>
      <c r="I62" s="16" t="s">
        <v>27</v>
      </c>
      <c r="J62" s="16">
        <v>1</v>
      </c>
      <c r="K62" s="16">
        <v>1</v>
      </c>
      <c r="L62" s="16">
        <v>1</v>
      </c>
      <c r="M62" s="21">
        <f>IF(COUNTA(Table1719[[#This Row],[Passed1]:[Passed3]])=0, "", IF(SUM(Table1719[[#This Row],[Passed1]:[Passed3]])&gt;1, 1, 0))</f>
        <v>1</v>
      </c>
      <c r="N62" s="12"/>
      <c r="O62" s="12"/>
      <c r="P62" s="12"/>
      <c r="Q62" s="22" cm="1">
        <f t="array" ref="Q62">SUM((Table1719[[#This Row],[Passed1]:[Passed3]])/3)</f>
        <v>1</v>
      </c>
    </row>
    <row r="63" spans="1:17">
      <c r="D63" s="10"/>
      <c r="Q63" s="7"/>
    </row>
    <row r="64" spans="1:17">
      <c r="O64" s="14"/>
      <c r="P64" s="14"/>
    </row>
    <row r="65" spans="4:17">
      <c r="D65" s="75"/>
      <c r="J65" s="7"/>
      <c r="O65" s="14"/>
      <c r="P65" s="23"/>
      <c r="Q65" s="1"/>
    </row>
    <row r="66" spans="4:17">
      <c r="M66" s="7"/>
      <c r="O66" s="14"/>
      <c r="P66" s="23"/>
    </row>
  </sheetData>
  <mergeCells count="1">
    <mergeCell ref="A1:B1"/>
  </mergeCells>
  <phoneticPr fontId="1" type="noConversion"/>
  <hyperlinks>
    <hyperlink ref="B3" r:id="rId1" xr:uid="{0A7A93A9-0FDF-49B8-8BB0-CBE0318AE8BE}"/>
    <hyperlink ref="C3" r:id="rId2" xr:uid="{E08C5632-55DD-4D2B-A937-40BD41CAE6D8}"/>
    <hyperlink ref="B4" r:id="rId3" xr:uid="{9879CDA4-8028-457F-8FF5-F5DF210FADBC}"/>
    <hyperlink ref="C4" r:id="rId4" xr:uid="{00FA46E9-40C7-4DD8-9B5A-CBD46B505135}"/>
    <hyperlink ref="B5" r:id="rId5" xr:uid="{FAF68D08-CDD5-4C66-AAAC-8600D599A676}"/>
    <hyperlink ref="C5" r:id="rId6" xr:uid="{7A188A75-072D-43F2-85A4-0520CE9A1EA0}"/>
    <hyperlink ref="B6" r:id="rId7" xr:uid="{2EB525CB-419B-456B-A1A6-1A1C8F43C21C}"/>
    <hyperlink ref="C6" r:id="rId8" xr:uid="{D5E780C8-8A56-4CE7-A67F-BFAD60F5B45F}"/>
    <hyperlink ref="B7" r:id="rId9" xr:uid="{C16330E0-8466-46BC-A4E4-6C14DCFE92E8}"/>
    <hyperlink ref="C7" r:id="rId10" xr:uid="{17EB7527-6218-4DE0-B6C8-7946155C261F}"/>
    <hyperlink ref="B8" r:id="rId11" xr:uid="{9B1D8170-7B1F-4624-A040-5F56EBD386F5}"/>
    <hyperlink ref="C8" r:id="rId12" xr:uid="{105B3DDD-70DB-43A7-AA34-D0618FD3C627}"/>
    <hyperlink ref="B9" r:id="rId13" xr:uid="{5BCF4A4A-A14E-42AB-A8B5-A43695B67675}"/>
    <hyperlink ref="C9" r:id="rId14" xr:uid="{AF8CB9E6-887B-43D9-B95B-E10079C36991}"/>
    <hyperlink ref="B10" r:id="rId15" xr:uid="{4FD3DF7B-A642-464A-9058-ADAAB189E657}"/>
    <hyperlink ref="C10" r:id="rId16" xr:uid="{7623C832-54B3-4B77-8C5E-2339025ED38B}"/>
    <hyperlink ref="B11" r:id="rId17" xr:uid="{22301A00-BEF9-4E41-AA3A-A7AEB801F2BF}"/>
    <hyperlink ref="C11" r:id="rId18" xr:uid="{10D84CA7-44DE-48C3-AACD-BEDA4607035D}"/>
    <hyperlink ref="B12" r:id="rId19" xr:uid="{C8773B0C-E385-47FA-A12B-19F270CCC111}"/>
    <hyperlink ref="C12" r:id="rId20" xr:uid="{BD1F4528-358B-4E66-A649-36ECF0AAEDB2}"/>
    <hyperlink ref="B13" r:id="rId21" xr:uid="{5DA56EA1-D5DC-48B3-B3AA-257796C0A68C}"/>
    <hyperlink ref="C13" r:id="rId22" xr:uid="{1F737998-A09A-4168-A6AF-456AAFBEB79D}"/>
    <hyperlink ref="B14" r:id="rId23" xr:uid="{2519225E-34F1-4E03-8518-D8C613786A34}"/>
    <hyperlink ref="C14" r:id="rId24" xr:uid="{7F092D3A-846E-42D1-8B53-B58740890EC8}"/>
    <hyperlink ref="B15" r:id="rId25" xr:uid="{F4F67792-CBD0-4EC0-8A4D-BD2C7D52CC29}"/>
    <hyperlink ref="C15" r:id="rId26" xr:uid="{D794269C-B67A-44AF-85E5-694C39C43FBA}"/>
    <hyperlink ref="B16" r:id="rId27" xr:uid="{A5D7965D-A22A-4117-B242-3CAF036B6730}"/>
    <hyperlink ref="C16" r:id="rId28" xr:uid="{48B76636-C299-4482-BFA6-9384CB7483BF}"/>
    <hyperlink ref="B17" r:id="rId29" xr:uid="{48E9966C-2F9A-41D3-B016-1BDA594B6C73}"/>
    <hyperlink ref="C17" r:id="rId30" xr:uid="{E9BDC1AB-981A-464B-A8EA-63D142436AC6}"/>
    <hyperlink ref="B18" r:id="rId31" xr:uid="{E4C2256F-3906-4AFA-9BA6-48708F45017A}"/>
    <hyperlink ref="C18" r:id="rId32" xr:uid="{1D35D6C1-D964-42E5-9888-2857E97BC24D}"/>
    <hyperlink ref="B19" r:id="rId33" xr:uid="{5799458F-C2DE-45DD-B877-B3168ECED3CD}"/>
    <hyperlink ref="C19" r:id="rId34" xr:uid="{52961F00-09AE-487B-AF8D-8AF05B6BB71B}"/>
    <hyperlink ref="B20" r:id="rId35" xr:uid="{4DC1E8C9-46CE-498C-86B5-B79C15C50A98}"/>
    <hyperlink ref="C20" r:id="rId36" xr:uid="{EDA2590A-355F-448E-92A3-CCC3BAE09214}"/>
    <hyperlink ref="B21" r:id="rId37" xr:uid="{6D519CB0-1D6A-4A96-B903-8C6F32643400}"/>
    <hyperlink ref="C21" r:id="rId38" xr:uid="{A154B640-2FD2-4F18-AC0A-8C700B258658}"/>
    <hyperlink ref="B22" r:id="rId39" xr:uid="{3439CDB4-895B-414F-8BEA-0C003DD81C6F}"/>
    <hyperlink ref="C22" r:id="rId40" xr:uid="{45440CFF-82E0-43C3-BC15-9F20A71BDB78}"/>
    <hyperlink ref="B23" r:id="rId41" xr:uid="{F4D16EDF-946D-4F58-B15B-31090796F05B}"/>
    <hyperlink ref="C23" r:id="rId42" xr:uid="{004960EE-ABD9-4569-B360-A354D8E1DD28}"/>
    <hyperlink ref="B24" r:id="rId43" xr:uid="{7B9BA12A-C1DC-4272-A2F4-12C0A1C7218B}"/>
    <hyperlink ref="C24" r:id="rId44" xr:uid="{88BBBAC5-E3A4-4ED0-8F0B-2A27018D6064}"/>
    <hyperlink ref="B25" r:id="rId45" xr:uid="{27C0397B-5AEF-4CA7-80A7-0FB03378BB85}"/>
    <hyperlink ref="C25" r:id="rId46" xr:uid="{2AB056C5-C67B-4E6D-9586-0B7F0BBF0B76}"/>
    <hyperlink ref="B26" r:id="rId47" xr:uid="{F89E704C-10F1-454A-B77C-7C9353A80679}"/>
    <hyperlink ref="C26" r:id="rId48" xr:uid="{0E7324D6-1464-4529-9E84-0846B2468ED7}"/>
    <hyperlink ref="B27" r:id="rId49" xr:uid="{29630AA4-0E4D-45B0-B2DE-AEA182B45749}"/>
    <hyperlink ref="C27" r:id="rId50" xr:uid="{05ADB560-7643-474B-803B-D0A51B8D4055}"/>
    <hyperlink ref="B28" r:id="rId51" xr:uid="{21F75255-29E3-4201-9C45-13D3F8CE1E53}"/>
    <hyperlink ref="C28" r:id="rId52" xr:uid="{A0E6CDA2-DF65-485E-81C9-EDFA08AD96EC}"/>
    <hyperlink ref="B29" r:id="rId53" xr:uid="{042FC1AC-E261-427E-BBFE-E5FA5EA0375F}"/>
    <hyperlink ref="C29" r:id="rId54" xr:uid="{C9676365-B313-4F1F-9716-A2ED8FD3514E}"/>
    <hyperlink ref="B30" r:id="rId55" xr:uid="{FAD99715-7F58-43EC-9D47-3E7017C46823}"/>
    <hyperlink ref="C30" r:id="rId56" xr:uid="{197A17DB-4570-4A98-9071-1D21839340BF}"/>
    <hyperlink ref="B31" r:id="rId57" xr:uid="{662EA03C-922B-40D3-B1F9-618CA03CCC5D}"/>
    <hyperlink ref="C31" r:id="rId58" xr:uid="{99D56202-47C5-4271-AF1F-E1A53AB00F35}"/>
    <hyperlink ref="B32" r:id="rId59" xr:uid="{78FBBE37-2B0A-468E-BB76-52F1DAA19A4D}"/>
    <hyperlink ref="C32" r:id="rId60" xr:uid="{83ACC66F-C4DA-49F5-B46B-84955EC151F0}"/>
    <hyperlink ref="B33" r:id="rId61" xr:uid="{4DE2FBBB-1C31-4ED0-BE47-C06C1BB997A7}"/>
    <hyperlink ref="C33" r:id="rId62" xr:uid="{28E03C06-D022-4709-92AE-63234F9FDC93}"/>
    <hyperlink ref="B34" r:id="rId63" xr:uid="{54E0BE33-D1C7-4D71-99CB-273B1337D0E7}"/>
    <hyperlink ref="C34" r:id="rId64" xr:uid="{B0DB3031-AA2C-47AB-ACB7-AB310B2E69A1}"/>
    <hyperlink ref="B35" r:id="rId65" xr:uid="{AEA40199-A43F-455E-A12A-86334DDB83E0}"/>
    <hyperlink ref="C35" r:id="rId66" xr:uid="{3ED49DB1-1AD4-4D10-BEF8-5E63D0F5B0A6}"/>
    <hyperlink ref="B36" r:id="rId67" xr:uid="{A2E224ED-AD56-4A6A-9E16-122D0D5014B4}"/>
    <hyperlink ref="C36" r:id="rId68" xr:uid="{662A8107-C3BF-4062-BAEC-3B134104AEDF}"/>
    <hyperlink ref="B37" r:id="rId69" xr:uid="{F58942E3-ADF3-4E96-B220-8B8B7C3106EA}"/>
    <hyperlink ref="C37" r:id="rId70" xr:uid="{391D6A30-5BC0-4D21-B3E5-C4E804C8C385}"/>
    <hyperlink ref="B38" r:id="rId71" xr:uid="{A351CA13-883A-474F-8195-8A05E8B00522}"/>
    <hyperlink ref="C38" r:id="rId72" xr:uid="{26302C2B-EE9E-4E57-87A1-2C8E4E501E49}"/>
    <hyperlink ref="B39" r:id="rId73" xr:uid="{5518C89F-5E4B-4DF0-BD43-89910158A7D4}"/>
    <hyperlink ref="C39" r:id="rId74" xr:uid="{5172F3DF-614E-4150-BE05-049B87B3BD78}"/>
    <hyperlink ref="B40" r:id="rId75" xr:uid="{DAC87835-68CD-4D1F-A9CA-B18E3D76FF3A}"/>
    <hyperlink ref="C40" r:id="rId76" xr:uid="{24DB3404-A01A-4829-B85B-4DA81136A7DA}"/>
    <hyperlink ref="B41" r:id="rId77" xr:uid="{B9C7EE6A-96B3-4892-9DCD-3D670872ADA7}"/>
    <hyperlink ref="C41" r:id="rId78" xr:uid="{72939200-C278-495B-A295-223EE0E0AC42}"/>
    <hyperlink ref="B42" r:id="rId79" xr:uid="{BB0AFD4D-796D-4214-B987-EA676C143E1F}"/>
    <hyperlink ref="C42" r:id="rId80" xr:uid="{8C1F147E-AD76-4E72-BAE2-ED5A41D12998}"/>
    <hyperlink ref="B43" r:id="rId81" xr:uid="{3C4B9560-4872-4F5C-AE5B-1112ED2B9B90}"/>
    <hyperlink ref="C43" r:id="rId82" xr:uid="{25B73B4E-5210-4B45-92A2-D6A0A1A840DC}"/>
    <hyperlink ref="B44" r:id="rId83" xr:uid="{AAE2559A-F9E4-4119-963B-0394E52A3121}"/>
    <hyperlink ref="C44" r:id="rId84" xr:uid="{7A5B9BC0-7B90-4D65-BCA4-6E19C3E49F2D}"/>
    <hyperlink ref="B45" r:id="rId85" xr:uid="{AEBD06B5-CA5E-461C-8A0D-B80D6AEC1142}"/>
    <hyperlink ref="C45" r:id="rId86" xr:uid="{34EE2E11-9794-4E03-A04F-25B9EF9BE5C1}"/>
    <hyperlink ref="B46" r:id="rId87" xr:uid="{44BE3806-4310-4116-A8E2-23576388915B}"/>
    <hyperlink ref="C46" r:id="rId88" xr:uid="{CB339ED2-1306-4D49-9A74-2FEA801942B7}"/>
    <hyperlink ref="B47" r:id="rId89" xr:uid="{2D0B152F-593F-4F42-81A2-F09A4E42077C}"/>
    <hyperlink ref="C47" r:id="rId90" xr:uid="{91F337E4-C068-4C6A-B964-BDBCFA78F335}"/>
    <hyperlink ref="B48" r:id="rId91" xr:uid="{DC54D5D6-AFC4-4CE7-B96C-CC343B7D8F4B}"/>
    <hyperlink ref="C48" r:id="rId92" xr:uid="{AE4576DF-0AB5-41CE-AE5B-339427F9DF34}"/>
    <hyperlink ref="B49" r:id="rId93" xr:uid="{55621207-C470-44E9-95A2-25DA940491BA}"/>
    <hyperlink ref="C49" r:id="rId94" xr:uid="{B11F8CC6-681F-418F-BB89-4957BDA89DB2}"/>
    <hyperlink ref="B50" r:id="rId95" xr:uid="{D8C63D6E-2D31-488E-8CD5-CBD938F4DC30}"/>
    <hyperlink ref="C50" r:id="rId96" xr:uid="{0511545D-9DFF-4243-90FD-D6D3F05D1143}"/>
    <hyperlink ref="B51" r:id="rId97" xr:uid="{5A756695-95C0-443B-B794-D71D03C20072}"/>
    <hyperlink ref="C51" r:id="rId98" xr:uid="{87B8E2A5-CBF1-43FD-AA5B-34832E21074E}"/>
    <hyperlink ref="B52" r:id="rId99" xr:uid="{43614A03-8828-4E9A-BAB0-FC7E5A011B03}"/>
    <hyperlink ref="C52" r:id="rId100" xr:uid="{8B7380BE-66AA-4EF9-BF8B-B16F074F8E79}"/>
    <hyperlink ref="B53" r:id="rId101" xr:uid="{0796C2F7-6115-4D9A-B1E4-E194A48F5FFC}"/>
    <hyperlink ref="C53" r:id="rId102" xr:uid="{FDA2DD78-E82E-4F46-A7D8-E8F2E98885D4}"/>
    <hyperlink ref="B54" r:id="rId103" xr:uid="{0872100D-B104-45D0-A864-E5BE43D9DD6E}"/>
    <hyperlink ref="C54" r:id="rId104" xr:uid="{707B9E8A-EEF8-479E-ADC9-FA073B79D76F}"/>
    <hyperlink ref="B55" r:id="rId105" xr:uid="{138E121C-03A4-4F38-933E-9D33A7450041}"/>
    <hyperlink ref="C55" r:id="rId106" xr:uid="{F7023942-F328-40DE-8764-1004C8A515FB}"/>
    <hyperlink ref="B56" r:id="rId107" xr:uid="{D66986AD-9307-403B-ACA8-549F2C740591}"/>
    <hyperlink ref="C56" r:id="rId108" xr:uid="{02F20B12-F1B7-42F9-A595-35ED502B48BE}"/>
    <hyperlink ref="B57" r:id="rId109" xr:uid="{A8932327-883F-4231-9779-45125F6FA581}"/>
    <hyperlink ref="C57" r:id="rId110" xr:uid="{7708EABB-7212-499E-94A9-E85DF3D80292}"/>
    <hyperlink ref="B58" r:id="rId111" xr:uid="{BFF43812-C4EA-4538-8110-9B4A9C63A6AD}"/>
    <hyperlink ref="C58" r:id="rId112" xr:uid="{994E1BEA-C065-4916-A71D-FBA8AF77E65A}"/>
    <hyperlink ref="B59" r:id="rId113" xr:uid="{DA7AC754-5698-4637-B9C7-EABEF12358DC}"/>
    <hyperlink ref="C59" r:id="rId114" xr:uid="{28DE33CD-295C-407F-AA75-BE6D5F8FDA45}"/>
    <hyperlink ref="B60" r:id="rId115" xr:uid="{E47C4FDF-4142-4352-880C-58D59288EAD6}"/>
    <hyperlink ref="C60" r:id="rId116" xr:uid="{2A9B9167-070D-4FC6-A75C-3D7B5DFDF71F}"/>
    <hyperlink ref="B61" r:id="rId117" xr:uid="{B60833BC-E963-4FED-8FC7-AD8ADA756B23}"/>
    <hyperlink ref="C61" r:id="rId118" xr:uid="{7AC85B1B-D2C8-4382-8FB6-789F52FEF85A}"/>
    <hyperlink ref="B62" r:id="rId119" xr:uid="{C6E75D24-1293-494F-B94A-B79346C7F654}"/>
    <hyperlink ref="C62" r:id="rId120" xr:uid="{5B82748D-683F-4CB3-8C85-E75E47EA0223}"/>
  </hyperlinks>
  <pageMargins left="0.7" right="0.7" top="0.75" bottom="0.75" header="0.3" footer="0.3"/>
  <tableParts count="1">
    <tablePart r:id="rId12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2D651-62E0-4FD1-A3A2-4B023FD3ED0D}">
  <sheetPr codeName="Sheet14">
    <tabColor rgb="FF00B050"/>
  </sheetPr>
  <dimension ref="A1:Q65"/>
  <sheetViews>
    <sheetView zoomScale="90" zoomScaleNormal="90" workbookViewId="0">
      <selection sqref="A1:B1"/>
    </sheetView>
  </sheetViews>
  <sheetFormatPr defaultRowHeight="14.5"/>
  <cols>
    <col min="2" max="2" width="48.26953125" bestFit="1" customWidth="1"/>
    <col min="3" max="3" width="15.26953125" customWidth="1"/>
    <col min="4" max="4" width="22" customWidth="1"/>
    <col min="5" max="5" width="19.1796875" customWidth="1"/>
    <col min="6" max="8" width="18.453125" bestFit="1" customWidth="1"/>
    <col min="9" max="9" width="10.453125" customWidth="1"/>
    <col min="10" max="12" width="10.1796875" customWidth="1"/>
    <col min="13" max="13" width="13.81640625" bestFit="1" customWidth="1"/>
    <col min="14" max="16" width="18.1796875" style="14" bestFit="1" customWidth="1"/>
    <col min="17" max="17" width="17.36328125" bestFit="1" customWidth="1"/>
  </cols>
  <sheetData>
    <row r="1" spans="1:17" s="133" customFormat="1" ht="21">
      <c r="A1" s="167" t="s">
        <v>3446</v>
      </c>
      <c r="B1" s="167"/>
      <c r="N1" s="134"/>
      <c r="O1" s="134"/>
      <c r="P1" s="134"/>
    </row>
    <row r="2" spans="1:17" ht="15" customHeight="1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3" t="s">
        <v>6</v>
      </c>
      <c r="H2" s="3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8" t="s">
        <v>3322</v>
      </c>
      <c r="N2" s="13" t="s">
        <v>3323</v>
      </c>
      <c r="O2" s="13" t="s">
        <v>3324</v>
      </c>
      <c r="P2" s="13" t="s">
        <v>3325</v>
      </c>
      <c r="Q2" s="8" t="s">
        <v>3387</v>
      </c>
    </row>
    <row r="3" spans="1:17" ht="15" customHeight="1">
      <c r="A3">
        <v>31</v>
      </c>
      <c r="B3" t="s">
        <v>25</v>
      </c>
      <c r="C3" t="s">
        <v>26</v>
      </c>
      <c r="D3" s="9">
        <v>0.47099999999999997</v>
      </c>
      <c r="E3">
        <v>669</v>
      </c>
      <c r="F3" s="11">
        <v>45715.727476851855</v>
      </c>
      <c r="G3" s="11">
        <v>45715.728321759256</v>
      </c>
      <c r="H3" s="11">
        <v>45715.736724537041</v>
      </c>
      <c r="I3" t="s">
        <v>27</v>
      </c>
      <c r="J3">
        <v>1</v>
      </c>
      <c r="K3">
        <v>1</v>
      </c>
      <c r="L3">
        <v>1</v>
      </c>
      <c r="M3" s="5">
        <f>IF(COUNTA(Table17[[#This Row],[Passed1]:[Passed3]])=0, "", IF(SUM(Table17[[#This Row],[Passed1]:[Passed3]])&gt;1, 1, 0))</f>
        <v>1</v>
      </c>
      <c r="Q3" s="23" cm="1">
        <f t="array" ref="Q3">SUM((Table17[[#This Row],[Passed1]:[Passed3]])/3)</f>
        <v>1</v>
      </c>
    </row>
    <row r="4" spans="1:17" ht="15" customHeight="1">
      <c r="A4">
        <v>32</v>
      </c>
      <c r="B4" t="s">
        <v>28</v>
      </c>
      <c r="C4" t="s">
        <v>26</v>
      </c>
      <c r="D4" s="9">
        <v>0.28399999999999997</v>
      </c>
      <c r="E4">
        <v>669</v>
      </c>
      <c r="F4" s="11">
        <v>45715.739074074074</v>
      </c>
      <c r="G4" s="11">
        <v>45715.740370370368</v>
      </c>
      <c r="H4" s="11">
        <v>45715.741944444446</v>
      </c>
      <c r="I4" t="s">
        <v>27</v>
      </c>
      <c r="J4">
        <v>0</v>
      </c>
      <c r="K4">
        <v>1</v>
      </c>
      <c r="L4">
        <v>0</v>
      </c>
      <c r="M4" s="5">
        <f>IF(COUNTA(Table17[[#This Row],[Passed1]:[Passed3]])=0, "", IF(SUM(Table17[[#This Row],[Passed1]:[Passed3]])&gt;1, 1, 0))</f>
        <v>0</v>
      </c>
      <c r="N4" s="14" t="s">
        <v>3321</v>
      </c>
      <c r="P4" s="14" t="s">
        <v>3321</v>
      </c>
      <c r="Q4" s="23" cm="1">
        <f t="array" ref="Q4">SUM((Table17[[#This Row],[Passed1]:[Passed3]])/3)</f>
        <v>0.33333333333333331</v>
      </c>
    </row>
    <row r="5" spans="1:17" ht="15" customHeight="1">
      <c r="A5">
        <v>33</v>
      </c>
      <c r="B5" t="s">
        <v>29</v>
      </c>
      <c r="C5" t="s">
        <v>26</v>
      </c>
      <c r="D5" s="9">
        <v>0.27100000000000002</v>
      </c>
      <c r="E5">
        <v>669</v>
      </c>
      <c r="F5" s="11">
        <v>45715.750023148146</v>
      </c>
      <c r="G5" s="11">
        <v>45715.751030092593</v>
      </c>
      <c r="H5" s="11">
        <v>45715.75409722222</v>
      </c>
      <c r="I5" t="s">
        <v>27</v>
      </c>
      <c r="J5">
        <v>1</v>
      </c>
      <c r="K5">
        <v>0</v>
      </c>
      <c r="L5">
        <v>1</v>
      </c>
      <c r="M5" s="5">
        <f>IF(COUNTA(Table17[[#This Row],[Passed1]:[Passed3]])=0, "", IF(SUM(Table17[[#This Row],[Passed1]:[Passed3]])&gt;1, 1, 0))</f>
        <v>1</v>
      </c>
      <c r="O5" s="14" t="s">
        <v>3321</v>
      </c>
      <c r="Q5" s="23" cm="1">
        <f t="array" ref="Q5">SUM((Table17[[#This Row],[Passed1]:[Passed3]])/3)</f>
        <v>0.66666666666666663</v>
      </c>
    </row>
    <row r="6" spans="1:17" ht="15" customHeight="1">
      <c r="A6">
        <v>34</v>
      </c>
      <c r="B6" t="s">
        <v>30</v>
      </c>
      <c r="C6" t="s">
        <v>26</v>
      </c>
      <c r="D6" s="9">
        <v>0.32800000000000001</v>
      </c>
      <c r="E6">
        <v>669</v>
      </c>
      <c r="F6" s="11">
        <v>45715.755902777775</v>
      </c>
      <c r="G6" s="11">
        <v>45715.756620370368</v>
      </c>
      <c r="H6" s="11">
        <v>45715.757881944446</v>
      </c>
      <c r="I6" t="s">
        <v>27</v>
      </c>
      <c r="J6">
        <v>1</v>
      </c>
      <c r="K6">
        <v>1</v>
      </c>
      <c r="L6">
        <v>1</v>
      </c>
      <c r="M6" s="5">
        <f>IF(COUNTA(Table17[[#This Row],[Passed1]:[Passed3]])=0, "", IF(SUM(Table17[[#This Row],[Passed1]:[Passed3]])&gt;1, 1, 0))</f>
        <v>1</v>
      </c>
      <c r="Q6" s="23" cm="1">
        <f t="array" ref="Q6">SUM((Table17[[#This Row],[Passed1]:[Passed3]])/3)</f>
        <v>1</v>
      </c>
    </row>
    <row r="7" spans="1:17" ht="15" customHeight="1">
      <c r="A7">
        <v>35</v>
      </c>
      <c r="B7" t="s">
        <v>31</v>
      </c>
      <c r="C7" t="s">
        <v>26</v>
      </c>
      <c r="D7" s="9">
        <v>0.33400000000000002</v>
      </c>
      <c r="E7">
        <v>669</v>
      </c>
      <c r="F7" s="11">
        <v>45715.783854166664</v>
      </c>
      <c r="G7" s="11">
        <v>45715.785486111112</v>
      </c>
      <c r="H7" s="11">
        <v>45715.794085648151</v>
      </c>
      <c r="I7" t="s">
        <v>27</v>
      </c>
      <c r="J7">
        <v>0</v>
      </c>
      <c r="K7">
        <v>1</v>
      </c>
      <c r="L7">
        <v>1</v>
      </c>
      <c r="M7" s="5">
        <f>IF(COUNTA(Table17[[#This Row],[Passed1]:[Passed3]])=0, "", IF(SUM(Table17[[#This Row],[Passed1]:[Passed3]])&gt;1, 1, 0))</f>
        <v>1</v>
      </c>
      <c r="N7" s="14" t="s">
        <v>3321</v>
      </c>
      <c r="Q7" s="23" cm="1">
        <f t="array" ref="Q7">SUM((Table17[[#This Row],[Passed1]:[Passed3]])/3)</f>
        <v>0.66666666666666663</v>
      </c>
    </row>
    <row r="8" spans="1:17" ht="15" customHeight="1">
      <c r="A8">
        <v>36</v>
      </c>
      <c r="B8" t="s">
        <v>32</v>
      </c>
      <c r="C8" t="s">
        <v>26</v>
      </c>
      <c r="D8" s="9">
        <v>0.34699999999999998</v>
      </c>
      <c r="E8">
        <v>669</v>
      </c>
      <c r="F8" s="11">
        <v>45716.869363425925</v>
      </c>
      <c r="G8" s="11">
        <v>45716.86991898148</v>
      </c>
      <c r="H8" s="11">
        <v>45716.871111111112</v>
      </c>
      <c r="I8" t="s">
        <v>27</v>
      </c>
      <c r="J8">
        <v>1</v>
      </c>
      <c r="K8">
        <v>1</v>
      </c>
      <c r="L8">
        <v>1</v>
      </c>
      <c r="M8" s="5">
        <f>IF(COUNTA(Table17[[#This Row],[Passed1]:[Passed3]])=0, "", IF(SUM(Table17[[#This Row],[Passed1]:[Passed3]])&gt;1, 1, 0))</f>
        <v>1</v>
      </c>
      <c r="Q8" s="23" cm="1">
        <f t="array" ref="Q8">SUM((Table17[[#This Row],[Passed1]:[Passed3]])/3)</f>
        <v>1</v>
      </c>
    </row>
    <row r="9" spans="1:17" ht="15" customHeight="1">
      <c r="A9">
        <v>37</v>
      </c>
      <c r="B9" t="s">
        <v>33</v>
      </c>
      <c r="C9" t="s">
        <v>26</v>
      </c>
      <c r="D9" s="9">
        <v>0.377</v>
      </c>
      <c r="E9">
        <v>669</v>
      </c>
      <c r="F9" s="11">
        <v>45716.878576388888</v>
      </c>
      <c r="G9" s="11">
        <v>45716.879328703704</v>
      </c>
      <c r="H9" s="11">
        <v>45716.879849537036</v>
      </c>
      <c r="I9" t="s">
        <v>27</v>
      </c>
      <c r="J9">
        <v>1</v>
      </c>
      <c r="K9">
        <v>1</v>
      </c>
      <c r="L9">
        <v>1</v>
      </c>
      <c r="M9" s="5">
        <f>IF(COUNTA(Table17[[#This Row],[Passed1]:[Passed3]])=0, "", IF(SUM(Table17[[#This Row],[Passed1]:[Passed3]])&gt;1, 1, 0))</f>
        <v>1</v>
      </c>
      <c r="Q9" s="23" cm="1">
        <f t="array" ref="Q9">SUM((Table17[[#This Row],[Passed1]:[Passed3]])/3)</f>
        <v>1</v>
      </c>
    </row>
    <row r="10" spans="1:17" ht="15" customHeight="1">
      <c r="A10">
        <v>38</v>
      </c>
      <c r="B10" t="s">
        <v>34</v>
      </c>
      <c r="C10" t="s">
        <v>26</v>
      </c>
      <c r="D10" s="9">
        <v>0.40200000000000002</v>
      </c>
      <c r="E10">
        <v>669</v>
      </c>
      <c r="F10" s="11">
        <v>45716.881562499999</v>
      </c>
      <c r="G10" s="11">
        <v>45716.883599537039</v>
      </c>
      <c r="H10" s="11">
        <v>45716.884942129633</v>
      </c>
      <c r="I10" t="s">
        <v>27</v>
      </c>
      <c r="J10">
        <v>0</v>
      </c>
      <c r="K10">
        <v>0</v>
      </c>
      <c r="L10">
        <v>1</v>
      </c>
      <c r="M10" s="5">
        <f>IF(COUNTA(Table17[[#This Row],[Passed1]:[Passed3]])=0, "", IF(SUM(Table17[[#This Row],[Passed1]:[Passed3]])&gt;1, 1, 0))</f>
        <v>0</v>
      </c>
      <c r="N10" s="14" t="s">
        <v>3333</v>
      </c>
      <c r="O10" s="14" t="s">
        <v>3321</v>
      </c>
      <c r="Q10" s="23" cm="1">
        <f t="array" ref="Q10">SUM((Table17[[#This Row],[Passed1]:[Passed3]])/3)</f>
        <v>0.33333333333333331</v>
      </c>
    </row>
    <row r="11" spans="1:17" ht="15" customHeight="1">
      <c r="A11">
        <v>39</v>
      </c>
      <c r="B11" t="s">
        <v>35</v>
      </c>
      <c r="C11" t="s">
        <v>26</v>
      </c>
      <c r="D11" s="9">
        <v>0.41199999999999998</v>
      </c>
      <c r="E11">
        <v>669</v>
      </c>
      <c r="F11" s="11">
        <v>45716.892546296294</v>
      </c>
      <c r="G11" s="11">
        <v>45716.893483796295</v>
      </c>
      <c r="H11" s="11">
        <v>45716.894016203703</v>
      </c>
      <c r="I11" t="s">
        <v>27</v>
      </c>
      <c r="J11">
        <v>1</v>
      </c>
      <c r="K11">
        <v>1</v>
      </c>
      <c r="L11">
        <v>1</v>
      </c>
      <c r="M11" s="5">
        <f>IF(COUNTA(Table17[[#This Row],[Passed1]:[Passed3]])=0, "", IF(SUM(Table17[[#This Row],[Passed1]:[Passed3]])&gt;1, 1, 0))</f>
        <v>1</v>
      </c>
      <c r="Q11" s="23" cm="1">
        <f t="array" ref="Q11">SUM((Table17[[#This Row],[Passed1]:[Passed3]])/3)</f>
        <v>1</v>
      </c>
    </row>
    <row r="12" spans="1:17" ht="15" customHeight="1">
      <c r="A12">
        <v>40</v>
      </c>
      <c r="B12" t="s">
        <v>36</v>
      </c>
      <c r="C12" t="s">
        <v>26</v>
      </c>
      <c r="D12" s="9">
        <v>0.45800000000000002</v>
      </c>
      <c r="E12">
        <v>669</v>
      </c>
      <c r="F12" s="11">
        <v>45716.895300925928</v>
      </c>
      <c r="G12" s="11">
        <v>45716.896354166667</v>
      </c>
      <c r="H12" s="11">
        <v>45716.897569444445</v>
      </c>
      <c r="I12" t="s">
        <v>27</v>
      </c>
      <c r="J12">
        <v>1</v>
      </c>
      <c r="K12">
        <v>1</v>
      </c>
      <c r="L12">
        <v>1</v>
      </c>
      <c r="M12" s="5">
        <f>IF(COUNTA(Table17[[#This Row],[Passed1]:[Passed3]])=0, "", IF(SUM(Table17[[#This Row],[Passed1]:[Passed3]])&gt;1, 1, 0))</f>
        <v>1</v>
      </c>
      <c r="Q12" s="23" cm="1">
        <f t="array" ref="Q12">SUM((Table17[[#This Row],[Passed1]:[Passed3]])/3)</f>
        <v>1</v>
      </c>
    </row>
    <row r="13" spans="1:17" ht="15" customHeight="1">
      <c r="A13">
        <v>41</v>
      </c>
      <c r="B13" t="s">
        <v>37</v>
      </c>
      <c r="C13" t="s">
        <v>26</v>
      </c>
      <c r="D13" s="9">
        <v>0.52300000000000002</v>
      </c>
      <c r="E13">
        <v>669</v>
      </c>
      <c r="F13" s="11">
        <v>45716.905833333331</v>
      </c>
      <c r="G13" s="11">
        <v>45716.906701388885</v>
      </c>
      <c r="H13" s="11">
        <v>45716.908136574071</v>
      </c>
      <c r="I13" t="s">
        <v>27</v>
      </c>
      <c r="J13">
        <v>0</v>
      </c>
      <c r="K13">
        <v>0</v>
      </c>
      <c r="L13">
        <v>0</v>
      </c>
      <c r="M13" s="5">
        <f>IF(COUNTA(Table17[[#This Row],[Passed1]:[Passed3]])=0, "", IF(SUM(Table17[[#This Row],[Passed1]:[Passed3]])&gt;1, 1, 0))</f>
        <v>0</v>
      </c>
      <c r="N13" s="14" t="s">
        <v>3332</v>
      </c>
      <c r="O13" s="14" t="s">
        <v>3332</v>
      </c>
      <c r="P13" s="14" t="s">
        <v>3331</v>
      </c>
      <c r="Q13" s="23" cm="1">
        <f t="array" ref="Q13">SUM((Table17[[#This Row],[Passed1]:[Passed3]])/3)</f>
        <v>0</v>
      </c>
    </row>
    <row r="14" spans="1:17" ht="15" customHeight="1">
      <c r="A14">
        <v>42</v>
      </c>
      <c r="B14" t="s">
        <v>38</v>
      </c>
      <c r="C14" t="s">
        <v>26</v>
      </c>
      <c r="D14" s="9">
        <v>0.65100000000000002</v>
      </c>
      <c r="E14">
        <v>669</v>
      </c>
      <c r="F14" s="11">
        <v>45716.909386574072</v>
      </c>
      <c r="G14" s="11">
        <v>45716.910127314812</v>
      </c>
      <c r="H14" s="11">
        <v>45716.911168981482</v>
      </c>
      <c r="I14" t="s">
        <v>27</v>
      </c>
      <c r="J14">
        <v>1</v>
      </c>
      <c r="K14">
        <v>1</v>
      </c>
      <c r="L14">
        <v>1</v>
      </c>
      <c r="M14" s="5">
        <f>IF(COUNTA(Table17[[#This Row],[Passed1]:[Passed3]])=0, "", IF(SUM(Table17[[#This Row],[Passed1]:[Passed3]])&gt;1, 1, 0))</f>
        <v>1</v>
      </c>
      <c r="Q14" s="23" cm="1">
        <f t="array" ref="Q14">SUM((Table17[[#This Row],[Passed1]:[Passed3]])/3)</f>
        <v>1</v>
      </c>
    </row>
    <row r="15" spans="1:17" ht="15" customHeight="1">
      <c r="A15">
        <v>43</v>
      </c>
      <c r="B15" t="s">
        <v>39</v>
      </c>
      <c r="C15" t="s">
        <v>26</v>
      </c>
      <c r="D15" s="9">
        <v>0.41199999999999998</v>
      </c>
      <c r="E15">
        <v>669</v>
      </c>
      <c r="F15" s="11">
        <v>45716.916041666664</v>
      </c>
      <c r="G15" s="11">
        <v>45716.916689814818</v>
      </c>
      <c r="H15" s="11">
        <v>45716.918032407404</v>
      </c>
      <c r="I15" t="s">
        <v>27</v>
      </c>
      <c r="J15">
        <v>1</v>
      </c>
      <c r="K15">
        <v>1</v>
      </c>
      <c r="L15">
        <v>1</v>
      </c>
      <c r="M15" s="5">
        <f>IF(COUNTA(Table17[[#This Row],[Passed1]:[Passed3]])=0, "", IF(SUM(Table17[[#This Row],[Passed1]:[Passed3]])&gt;1, 1, 0))</f>
        <v>1</v>
      </c>
      <c r="Q15" s="23" cm="1">
        <f t="array" ref="Q15">SUM((Table17[[#This Row],[Passed1]:[Passed3]])/3)</f>
        <v>1</v>
      </c>
    </row>
    <row r="16" spans="1:17" ht="15" customHeight="1">
      <c r="A16">
        <v>44</v>
      </c>
      <c r="B16" t="s">
        <v>40</v>
      </c>
      <c r="C16" t="s">
        <v>26</v>
      </c>
      <c r="D16" s="9">
        <v>0.47399999999999998</v>
      </c>
      <c r="E16">
        <v>669</v>
      </c>
      <c r="F16" s="11">
        <v>45717.441805555558</v>
      </c>
      <c r="G16" s="11">
        <v>45717.442685185182</v>
      </c>
      <c r="H16" s="11">
        <v>45717.443124999998</v>
      </c>
      <c r="I16" t="s">
        <v>27</v>
      </c>
      <c r="J16">
        <v>1</v>
      </c>
      <c r="K16">
        <v>1</v>
      </c>
      <c r="L16">
        <v>1</v>
      </c>
      <c r="M16" s="5">
        <f>IF(COUNTA(Table17[[#This Row],[Passed1]:[Passed3]])=0, "", IF(SUM(Table17[[#This Row],[Passed1]:[Passed3]])&gt;1, 1, 0))</f>
        <v>1</v>
      </c>
      <c r="Q16" s="23" cm="1">
        <f t="array" ref="Q16">SUM((Table17[[#This Row],[Passed1]:[Passed3]])/3)</f>
        <v>1</v>
      </c>
    </row>
    <row r="17" spans="1:17" ht="15" customHeight="1">
      <c r="A17">
        <v>45</v>
      </c>
      <c r="B17" t="s">
        <v>41</v>
      </c>
      <c r="C17" t="s">
        <v>26</v>
      </c>
      <c r="D17" s="9">
        <v>0.55800000000000005</v>
      </c>
      <c r="E17">
        <v>669</v>
      </c>
      <c r="F17" s="11">
        <v>45717.451041666667</v>
      </c>
      <c r="G17" s="11">
        <v>45717.451678240737</v>
      </c>
      <c r="H17" s="11">
        <v>45717.452152777776</v>
      </c>
      <c r="I17" t="s">
        <v>27</v>
      </c>
      <c r="J17">
        <v>1</v>
      </c>
      <c r="K17">
        <v>1</v>
      </c>
      <c r="L17">
        <v>1</v>
      </c>
      <c r="M17" s="5">
        <f>IF(COUNTA(Table17[[#This Row],[Passed1]:[Passed3]])=0, "", IF(SUM(Table17[[#This Row],[Passed1]:[Passed3]])&gt;1, 1, 0))</f>
        <v>1</v>
      </c>
      <c r="Q17" s="23" cm="1">
        <f t="array" ref="Q17">SUM((Table17[[#This Row],[Passed1]:[Passed3]])/3)</f>
        <v>1</v>
      </c>
    </row>
    <row r="18" spans="1:17" ht="15" customHeight="1">
      <c r="A18">
        <v>76</v>
      </c>
      <c r="B18" t="s">
        <v>45</v>
      </c>
      <c r="C18" t="s">
        <v>46</v>
      </c>
      <c r="D18" s="9">
        <v>0.624</v>
      </c>
      <c r="E18">
        <v>34</v>
      </c>
      <c r="F18" s="11">
        <v>45717.453229166669</v>
      </c>
      <c r="G18" s="11">
        <v>45717.454340277778</v>
      </c>
      <c r="H18" s="11">
        <v>45717.455324074072</v>
      </c>
      <c r="I18" t="s">
        <v>27</v>
      </c>
      <c r="J18">
        <v>1</v>
      </c>
      <c r="K18">
        <v>0</v>
      </c>
      <c r="L18">
        <v>0</v>
      </c>
      <c r="M18" s="5">
        <f>IF(COUNTA(Table17[[#This Row],[Passed1]:[Passed3]])=0, "", IF(SUM(Table17[[#This Row],[Passed1]:[Passed3]])&gt;1, 1, 0))</f>
        <v>0</v>
      </c>
      <c r="O18" s="14" t="s">
        <v>3321</v>
      </c>
      <c r="P18" s="14" t="s">
        <v>3321</v>
      </c>
      <c r="Q18" s="23" cm="1">
        <f t="array" ref="Q18">SUM((Table17[[#This Row],[Passed1]:[Passed3]])/3)</f>
        <v>0.33333333333333331</v>
      </c>
    </row>
    <row r="19" spans="1:17" ht="15" customHeight="1">
      <c r="A19">
        <v>77</v>
      </c>
      <c r="B19" t="s">
        <v>47</v>
      </c>
      <c r="C19" t="s">
        <v>46</v>
      </c>
      <c r="D19" s="9">
        <v>0.34</v>
      </c>
      <c r="E19">
        <v>34</v>
      </c>
      <c r="F19" s="11">
        <v>45717.468263888892</v>
      </c>
      <c r="G19" s="11">
        <v>45717.468726851854</v>
      </c>
      <c r="H19" s="11">
        <v>45717.470324074071</v>
      </c>
      <c r="I19" t="s">
        <v>27</v>
      </c>
      <c r="J19">
        <v>1</v>
      </c>
      <c r="K19">
        <v>1</v>
      </c>
      <c r="L19">
        <v>1</v>
      </c>
      <c r="M19" s="5">
        <f>IF(COUNTA(Table17[[#This Row],[Passed1]:[Passed3]])=0, "", IF(SUM(Table17[[#This Row],[Passed1]:[Passed3]])&gt;1, 1, 0))</f>
        <v>1</v>
      </c>
      <c r="Q19" s="23" cm="1">
        <f t="array" ref="Q19">SUM((Table17[[#This Row],[Passed1]:[Passed3]])/3)</f>
        <v>1</v>
      </c>
    </row>
    <row r="20" spans="1:17" ht="15" customHeight="1">
      <c r="A20">
        <v>78</v>
      </c>
      <c r="B20" t="s">
        <v>48</v>
      </c>
      <c r="C20" t="s">
        <v>46</v>
      </c>
      <c r="D20" s="9">
        <v>0.497</v>
      </c>
      <c r="E20">
        <v>34</v>
      </c>
      <c r="F20" s="11">
        <v>45717.471863425926</v>
      </c>
      <c r="G20" s="11">
        <v>45717.47215277778</v>
      </c>
      <c r="H20" s="11">
        <v>45717.473263888889</v>
      </c>
      <c r="I20" t="s">
        <v>27</v>
      </c>
      <c r="J20">
        <v>1</v>
      </c>
      <c r="K20">
        <v>1</v>
      </c>
      <c r="L20">
        <v>1</v>
      </c>
      <c r="M20" s="5">
        <f>IF(COUNTA(Table17[[#This Row],[Passed1]:[Passed3]])=0, "", IF(SUM(Table17[[#This Row],[Passed1]:[Passed3]])&gt;1, 1, 0))</f>
        <v>1</v>
      </c>
      <c r="Q20" s="23" cm="1">
        <f t="array" ref="Q20">SUM((Table17[[#This Row],[Passed1]:[Passed3]])/3)</f>
        <v>1</v>
      </c>
    </row>
    <row r="21" spans="1:17" ht="15" customHeight="1">
      <c r="A21">
        <v>79</v>
      </c>
      <c r="B21" t="s">
        <v>49</v>
      </c>
      <c r="C21" t="s">
        <v>46</v>
      </c>
      <c r="D21" s="9">
        <v>0.66900000000000004</v>
      </c>
      <c r="E21">
        <v>34</v>
      </c>
      <c r="F21" s="11">
        <v>45717.48065972222</v>
      </c>
      <c r="G21" s="11">
        <v>45717.481539351851</v>
      </c>
      <c r="H21" s="11">
        <v>45717.486215277779</v>
      </c>
      <c r="I21" t="s">
        <v>27</v>
      </c>
      <c r="J21">
        <v>1</v>
      </c>
      <c r="K21">
        <v>1</v>
      </c>
      <c r="L21">
        <v>1</v>
      </c>
      <c r="M21" s="5">
        <f>IF(COUNTA(Table17[[#This Row],[Passed1]:[Passed3]])=0, "", IF(SUM(Table17[[#This Row],[Passed1]:[Passed3]])&gt;1, 1, 0))</f>
        <v>1</v>
      </c>
      <c r="Q21" s="23" cm="1">
        <f t="array" ref="Q21">SUM((Table17[[#This Row],[Passed1]:[Passed3]])/3)</f>
        <v>1</v>
      </c>
    </row>
    <row r="22" spans="1:17" ht="15" customHeight="1">
      <c r="A22">
        <v>80</v>
      </c>
      <c r="B22" t="s">
        <v>50</v>
      </c>
      <c r="C22" t="s">
        <v>51</v>
      </c>
      <c r="D22" s="9">
        <v>0.36899999999999999</v>
      </c>
      <c r="E22">
        <v>176</v>
      </c>
      <c r="F22" s="11">
        <v>45717.4846412037</v>
      </c>
      <c r="G22" s="11">
        <v>45717.485451388886</v>
      </c>
      <c r="H22" s="11">
        <v>45717.486261574071</v>
      </c>
      <c r="I22" t="s">
        <v>27</v>
      </c>
      <c r="J22">
        <v>0</v>
      </c>
      <c r="K22">
        <v>0</v>
      </c>
      <c r="L22">
        <v>0</v>
      </c>
      <c r="M22" s="5">
        <f>IF(COUNTA(Table17[[#This Row],[Passed1]:[Passed3]])=0, "", IF(SUM(Table17[[#This Row],[Passed1]:[Passed3]])&gt;1, 1, 0))</f>
        <v>0</v>
      </c>
      <c r="N22" s="14" t="s">
        <v>3321</v>
      </c>
      <c r="O22" s="14" t="s">
        <v>3321</v>
      </c>
      <c r="P22" s="14" t="s">
        <v>3321</v>
      </c>
      <c r="Q22" s="23" cm="1">
        <f t="array" ref="Q22">SUM((Table17[[#This Row],[Passed1]:[Passed3]])/3)</f>
        <v>0</v>
      </c>
    </row>
    <row r="23" spans="1:17" ht="15" customHeight="1">
      <c r="A23">
        <v>81</v>
      </c>
      <c r="B23" t="s">
        <v>52</v>
      </c>
      <c r="C23" t="s">
        <v>46</v>
      </c>
      <c r="D23" s="9">
        <v>0.495</v>
      </c>
      <c r="E23">
        <v>34</v>
      </c>
      <c r="F23" s="11">
        <v>45717.730127314811</v>
      </c>
      <c r="G23" s="11">
        <v>45717.731296296297</v>
      </c>
      <c r="H23" s="11">
        <v>45717.731921296298</v>
      </c>
      <c r="I23" t="s">
        <v>27</v>
      </c>
      <c r="J23">
        <v>1</v>
      </c>
      <c r="K23">
        <v>1</v>
      </c>
      <c r="L23">
        <v>1</v>
      </c>
      <c r="M23" s="5">
        <f>IF(COUNTA(Table17[[#This Row],[Passed1]:[Passed3]])=0, "", IF(SUM(Table17[[#This Row],[Passed1]:[Passed3]])&gt;1, 1, 0))</f>
        <v>1</v>
      </c>
      <c r="Q23" s="23" cm="1">
        <f t="array" ref="Q23">SUM((Table17[[#This Row],[Passed1]:[Passed3]])/3)</f>
        <v>1</v>
      </c>
    </row>
    <row r="24" spans="1:17" ht="15" customHeight="1">
      <c r="A24">
        <v>82</v>
      </c>
      <c r="B24" t="s">
        <v>53</v>
      </c>
      <c r="C24" t="s">
        <v>46</v>
      </c>
      <c r="D24" s="9">
        <v>0.65800000000000003</v>
      </c>
      <c r="E24">
        <v>34</v>
      </c>
      <c r="F24" s="11">
        <v>45717.742951388886</v>
      </c>
      <c r="G24" s="11">
        <v>45717.743703703702</v>
      </c>
      <c r="H24" s="11">
        <v>45717.744340277779</v>
      </c>
      <c r="I24" t="s">
        <v>27</v>
      </c>
      <c r="J24">
        <v>0</v>
      </c>
      <c r="K24">
        <v>1</v>
      </c>
      <c r="L24">
        <v>0</v>
      </c>
      <c r="M24" s="5">
        <f>IF(COUNTA(Table17[[#This Row],[Passed1]:[Passed3]])=0, "", IF(SUM(Table17[[#This Row],[Passed1]:[Passed3]])&gt;1, 1, 0))</f>
        <v>0</v>
      </c>
      <c r="N24" s="14" t="s">
        <v>3321</v>
      </c>
      <c r="P24" s="14" t="s">
        <v>3321</v>
      </c>
      <c r="Q24" s="23" cm="1">
        <f t="array" ref="Q24">SUM((Table17[[#This Row],[Passed1]:[Passed3]])/3)</f>
        <v>0.33333333333333331</v>
      </c>
    </row>
    <row r="25" spans="1:17" ht="15" customHeight="1">
      <c r="A25">
        <v>83</v>
      </c>
      <c r="B25" t="s">
        <v>54</v>
      </c>
      <c r="C25" t="s">
        <v>46</v>
      </c>
      <c r="D25" s="9">
        <v>0.41199999999999998</v>
      </c>
      <c r="E25">
        <v>34</v>
      </c>
      <c r="F25" s="11">
        <v>45717.745844907404</v>
      </c>
      <c r="G25" s="11">
        <v>45717.74827546296</v>
      </c>
      <c r="H25" s="11">
        <v>45717.749212962961</v>
      </c>
      <c r="I25" t="s">
        <v>27</v>
      </c>
      <c r="J25">
        <v>0</v>
      </c>
      <c r="K25">
        <v>1</v>
      </c>
      <c r="L25">
        <v>0</v>
      </c>
      <c r="M25" s="5">
        <f>IF(COUNTA(Table17[[#This Row],[Passed1]:[Passed3]])=0, "", IF(SUM(Table17[[#This Row],[Passed1]:[Passed3]])&gt;1, 1, 0))</f>
        <v>0</v>
      </c>
      <c r="N25" s="14" t="s">
        <v>3335</v>
      </c>
      <c r="P25" s="14" t="s">
        <v>3321</v>
      </c>
      <c r="Q25" s="23" cm="1">
        <f t="array" ref="Q25">SUM((Table17[[#This Row],[Passed1]:[Passed3]])/3)</f>
        <v>0.33333333333333331</v>
      </c>
    </row>
    <row r="26" spans="1:17" ht="15" customHeight="1">
      <c r="A26">
        <v>84</v>
      </c>
      <c r="B26" t="s">
        <v>55</v>
      </c>
      <c r="C26" t="s">
        <v>46</v>
      </c>
      <c r="D26" s="9">
        <v>0.39700000000000002</v>
      </c>
      <c r="E26">
        <v>34</v>
      </c>
      <c r="F26" s="11">
        <v>45717.751377314817</v>
      </c>
      <c r="G26" s="11">
        <v>45717.752534722225</v>
      </c>
      <c r="H26" s="11">
        <v>45717.752870370372</v>
      </c>
      <c r="I26" t="s">
        <v>27</v>
      </c>
      <c r="J26">
        <v>1</v>
      </c>
      <c r="K26">
        <v>0</v>
      </c>
      <c r="L26">
        <v>1</v>
      </c>
      <c r="M26" s="5">
        <f>IF(COUNTA(Table17[[#This Row],[Passed1]:[Passed3]])=0, "", IF(SUM(Table17[[#This Row],[Passed1]:[Passed3]])&gt;1, 1, 0))</f>
        <v>1</v>
      </c>
      <c r="O26" s="14" t="s">
        <v>3321</v>
      </c>
      <c r="Q26" s="23" cm="1">
        <f t="array" ref="Q26">SUM((Table17[[#This Row],[Passed1]:[Passed3]])/3)</f>
        <v>0.66666666666666663</v>
      </c>
    </row>
    <row r="27" spans="1:17" ht="15" customHeight="1">
      <c r="A27">
        <v>85</v>
      </c>
      <c r="B27" t="s">
        <v>56</v>
      </c>
      <c r="C27" t="s">
        <v>46</v>
      </c>
      <c r="D27" s="9">
        <v>0.59799999999999998</v>
      </c>
      <c r="E27">
        <v>34</v>
      </c>
      <c r="F27" s="11">
        <v>45717.754374999997</v>
      </c>
      <c r="G27" s="11">
        <v>45717.755023148151</v>
      </c>
      <c r="H27" s="11">
        <v>45717.755844907406</v>
      </c>
      <c r="I27" t="s">
        <v>27</v>
      </c>
      <c r="J27">
        <v>1</v>
      </c>
      <c r="K27">
        <v>1</v>
      </c>
      <c r="L27">
        <v>1</v>
      </c>
      <c r="M27" s="5">
        <f>IF(COUNTA(Table17[[#This Row],[Passed1]:[Passed3]])=0, "", IF(SUM(Table17[[#This Row],[Passed1]:[Passed3]])&gt;1, 1, 0))</f>
        <v>1</v>
      </c>
      <c r="Q27" s="23" cm="1">
        <f t="array" ref="Q27">SUM((Table17[[#This Row],[Passed1]:[Passed3]])/3)</f>
        <v>1</v>
      </c>
    </row>
    <row r="28" spans="1:17" ht="15" customHeight="1">
      <c r="A28">
        <v>86</v>
      </c>
      <c r="B28" t="s">
        <v>57</v>
      </c>
      <c r="C28" t="s">
        <v>58</v>
      </c>
      <c r="D28" s="9">
        <v>0.27300000000000002</v>
      </c>
      <c r="E28">
        <v>69</v>
      </c>
      <c r="F28" s="11">
        <v>45717.756805555553</v>
      </c>
      <c r="G28" s="11">
        <v>45717.758437500001</v>
      </c>
      <c r="H28" s="11">
        <v>45717.759328703702</v>
      </c>
      <c r="I28" t="s">
        <v>27</v>
      </c>
      <c r="J28">
        <v>0</v>
      </c>
      <c r="K28">
        <v>1</v>
      </c>
      <c r="L28">
        <v>1</v>
      </c>
      <c r="M28" s="5">
        <f>IF(COUNTA(Table17[[#This Row],[Passed1]:[Passed3]])=0, "", IF(SUM(Table17[[#This Row],[Passed1]:[Passed3]])&gt;1, 1, 0))</f>
        <v>1</v>
      </c>
      <c r="N28" s="14" t="s">
        <v>3321</v>
      </c>
      <c r="Q28" s="23" cm="1">
        <f t="array" ref="Q28">SUM((Table17[[#This Row],[Passed1]:[Passed3]])/3)</f>
        <v>0.66666666666666663</v>
      </c>
    </row>
    <row r="29" spans="1:17" ht="15" customHeight="1">
      <c r="A29">
        <v>87</v>
      </c>
      <c r="B29" t="s">
        <v>59</v>
      </c>
      <c r="C29" t="s">
        <v>58</v>
      </c>
      <c r="D29" s="9">
        <v>0.29699999999999999</v>
      </c>
      <c r="E29">
        <v>69</v>
      </c>
      <c r="F29" s="11">
        <v>45717.759953703702</v>
      </c>
      <c r="G29" s="11">
        <v>45717.760578703703</v>
      </c>
      <c r="H29" s="11">
        <v>45717.762071759258</v>
      </c>
      <c r="I29" t="s">
        <v>27</v>
      </c>
      <c r="J29">
        <v>0</v>
      </c>
      <c r="K29">
        <v>1</v>
      </c>
      <c r="L29">
        <v>1</v>
      </c>
      <c r="M29" s="5">
        <f>IF(COUNTA(Table17[[#This Row],[Passed1]:[Passed3]])=0, "", IF(SUM(Table17[[#This Row],[Passed1]:[Passed3]])&gt;1, 1, 0))</f>
        <v>1</v>
      </c>
      <c r="N29" s="14" t="s">
        <v>3321</v>
      </c>
      <c r="Q29" s="23" cm="1">
        <f t="array" ref="Q29">SUM((Table17[[#This Row],[Passed1]:[Passed3]])/3)</f>
        <v>0.66666666666666663</v>
      </c>
    </row>
    <row r="30" spans="1:17" ht="15" customHeight="1">
      <c r="A30">
        <v>88</v>
      </c>
      <c r="B30" t="s">
        <v>60</v>
      </c>
      <c r="C30" t="s">
        <v>58</v>
      </c>
      <c r="D30" s="9">
        <v>0.40100000000000002</v>
      </c>
      <c r="E30">
        <v>69</v>
      </c>
      <c r="F30" s="11">
        <v>45717.762800925928</v>
      </c>
      <c r="G30" s="11">
        <v>45717.763240740744</v>
      </c>
      <c r="H30" s="11">
        <v>45717.764386574076</v>
      </c>
      <c r="I30" t="s">
        <v>27</v>
      </c>
      <c r="J30">
        <v>1</v>
      </c>
      <c r="K30">
        <v>1</v>
      </c>
      <c r="L30">
        <v>1</v>
      </c>
      <c r="M30" s="5">
        <f>IF(COUNTA(Table17[[#This Row],[Passed1]:[Passed3]])=0, "", IF(SUM(Table17[[#This Row],[Passed1]:[Passed3]])&gt;1, 1, 0))</f>
        <v>1</v>
      </c>
      <c r="Q30" s="23" cm="1">
        <f t="array" ref="Q30">SUM((Table17[[#This Row],[Passed1]:[Passed3]])/3)</f>
        <v>1</v>
      </c>
    </row>
    <row r="31" spans="1:17" ht="15" customHeight="1">
      <c r="A31">
        <v>89</v>
      </c>
      <c r="B31" t="s">
        <v>61</v>
      </c>
      <c r="C31" t="s">
        <v>58</v>
      </c>
      <c r="D31" s="9">
        <v>0.41499999999999998</v>
      </c>
      <c r="E31">
        <v>69</v>
      </c>
      <c r="F31" s="11">
        <v>45717.765115740738</v>
      </c>
      <c r="G31" s="11">
        <v>45717.765868055554</v>
      </c>
      <c r="H31" s="11">
        <v>45717.76667824074</v>
      </c>
      <c r="I31" t="s">
        <v>27</v>
      </c>
      <c r="J31">
        <v>1</v>
      </c>
      <c r="K31">
        <v>1</v>
      </c>
      <c r="L31">
        <v>1</v>
      </c>
      <c r="M31" s="5">
        <f>IF(COUNTA(Table17[[#This Row],[Passed1]:[Passed3]])=0, "", IF(SUM(Table17[[#This Row],[Passed1]:[Passed3]])&gt;1, 1, 0))</f>
        <v>1</v>
      </c>
      <c r="Q31" s="23" cm="1">
        <f t="array" ref="Q31">SUM((Table17[[#This Row],[Passed1]:[Passed3]])/3)</f>
        <v>1</v>
      </c>
    </row>
    <row r="32" spans="1:17" ht="15" customHeight="1">
      <c r="A32">
        <v>90</v>
      </c>
      <c r="B32" t="s">
        <v>62</v>
      </c>
      <c r="C32" t="s">
        <v>58</v>
      </c>
      <c r="D32" s="9">
        <v>0.52400000000000002</v>
      </c>
      <c r="E32">
        <v>69</v>
      </c>
      <c r="F32" s="11">
        <v>45717.767337962963</v>
      </c>
      <c r="G32" s="11">
        <v>45717.767962962964</v>
      </c>
      <c r="H32" s="11">
        <v>45717.768379629626</v>
      </c>
      <c r="I32" t="s">
        <v>27</v>
      </c>
      <c r="J32">
        <v>1</v>
      </c>
      <c r="K32">
        <v>1</v>
      </c>
      <c r="L32">
        <v>1</v>
      </c>
      <c r="M32" s="5">
        <f>IF(COUNTA(Table17[[#This Row],[Passed1]:[Passed3]])=0, "", IF(SUM(Table17[[#This Row],[Passed1]:[Passed3]])&gt;1, 1, 0))</f>
        <v>1</v>
      </c>
      <c r="Q32" s="23" cm="1">
        <f t="array" ref="Q32">SUM((Table17[[#This Row],[Passed1]:[Passed3]])/3)</f>
        <v>1</v>
      </c>
    </row>
    <row r="33" spans="1:17" ht="15" customHeight="1">
      <c r="A33">
        <v>121</v>
      </c>
      <c r="B33" t="s">
        <v>66</v>
      </c>
      <c r="C33" t="s">
        <v>67</v>
      </c>
      <c r="D33" s="9">
        <v>0.42</v>
      </c>
      <c r="E33">
        <v>55</v>
      </c>
      <c r="F33" s="11">
        <v>45714.602777777778</v>
      </c>
      <c r="G33" s="11">
        <v>45714.603472222225</v>
      </c>
      <c r="H33" s="11">
        <v>45714.604166666664</v>
      </c>
      <c r="I33" t="s">
        <v>27</v>
      </c>
      <c r="J33">
        <v>1</v>
      </c>
      <c r="K33">
        <v>1</v>
      </c>
      <c r="L33">
        <v>1</v>
      </c>
      <c r="M33" s="5">
        <f>IF(COUNTA(Table17[[#This Row],[Passed1]:[Passed3]])=0, "", IF(SUM(Table17[[#This Row],[Passed1]:[Passed3]])&gt;1, 1, 0))</f>
        <v>1</v>
      </c>
      <c r="Q33" s="23" cm="1">
        <f t="array" ref="Q33">SUM((Table17[[#This Row],[Passed1]:[Passed3]])/3)</f>
        <v>1</v>
      </c>
    </row>
    <row r="34" spans="1:17" ht="15" customHeight="1">
      <c r="A34">
        <v>122</v>
      </c>
      <c r="B34" t="s">
        <v>68</v>
      </c>
      <c r="C34" t="s">
        <v>67</v>
      </c>
      <c r="D34" s="9">
        <v>0.36</v>
      </c>
      <c r="E34">
        <v>55</v>
      </c>
      <c r="F34" s="11">
        <v>45714.604861111111</v>
      </c>
      <c r="G34" s="11">
        <v>45714.606249999997</v>
      </c>
      <c r="H34" s="11">
        <v>45714.606944444444</v>
      </c>
      <c r="I34" t="s">
        <v>27</v>
      </c>
      <c r="J34">
        <v>0</v>
      </c>
      <c r="K34">
        <v>1</v>
      </c>
      <c r="L34">
        <v>1</v>
      </c>
      <c r="M34" s="5">
        <f>IF(COUNTA(Table17[[#This Row],[Passed1]:[Passed3]])=0, "", IF(SUM(Table17[[#This Row],[Passed1]:[Passed3]])&gt;1, 1, 0))</f>
        <v>1</v>
      </c>
      <c r="N34" s="14" t="s">
        <v>3321</v>
      </c>
      <c r="Q34" s="23" cm="1">
        <f t="array" ref="Q34">SUM((Table17[[#This Row],[Passed1]:[Passed3]])/3)</f>
        <v>0.66666666666666663</v>
      </c>
    </row>
    <row r="35" spans="1:17" ht="15" customHeight="1">
      <c r="A35">
        <v>123</v>
      </c>
      <c r="B35" t="s">
        <v>69</v>
      </c>
      <c r="C35" t="s">
        <v>67</v>
      </c>
      <c r="D35" s="9">
        <v>0.37</v>
      </c>
      <c r="E35">
        <v>55</v>
      </c>
      <c r="F35" s="11">
        <v>45714.607638888891</v>
      </c>
      <c r="G35" s="11">
        <v>45714.609027777777</v>
      </c>
      <c r="H35" s="11">
        <v>45714.609722222223</v>
      </c>
      <c r="I35" t="s">
        <v>27</v>
      </c>
      <c r="J35">
        <v>1</v>
      </c>
      <c r="K35">
        <v>1</v>
      </c>
      <c r="L35">
        <v>1</v>
      </c>
      <c r="M35" s="5">
        <f>IF(COUNTA(Table17[[#This Row],[Passed1]:[Passed3]])=0, "", IF(SUM(Table17[[#This Row],[Passed1]:[Passed3]])&gt;1, 1, 0))</f>
        <v>1</v>
      </c>
      <c r="Q35" s="23" cm="1">
        <f t="array" ref="Q35">SUM((Table17[[#This Row],[Passed1]:[Passed3]])/3)</f>
        <v>1</v>
      </c>
    </row>
    <row r="36" spans="1:17" ht="15" customHeight="1">
      <c r="A36">
        <v>124</v>
      </c>
      <c r="B36" t="s">
        <v>35</v>
      </c>
      <c r="C36" t="s">
        <v>67</v>
      </c>
      <c r="D36" s="9">
        <v>0.41199999999999998</v>
      </c>
      <c r="E36">
        <v>55</v>
      </c>
      <c r="F36" s="11">
        <v>45714.611111111109</v>
      </c>
      <c r="G36" s="11">
        <v>45714.612500000003</v>
      </c>
      <c r="H36" s="11">
        <v>45714.613194444442</v>
      </c>
      <c r="I36" t="s">
        <v>27</v>
      </c>
      <c r="J36">
        <v>1</v>
      </c>
      <c r="K36">
        <v>1</v>
      </c>
      <c r="L36">
        <v>1</v>
      </c>
      <c r="M36" s="5">
        <f>IF(COUNTA(Table17[[#This Row],[Passed1]:[Passed3]])=0, "", IF(SUM(Table17[[#This Row],[Passed1]:[Passed3]])&gt;1, 1, 0))</f>
        <v>1</v>
      </c>
      <c r="Q36" s="23" cm="1">
        <f t="array" ref="Q36">SUM((Table17[[#This Row],[Passed1]:[Passed3]])/3)</f>
        <v>1</v>
      </c>
    </row>
    <row r="37" spans="1:17" ht="15" customHeight="1">
      <c r="A37">
        <v>125</v>
      </c>
      <c r="B37" t="s">
        <v>70</v>
      </c>
      <c r="C37" t="s">
        <v>67</v>
      </c>
      <c r="D37" s="9">
        <v>0.435</v>
      </c>
      <c r="E37">
        <v>55</v>
      </c>
      <c r="F37" s="11">
        <v>45714.614583333336</v>
      </c>
      <c r="G37" s="11">
        <v>45714.615972222222</v>
      </c>
      <c r="H37" s="11">
        <v>45714.616666666669</v>
      </c>
      <c r="I37" t="s">
        <v>27</v>
      </c>
      <c r="J37">
        <v>1</v>
      </c>
      <c r="K37">
        <v>0</v>
      </c>
      <c r="L37">
        <v>1</v>
      </c>
      <c r="M37" s="5">
        <f>IF(COUNTA(Table17[[#This Row],[Passed1]:[Passed3]])=0, "", IF(SUM(Table17[[#This Row],[Passed1]:[Passed3]])&gt;1, 1, 0))</f>
        <v>1</v>
      </c>
      <c r="O37" s="14" t="s">
        <v>3320</v>
      </c>
      <c r="Q37" s="23" cm="1">
        <f t="array" ref="Q37">SUM((Table17[[#This Row],[Passed1]:[Passed3]])/3)</f>
        <v>0.66666666666666663</v>
      </c>
    </row>
    <row r="38" spans="1:17" ht="15" customHeight="1">
      <c r="A38">
        <v>126</v>
      </c>
      <c r="B38" t="s">
        <v>39</v>
      </c>
      <c r="C38" t="s">
        <v>67</v>
      </c>
      <c r="D38" s="9">
        <v>0.41199999999999998</v>
      </c>
      <c r="E38">
        <v>55</v>
      </c>
      <c r="F38" s="11">
        <v>45714.618055555555</v>
      </c>
      <c r="G38" s="11">
        <v>45714.619444444441</v>
      </c>
      <c r="H38" s="11">
        <v>45714.620138888888</v>
      </c>
      <c r="I38" t="s">
        <v>27</v>
      </c>
      <c r="J38">
        <v>1</v>
      </c>
      <c r="K38">
        <v>1</v>
      </c>
      <c r="L38">
        <v>1</v>
      </c>
      <c r="M38" s="5">
        <f>IF(COUNTA(Table17[[#This Row],[Passed1]:[Passed3]])=0, "", IF(SUM(Table17[[#This Row],[Passed1]:[Passed3]])&gt;1, 1, 0))</f>
        <v>1</v>
      </c>
      <c r="Q38" s="23" cm="1">
        <f t="array" ref="Q38">SUM((Table17[[#This Row],[Passed1]:[Passed3]])/3)</f>
        <v>1</v>
      </c>
    </row>
    <row r="39" spans="1:17" ht="15" customHeight="1">
      <c r="A39">
        <v>127</v>
      </c>
      <c r="B39" t="s">
        <v>72</v>
      </c>
      <c r="C39" t="s">
        <v>67</v>
      </c>
      <c r="D39" s="9">
        <v>0.53500000000000003</v>
      </c>
      <c r="E39">
        <v>55</v>
      </c>
      <c r="F39" s="11">
        <v>45714.621527777781</v>
      </c>
      <c r="G39" s="11">
        <v>45714.622916666667</v>
      </c>
      <c r="H39" s="11">
        <v>45714.623611111114</v>
      </c>
      <c r="I39" t="s">
        <v>27</v>
      </c>
      <c r="J39">
        <v>1</v>
      </c>
      <c r="K39">
        <v>1</v>
      </c>
      <c r="L39">
        <v>1</v>
      </c>
      <c r="M39" s="5">
        <f>IF(COUNTA(Table17[[#This Row],[Passed1]:[Passed3]])=0, "", IF(SUM(Table17[[#This Row],[Passed1]:[Passed3]])&gt;1, 1, 0))</f>
        <v>1</v>
      </c>
      <c r="Q39" s="23" cm="1">
        <f t="array" ref="Q39">SUM((Table17[[#This Row],[Passed1]:[Passed3]])/3)</f>
        <v>1</v>
      </c>
    </row>
    <row r="40" spans="1:17" ht="15" customHeight="1">
      <c r="A40">
        <v>128</v>
      </c>
      <c r="B40" t="s">
        <v>73</v>
      </c>
      <c r="C40" t="s">
        <v>67</v>
      </c>
      <c r="D40" s="9">
        <v>0.52900000000000003</v>
      </c>
      <c r="E40">
        <v>55</v>
      </c>
      <c r="F40" s="11">
        <v>45714.625</v>
      </c>
      <c r="G40" s="11">
        <v>45714.625</v>
      </c>
      <c r="H40" s="11">
        <v>45714.626388888886</v>
      </c>
      <c r="I40" t="s">
        <v>27</v>
      </c>
      <c r="J40">
        <v>1</v>
      </c>
      <c r="K40">
        <v>1</v>
      </c>
      <c r="L40">
        <v>1</v>
      </c>
      <c r="M40" s="5">
        <f>IF(COUNTA(Table17[[#This Row],[Passed1]:[Passed3]])=0, "", IF(SUM(Table17[[#This Row],[Passed1]:[Passed3]])&gt;1, 1, 0))</f>
        <v>1</v>
      </c>
      <c r="Q40" s="23" cm="1">
        <f t="array" ref="Q40">SUM((Table17[[#This Row],[Passed1]:[Passed3]])/3)</f>
        <v>1</v>
      </c>
    </row>
    <row r="41" spans="1:17" ht="15" customHeight="1">
      <c r="A41">
        <v>129</v>
      </c>
      <c r="B41" t="s">
        <v>74</v>
      </c>
      <c r="C41" t="s">
        <v>67</v>
      </c>
      <c r="D41" s="9">
        <v>0.49299999999999999</v>
      </c>
      <c r="E41">
        <v>55</v>
      </c>
      <c r="F41" s="11">
        <v>45714.62777777778</v>
      </c>
      <c r="G41" s="11">
        <v>45714.628472222219</v>
      </c>
      <c r="H41" s="11">
        <v>45714.629166666666</v>
      </c>
      <c r="I41" t="s">
        <v>27</v>
      </c>
      <c r="J41">
        <v>0</v>
      </c>
      <c r="K41">
        <v>1</v>
      </c>
      <c r="L41">
        <v>1</v>
      </c>
      <c r="M41" s="5">
        <f>IF(COUNTA(Table17[[#This Row],[Passed1]:[Passed3]])=0, "", IF(SUM(Table17[[#This Row],[Passed1]:[Passed3]])&gt;1, 1, 0))</f>
        <v>1</v>
      </c>
      <c r="N41" s="14" t="s">
        <v>3321</v>
      </c>
      <c r="Q41" s="23" cm="1">
        <f t="array" ref="Q41">SUM((Table17[[#This Row],[Passed1]:[Passed3]])/3)</f>
        <v>0.66666666666666663</v>
      </c>
    </row>
    <row r="42" spans="1:17" ht="15" customHeight="1">
      <c r="A42">
        <v>130</v>
      </c>
      <c r="B42" t="s">
        <v>75</v>
      </c>
      <c r="C42" t="s">
        <v>67</v>
      </c>
      <c r="D42" s="9">
        <v>0.46899999999999997</v>
      </c>
      <c r="E42">
        <v>55</v>
      </c>
      <c r="F42" s="11">
        <v>45714.630555555559</v>
      </c>
      <c r="G42" s="11">
        <v>45714.631249999999</v>
      </c>
      <c r="H42" s="11">
        <v>45714.631944444445</v>
      </c>
      <c r="I42" t="s">
        <v>27</v>
      </c>
      <c r="J42">
        <v>1</v>
      </c>
      <c r="K42">
        <v>1</v>
      </c>
      <c r="L42">
        <v>1</v>
      </c>
      <c r="M42" s="5">
        <f>IF(COUNTA(Table17[[#This Row],[Passed1]:[Passed3]])=0, "", IF(SUM(Table17[[#This Row],[Passed1]:[Passed3]])&gt;1, 1, 0))</f>
        <v>1</v>
      </c>
      <c r="Q42" s="23" cm="1">
        <f t="array" ref="Q42">SUM((Table17[[#This Row],[Passed1]:[Passed3]])/3)</f>
        <v>1</v>
      </c>
    </row>
    <row r="43" spans="1:17" ht="15" customHeight="1">
      <c r="A43">
        <v>131</v>
      </c>
      <c r="B43" t="s">
        <v>76</v>
      </c>
      <c r="C43" t="s">
        <v>67</v>
      </c>
      <c r="D43" s="9">
        <v>0.48399999999999999</v>
      </c>
      <c r="E43">
        <v>55</v>
      </c>
      <c r="F43" s="11">
        <v>45714.633333333331</v>
      </c>
      <c r="G43" s="11">
        <v>45714.634027777778</v>
      </c>
      <c r="H43" s="11">
        <v>45714.634722222225</v>
      </c>
      <c r="I43" t="s">
        <v>27</v>
      </c>
      <c r="J43">
        <v>1</v>
      </c>
      <c r="K43">
        <v>0</v>
      </c>
      <c r="L43">
        <v>1</v>
      </c>
      <c r="M43" s="5">
        <f>IF(COUNTA(Table17[[#This Row],[Passed1]:[Passed3]])=0, "", IF(SUM(Table17[[#This Row],[Passed1]:[Passed3]])&gt;1, 1, 0))</f>
        <v>1</v>
      </c>
      <c r="O43" s="14" t="s">
        <v>3321</v>
      </c>
      <c r="Q43" s="23" cm="1">
        <f t="array" ref="Q43">SUM((Table17[[#This Row],[Passed1]:[Passed3]])/3)</f>
        <v>0.66666666666666663</v>
      </c>
    </row>
    <row r="44" spans="1:17" ht="15" customHeight="1">
      <c r="A44">
        <v>132</v>
      </c>
      <c r="B44" t="s">
        <v>77</v>
      </c>
      <c r="C44" t="s">
        <v>67</v>
      </c>
      <c r="D44" s="9">
        <v>0.51700000000000002</v>
      </c>
      <c r="E44">
        <v>55</v>
      </c>
      <c r="F44" s="11">
        <v>45715.362500000003</v>
      </c>
      <c r="G44" s="11">
        <v>45715.363194444442</v>
      </c>
      <c r="H44" s="11">
        <v>45715.363888888889</v>
      </c>
      <c r="I44" t="s">
        <v>27</v>
      </c>
      <c r="J44">
        <v>0</v>
      </c>
      <c r="K44">
        <v>1</v>
      </c>
      <c r="L44">
        <v>1</v>
      </c>
      <c r="M44" s="5">
        <f>IF(COUNTA(Table17[[#This Row],[Passed1]:[Passed3]])=0, "", IF(SUM(Table17[[#This Row],[Passed1]:[Passed3]])&gt;1, 1, 0))</f>
        <v>1</v>
      </c>
      <c r="Q44" s="23" cm="1">
        <f t="array" ref="Q44">SUM((Table17[[#This Row],[Passed1]:[Passed3]])/3)</f>
        <v>0.66666666666666663</v>
      </c>
    </row>
    <row r="45" spans="1:17" ht="15" customHeight="1">
      <c r="A45">
        <v>133</v>
      </c>
      <c r="B45" t="s">
        <v>78</v>
      </c>
      <c r="C45" t="s">
        <v>67</v>
      </c>
      <c r="D45" s="9">
        <v>0.52300000000000002</v>
      </c>
      <c r="E45">
        <v>55</v>
      </c>
      <c r="F45" s="11">
        <v>45715.365277777775</v>
      </c>
      <c r="G45" s="11">
        <v>45715.366666666669</v>
      </c>
      <c r="H45" s="11">
        <v>45715.366666666669</v>
      </c>
      <c r="I45" t="s">
        <v>27</v>
      </c>
      <c r="J45">
        <v>1</v>
      </c>
      <c r="K45">
        <v>1</v>
      </c>
      <c r="L45">
        <v>1</v>
      </c>
      <c r="M45" s="5">
        <f>IF(COUNTA(Table17[[#This Row],[Passed1]:[Passed3]])=0, "", IF(SUM(Table17[[#This Row],[Passed1]:[Passed3]])&gt;1, 1, 0))</f>
        <v>1</v>
      </c>
      <c r="Q45" s="23" cm="1">
        <f t="array" ref="Q45">SUM((Table17[[#This Row],[Passed1]:[Passed3]])/3)</f>
        <v>1</v>
      </c>
    </row>
    <row r="46" spans="1:17" ht="15" customHeight="1">
      <c r="A46">
        <v>134</v>
      </c>
      <c r="B46" t="s">
        <v>79</v>
      </c>
      <c r="C46" t="s">
        <v>67</v>
      </c>
      <c r="D46" s="9">
        <v>0.54900000000000004</v>
      </c>
      <c r="E46">
        <v>55</v>
      </c>
      <c r="F46" s="11">
        <v>45715.370138888888</v>
      </c>
      <c r="G46" s="11">
        <v>45715.371527777781</v>
      </c>
      <c r="H46" s="11">
        <v>45715.372916666667</v>
      </c>
      <c r="I46" t="s">
        <v>27</v>
      </c>
      <c r="J46">
        <v>1</v>
      </c>
      <c r="K46">
        <v>0</v>
      </c>
      <c r="L46">
        <v>0</v>
      </c>
      <c r="M46" s="5">
        <f>IF(COUNTA(Table17[[#This Row],[Passed1]:[Passed3]])=0, "", IF(SUM(Table17[[#This Row],[Passed1]:[Passed3]])&gt;1, 1, 0))</f>
        <v>0</v>
      </c>
      <c r="O46" s="14" t="s">
        <v>3320</v>
      </c>
      <c r="P46" s="14" t="s">
        <v>3320</v>
      </c>
      <c r="Q46" s="23" cm="1">
        <f t="array" ref="Q46">SUM((Table17[[#This Row],[Passed1]:[Passed3]])/3)</f>
        <v>0.33333333333333331</v>
      </c>
    </row>
    <row r="47" spans="1:17" ht="15" customHeight="1">
      <c r="A47">
        <v>135</v>
      </c>
      <c r="B47" t="s">
        <v>80</v>
      </c>
      <c r="C47" t="s">
        <v>81</v>
      </c>
      <c r="D47" s="9">
        <v>0.48499999999999999</v>
      </c>
      <c r="E47">
        <v>6</v>
      </c>
      <c r="F47" s="11">
        <v>45715.374305555553</v>
      </c>
      <c r="G47" s="11">
        <v>45715.375</v>
      </c>
      <c r="H47" s="11">
        <v>45715.375694444447</v>
      </c>
      <c r="I47" t="s">
        <v>24</v>
      </c>
      <c r="J47">
        <v>1</v>
      </c>
      <c r="K47">
        <v>1</v>
      </c>
      <c r="L47">
        <v>1</v>
      </c>
      <c r="M47" s="5">
        <f>IF(COUNTA(Table17[[#This Row],[Passed1]:[Passed3]])=0, "", IF(SUM(Table17[[#This Row],[Passed1]:[Passed3]])&gt;1, 1, 0))</f>
        <v>1</v>
      </c>
      <c r="Q47" s="23" cm="1">
        <f t="array" ref="Q47">SUM((Table17[[#This Row],[Passed1]:[Passed3]])/3)</f>
        <v>1</v>
      </c>
    </row>
    <row r="48" spans="1:17" ht="15" customHeight="1">
      <c r="A48">
        <v>166</v>
      </c>
      <c r="B48" t="s">
        <v>85</v>
      </c>
      <c r="C48" t="s">
        <v>86</v>
      </c>
      <c r="D48" s="9">
        <v>0.21299999999999999</v>
      </c>
      <c r="E48">
        <v>67</v>
      </c>
      <c r="F48" s="11">
        <v>45715.377083333333</v>
      </c>
      <c r="G48" s="11">
        <v>45715.378472222219</v>
      </c>
      <c r="H48" s="11">
        <v>45715.379166666666</v>
      </c>
      <c r="I48" t="s">
        <v>27</v>
      </c>
      <c r="J48">
        <v>1</v>
      </c>
      <c r="K48">
        <v>0</v>
      </c>
      <c r="L48">
        <v>0</v>
      </c>
      <c r="M48" s="5">
        <f>IF(COUNTA(Table17[[#This Row],[Passed1]:[Passed3]])=0, "", IF(SUM(Table17[[#This Row],[Passed1]:[Passed3]])&gt;1, 1, 0))</f>
        <v>0</v>
      </c>
      <c r="O48" s="14" t="s">
        <v>3321</v>
      </c>
      <c r="P48" s="14" t="s">
        <v>3321</v>
      </c>
      <c r="Q48" s="23" cm="1">
        <f t="array" ref="Q48">SUM((Table17[[#This Row],[Passed1]:[Passed3]])/3)</f>
        <v>0.33333333333333331</v>
      </c>
    </row>
    <row r="49" spans="1:17" ht="15" customHeight="1">
      <c r="A49">
        <v>167</v>
      </c>
      <c r="B49" t="s">
        <v>87</v>
      </c>
      <c r="C49" t="s">
        <v>86</v>
      </c>
      <c r="D49" s="9">
        <v>0.23400000000000001</v>
      </c>
      <c r="E49">
        <v>67</v>
      </c>
      <c r="F49" s="11">
        <v>45715.383333333331</v>
      </c>
      <c r="G49" s="11">
        <v>45715.383333333331</v>
      </c>
      <c r="H49" s="11">
        <v>45715.384722222225</v>
      </c>
      <c r="I49" t="s">
        <v>27</v>
      </c>
      <c r="J49">
        <v>1</v>
      </c>
      <c r="K49">
        <v>1</v>
      </c>
      <c r="L49">
        <v>1</v>
      </c>
      <c r="M49" s="5">
        <f>IF(COUNTA(Table17[[#This Row],[Passed1]:[Passed3]])=0, "", IF(SUM(Table17[[#This Row],[Passed1]:[Passed3]])&gt;1, 1, 0))</f>
        <v>1</v>
      </c>
      <c r="Q49" s="23" cm="1">
        <f t="array" ref="Q49">SUM((Table17[[#This Row],[Passed1]:[Passed3]])/3)</f>
        <v>1</v>
      </c>
    </row>
    <row r="50" spans="1:17" ht="15" customHeight="1">
      <c r="A50">
        <v>168</v>
      </c>
      <c r="B50" t="s">
        <v>88</v>
      </c>
      <c r="C50" t="s">
        <v>86</v>
      </c>
      <c r="D50" s="9">
        <v>0.317</v>
      </c>
      <c r="E50">
        <v>67</v>
      </c>
      <c r="F50" s="11">
        <v>45715.387499999997</v>
      </c>
      <c r="G50" s="11">
        <v>45715.388194444444</v>
      </c>
      <c r="H50" s="11">
        <v>45715.388888888891</v>
      </c>
      <c r="I50" t="s">
        <v>27</v>
      </c>
      <c r="J50">
        <v>1</v>
      </c>
      <c r="K50">
        <v>1</v>
      </c>
      <c r="L50">
        <v>1</v>
      </c>
      <c r="M50" s="5">
        <f>IF(COUNTA(Table17[[#This Row],[Passed1]:[Passed3]])=0, "", IF(SUM(Table17[[#This Row],[Passed1]:[Passed3]])&gt;1, 1, 0))</f>
        <v>1</v>
      </c>
      <c r="Q50" s="23" cm="1">
        <f t="array" ref="Q50">SUM((Table17[[#This Row],[Passed1]:[Passed3]])/3)</f>
        <v>1</v>
      </c>
    </row>
    <row r="51" spans="1:17" ht="15" customHeight="1">
      <c r="A51">
        <v>169</v>
      </c>
      <c r="B51" t="s">
        <v>89</v>
      </c>
      <c r="C51" t="s">
        <v>86</v>
      </c>
      <c r="D51" s="9">
        <v>0.32700000000000001</v>
      </c>
      <c r="E51">
        <v>67</v>
      </c>
      <c r="F51" s="11">
        <v>45715.39166666667</v>
      </c>
      <c r="G51" s="11">
        <v>45715.392361111109</v>
      </c>
      <c r="H51" s="11">
        <v>45715.392361111109</v>
      </c>
      <c r="I51" t="s">
        <v>27</v>
      </c>
      <c r="J51">
        <v>1</v>
      </c>
      <c r="K51">
        <v>1</v>
      </c>
      <c r="L51">
        <v>1</v>
      </c>
      <c r="M51" s="5">
        <f>IF(COUNTA(Table17[[#This Row],[Passed1]:[Passed3]])=0, "", IF(SUM(Table17[[#This Row],[Passed1]:[Passed3]])&gt;1, 1, 0))</f>
        <v>1</v>
      </c>
      <c r="Q51" s="23" cm="1">
        <f t="array" ref="Q51">SUM((Table17[[#This Row],[Passed1]:[Passed3]])/3)</f>
        <v>1</v>
      </c>
    </row>
    <row r="52" spans="1:17" ht="15" customHeight="1">
      <c r="A52">
        <v>170</v>
      </c>
      <c r="B52" t="s">
        <v>90</v>
      </c>
      <c r="C52" t="s">
        <v>86</v>
      </c>
      <c r="D52" s="9">
        <v>0.35799999999999998</v>
      </c>
      <c r="E52">
        <v>67</v>
      </c>
      <c r="F52" s="11">
        <v>45715.416666666664</v>
      </c>
      <c r="G52" s="11">
        <v>45715.417361111111</v>
      </c>
      <c r="H52" s="11">
        <v>45715.418055555558</v>
      </c>
      <c r="I52" t="s">
        <v>27</v>
      </c>
      <c r="J52">
        <v>0</v>
      </c>
      <c r="K52">
        <v>1</v>
      </c>
      <c r="L52">
        <v>1</v>
      </c>
      <c r="M52" s="5">
        <f>IF(COUNTA(Table17[[#This Row],[Passed1]:[Passed3]])=0, "", IF(SUM(Table17[[#This Row],[Passed1]:[Passed3]])&gt;1, 1, 0))</f>
        <v>1</v>
      </c>
      <c r="N52" s="14" t="s">
        <v>3321</v>
      </c>
      <c r="Q52" s="23" cm="1">
        <f t="array" ref="Q52">SUM((Table17[[#This Row],[Passed1]:[Passed3]])/3)</f>
        <v>0.66666666666666663</v>
      </c>
    </row>
    <row r="53" spans="1:17" ht="15" customHeight="1">
      <c r="A53">
        <v>171</v>
      </c>
      <c r="B53" t="s">
        <v>91</v>
      </c>
      <c r="C53" t="s">
        <v>86</v>
      </c>
      <c r="D53" s="9">
        <v>0.379</v>
      </c>
      <c r="E53">
        <v>67</v>
      </c>
      <c r="F53" s="11">
        <v>45715.418749999997</v>
      </c>
      <c r="G53" s="11">
        <v>45715.419444444444</v>
      </c>
      <c r="H53" s="11">
        <v>45715.420138888891</v>
      </c>
      <c r="I53" t="s">
        <v>27</v>
      </c>
      <c r="J53">
        <v>1</v>
      </c>
      <c r="K53">
        <v>1</v>
      </c>
      <c r="L53">
        <v>1</v>
      </c>
      <c r="M53" s="5">
        <f>IF(COUNTA(Table17[[#This Row],[Passed1]:[Passed3]])=0, "", IF(SUM(Table17[[#This Row],[Passed1]:[Passed3]])&gt;1, 1, 0))</f>
        <v>1</v>
      </c>
      <c r="Q53" s="23" cm="1">
        <f t="array" ref="Q53">SUM((Table17[[#This Row],[Passed1]:[Passed3]])/3)</f>
        <v>1</v>
      </c>
    </row>
    <row r="54" spans="1:17" ht="15" customHeight="1">
      <c r="A54">
        <v>172</v>
      </c>
      <c r="B54" t="s">
        <v>92</v>
      </c>
      <c r="C54" t="s">
        <v>86</v>
      </c>
      <c r="D54" s="9">
        <v>0.36599999999999999</v>
      </c>
      <c r="E54">
        <v>67</v>
      </c>
      <c r="F54" s="11">
        <v>45715.454861111109</v>
      </c>
      <c r="G54" s="11">
        <v>45715.456250000003</v>
      </c>
      <c r="H54" s="11">
        <v>45715.456944444442</v>
      </c>
      <c r="I54" t="s">
        <v>27</v>
      </c>
      <c r="J54">
        <v>1</v>
      </c>
      <c r="K54">
        <v>1</v>
      </c>
      <c r="L54">
        <v>1</v>
      </c>
      <c r="M54" s="5">
        <f>IF(COUNTA(Table17[[#This Row],[Passed1]:[Passed3]])=0, "", IF(SUM(Table17[[#This Row],[Passed1]:[Passed3]])&gt;1, 1, 0))</f>
        <v>1</v>
      </c>
      <c r="Q54" s="23" cm="1">
        <f t="array" ref="Q54">SUM((Table17[[#This Row],[Passed1]:[Passed3]])/3)</f>
        <v>1</v>
      </c>
    </row>
    <row r="55" spans="1:17" ht="15" customHeight="1">
      <c r="A55">
        <v>173</v>
      </c>
      <c r="B55" t="s">
        <v>93</v>
      </c>
      <c r="C55" t="s">
        <v>86</v>
      </c>
      <c r="D55" s="9">
        <v>0.39600000000000002</v>
      </c>
      <c r="E55">
        <v>67</v>
      </c>
      <c r="F55" s="11">
        <v>45715.47152777778</v>
      </c>
      <c r="G55" s="11">
        <v>45715.472222222219</v>
      </c>
      <c r="H55" s="11">
        <v>45715.473611111112</v>
      </c>
      <c r="I55" t="s">
        <v>27</v>
      </c>
      <c r="J55">
        <v>1</v>
      </c>
      <c r="K55">
        <v>1</v>
      </c>
      <c r="L55">
        <v>1</v>
      </c>
      <c r="M55" s="5">
        <f>IF(COUNTA(Table17[[#This Row],[Passed1]:[Passed3]])=0, "", IF(SUM(Table17[[#This Row],[Passed1]:[Passed3]])&gt;1, 1, 0))</f>
        <v>1</v>
      </c>
      <c r="Q55" s="23" cm="1">
        <f t="array" ref="Q55">SUM((Table17[[#This Row],[Passed1]:[Passed3]])/3)</f>
        <v>1</v>
      </c>
    </row>
    <row r="56" spans="1:17" ht="15" customHeight="1">
      <c r="A56">
        <v>174</v>
      </c>
      <c r="B56" t="s">
        <v>94</v>
      </c>
      <c r="C56" t="s">
        <v>86</v>
      </c>
      <c r="D56" s="9">
        <v>0.41899999999999998</v>
      </c>
      <c r="E56">
        <v>67</v>
      </c>
      <c r="F56" s="11">
        <v>45715.474305555559</v>
      </c>
      <c r="G56" s="11">
        <v>45715.475694444445</v>
      </c>
      <c r="H56" s="11">
        <v>45715.477083333331</v>
      </c>
      <c r="I56" t="s">
        <v>27</v>
      </c>
      <c r="J56">
        <v>1</v>
      </c>
      <c r="K56">
        <v>1</v>
      </c>
      <c r="L56">
        <v>1</v>
      </c>
      <c r="M56" s="5">
        <f>IF(COUNTA(Table17[[#This Row],[Passed1]:[Passed3]])=0, "", IF(SUM(Table17[[#This Row],[Passed1]:[Passed3]])&gt;1, 1, 0))</f>
        <v>1</v>
      </c>
      <c r="Q56" s="23" cm="1">
        <f t="array" ref="Q56">SUM((Table17[[#This Row],[Passed1]:[Passed3]])/3)</f>
        <v>1</v>
      </c>
    </row>
    <row r="57" spans="1:17" ht="15" customHeight="1">
      <c r="A57">
        <v>175</v>
      </c>
      <c r="B57" t="s">
        <v>95</v>
      </c>
      <c r="C57" t="s">
        <v>86</v>
      </c>
      <c r="D57" s="9">
        <v>0.40500000000000003</v>
      </c>
      <c r="E57">
        <v>67</v>
      </c>
      <c r="F57" s="11">
        <v>45715.478472222225</v>
      </c>
      <c r="G57" s="11">
        <v>45715.479861111111</v>
      </c>
      <c r="H57" s="11">
        <v>45715.480555555558</v>
      </c>
      <c r="I57" t="s">
        <v>27</v>
      </c>
      <c r="J57">
        <v>1</v>
      </c>
      <c r="K57">
        <v>1</v>
      </c>
      <c r="L57">
        <v>1</v>
      </c>
      <c r="M57" s="5">
        <f>IF(COUNTA(Table17[[#This Row],[Passed1]:[Passed3]])=0, "", IF(SUM(Table17[[#This Row],[Passed1]:[Passed3]])&gt;1, 1, 0))</f>
        <v>1</v>
      </c>
      <c r="Q57" s="23" cm="1">
        <f t="array" ref="Q57">SUM((Table17[[#This Row],[Passed1]:[Passed3]])/3)</f>
        <v>1</v>
      </c>
    </row>
    <row r="58" spans="1:17" ht="15" customHeight="1">
      <c r="A58">
        <v>176</v>
      </c>
      <c r="B58" t="s">
        <v>96</v>
      </c>
      <c r="C58" t="s">
        <v>86</v>
      </c>
      <c r="D58" s="9">
        <v>0.36899999999999999</v>
      </c>
      <c r="E58">
        <v>67</v>
      </c>
      <c r="F58" s="11">
        <v>45715.481944444444</v>
      </c>
      <c r="G58" s="11">
        <v>45715.482638888891</v>
      </c>
      <c r="H58" s="11">
        <v>45715.48333333333</v>
      </c>
      <c r="I58" t="s">
        <v>27</v>
      </c>
      <c r="J58">
        <v>1</v>
      </c>
      <c r="K58">
        <v>1</v>
      </c>
      <c r="L58">
        <v>1</v>
      </c>
      <c r="M58" s="5">
        <f>IF(COUNTA(Table17[[#This Row],[Passed1]:[Passed3]])=0, "", IF(SUM(Table17[[#This Row],[Passed1]:[Passed3]])&gt;1, 1, 0))</f>
        <v>1</v>
      </c>
      <c r="Q58" s="23" cm="1">
        <f t="array" ref="Q58">SUM((Table17[[#This Row],[Passed1]:[Passed3]])/3)</f>
        <v>1</v>
      </c>
    </row>
    <row r="59" spans="1:17" ht="15" customHeight="1">
      <c r="A59">
        <v>177</v>
      </c>
      <c r="B59" t="s">
        <v>97</v>
      </c>
      <c r="C59" t="s">
        <v>86</v>
      </c>
      <c r="D59" s="9">
        <v>0.436</v>
      </c>
      <c r="E59">
        <v>67</v>
      </c>
      <c r="F59" s="11">
        <v>45715.486111111109</v>
      </c>
      <c r="G59" s="11">
        <v>45715.486805555556</v>
      </c>
      <c r="H59" s="11">
        <v>45715.487500000003</v>
      </c>
      <c r="I59" t="s">
        <v>27</v>
      </c>
      <c r="J59">
        <v>1</v>
      </c>
      <c r="K59">
        <v>1</v>
      </c>
      <c r="L59">
        <v>1</v>
      </c>
      <c r="M59" s="5">
        <f>IF(COUNTA(Table17[[#This Row],[Passed1]:[Passed3]])=0, "", IF(SUM(Table17[[#This Row],[Passed1]:[Passed3]])&gt;1, 1, 0))</f>
        <v>1</v>
      </c>
      <c r="Q59" s="23" cm="1">
        <f t="array" ref="Q59">SUM((Table17[[#This Row],[Passed1]:[Passed3]])/3)</f>
        <v>1</v>
      </c>
    </row>
    <row r="60" spans="1:17" ht="15" customHeight="1">
      <c r="A60">
        <v>178</v>
      </c>
      <c r="B60" t="s">
        <v>98</v>
      </c>
      <c r="C60" t="s">
        <v>86</v>
      </c>
      <c r="D60" s="9">
        <v>0.42699999999999999</v>
      </c>
      <c r="E60">
        <v>67</v>
      </c>
      <c r="F60" s="11">
        <v>45715.489583333336</v>
      </c>
      <c r="G60" s="11">
        <v>45715.489583333336</v>
      </c>
      <c r="H60" s="11">
        <v>45715.490277777775</v>
      </c>
      <c r="I60" t="s">
        <v>27</v>
      </c>
      <c r="J60">
        <v>1</v>
      </c>
      <c r="K60">
        <v>1</v>
      </c>
      <c r="L60">
        <v>1</v>
      </c>
      <c r="M60" s="5">
        <f>IF(COUNTA(Table17[[#This Row],[Passed1]:[Passed3]])=0, "", IF(SUM(Table17[[#This Row],[Passed1]:[Passed3]])&gt;1, 1, 0))</f>
        <v>1</v>
      </c>
      <c r="Q60" s="23" cm="1">
        <f t="array" ref="Q60">SUM((Table17[[#This Row],[Passed1]:[Passed3]])/3)</f>
        <v>1</v>
      </c>
    </row>
    <row r="61" spans="1:17" ht="15" customHeight="1">
      <c r="A61">
        <v>179</v>
      </c>
      <c r="B61" t="s">
        <v>99</v>
      </c>
      <c r="C61" t="s">
        <v>86</v>
      </c>
      <c r="D61" s="9">
        <v>0.44800000000000001</v>
      </c>
      <c r="E61">
        <v>67</v>
      </c>
      <c r="F61" s="11">
        <v>45715.492361111108</v>
      </c>
      <c r="G61" s="11">
        <v>45715.493055555555</v>
      </c>
      <c r="H61" s="11">
        <v>45715.494444444441</v>
      </c>
      <c r="I61" t="s">
        <v>27</v>
      </c>
      <c r="J61">
        <v>1</v>
      </c>
      <c r="K61">
        <v>1</v>
      </c>
      <c r="L61">
        <v>1</v>
      </c>
      <c r="M61" s="5">
        <f>IF(COUNTA(Table17[[#This Row],[Passed1]:[Passed3]])=0, "", IF(SUM(Table17[[#This Row],[Passed1]:[Passed3]])&gt;1, 1, 0))</f>
        <v>1</v>
      </c>
      <c r="Q61" s="23" cm="1">
        <f t="array" ref="Q61">SUM((Table17[[#This Row],[Passed1]:[Passed3]])/3)</f>
        <v>1</v>
      </c>
    </row>
    <row r="62" spans="1:17" ht="15" customHeight="1">
      <c r="A62">
        <v>180</v>
      </c>
      <c r="B62" t="s">
        <v>100</v>
      </c>
      <c r="C62" t="s">
        <v>86</v>
      </c>
      <c r="D62" s="9">
        <v>0.44500000000000001</v>
      </c>
      <c r="E62">
        <v>67</v>
      </c>
      <c r="F62" s="11">
        <v>45715.495833333334</v>
      </c>
      <c r="G62" s="11">
        <v>45715.496527777781</v>
      </c>
      <c r="H62" s="11">
        <v>45715.49722222222</v>
      </c>
      <c r="I62" t="s">
        <v>27</v>
      </c>
      <c r="J62">
        <v>1</v>
      </c>
      <c r="K62">
        <v>1</v>
      </c>
      <c r="L62">
        <v>1</v>
      </c>
      <c r="M62" s="5">
        <f>IF(COUNTA(Table17[[#This Row],[Passed1]:[Passed3]])=0, "", IF(SUM(Table17[[#This Row],[Passed1]:[Passed3]])&gt;1, 1, 0))</f>
        <v>1</v>
      </c>
      <c r="Q62" s="23" cm="1">
        <f t="array" ref="Q62">SUM((Table17[[#This Row],[Passed1]:[Passed3]])/3)</f>
        <v>1</v>
      </c>
    </row>
    <row r="63" spans="1:17">
      <c r="Q63" s="1"/>
    </row>
    <row r="64" spans="1:17">
      <c r="P64" s="23"/>
    </row>
    <row r="65" spans="16:16">
      <c r="P65" s="23"/>
    </row>
  </sheetData>
  <mergeCells count="1">
    <mergeCell ref="A1:B1"/>
  </mergeCells>
  <phoneticPr fontId="1" type="noConversion"/>
  <hyperlinks>
    <hyperlink ref="B3" r:id="rId1" xr:uid="{32BF0FD1-1F3D-45B5-BC71-EF56EB8CD1C4}"/>
    <hyperlink ref="C3" r:id="rId2" xr:uid="{A6FDF1A7-8A34-422E-BCE9-20629B539A41}"/>
    <hyperlink ref="B4" r:id="rId3" xr:uid="{FDA9DC83-FDF7-41FE-938E-8D60AAA04FA7}"/>
    <hyperlink ref="C4" r:id="rId4" xr:uid="{FA463370-D6E6-47F2-92DA-C236DBABEE5F}"/>
    <hyperlink ref="B5" r:id="rId5" xr:uid="{F773FE25-4D4E-44EA-9585-111C9B786549}"/>
    <hyperlink ref="C5" r:id="rId6" xr:uid="{EC7446E9-91B0-4DC5-A42C-A7924CA25D83}"/>
    <hyperlink ref="B6" r:id="rId7" xr:uid="{27903F7F-9BE6-4685-955C-787B6878ADD5}"/>
    <hyperlink ref="C6" r:id="rId8" xr:uid="{16CEA12F-F5BF-494E-B997-32FAD976C232}"/>
    <hyperlink ref="B7" r:id="rId9" xr:uid="{0B15984E-DBE0-4360-8ACF-455C5803B180}"/>
    <hyperlink ref="C7" r:id="rId10" xr:uid="{1F031CB9-0722-4141-9EE8-597AACE0F6C9}"/>
    <hyperlink ref="B8" r:id="rId11" xr:uid="{658BA185-FA18-41F6-9260-3AA9F95754A6}"/>
    <hyperlink ref="C8" r:id="rId12" xr:uid="{189C9793-7A80-4835-A483-79437467D2BC}"/>
    <hyperlink ref="B9" r:id="rId13" xr:uid="{040D0B62-8883-46DD-9980-0F8465DD7968}"/>
    <hyperlink ref="C9" r:id="rId14" xr:uid="{168BF199-7FEC-442A-9420-EBB572984ACC}"/>
    <hyperlink ref="B10" r:id="rId15" xr:uid="{F92A115F-8F68-4584-9413-7E2E86AD11D3}"/>
    <hyperlink ref="C10" r:id="rId16" xr:uid="{21A9873B-6380-4FDF-8BD2-D3E8849DCFD1}"/>
    <hyperlink ref="B11" r:id="rId17" xr:uid="{96F5606D-1646-40A4-95B0-191C0CF72A76}"/>
    <hyperlink ref="C11" r:id="rId18" xr:uid="{49197FF2-9E7C-4C77-A97E-E5172BEC5480}"/>
    <hyperlink ref="B12" r:id="rId19" xr:uid="{134A957A-F684-45E9-8EDC-3AD6F69507AF}"/>
    <hyperlink ref="C12" r:id="rId20" xr:uid="{ED010951-E167-484A-8B28-AD68119E094E}"/>
    <hyperlink ref="B13" r:id="rId21" xr:uid="{2816A6DA-C35D-4B94-B8DD-A3474E1B9D93}"/>
    <hyperlink ref="C13" r:id="rId22" xr:uid="{4937F973-474C-4134-B30E-F334B241613D}"/>
    <hyperlink ref="B14" r:id="rId23" xr:uid="{6C5B47F0-BF96-491F-888E-955F387318A5}"/>
    <hyperlink ref="C14" r:id="rId24" xr:uid="{70B1C610-D0D5-4826-9325-C37664686F8A}"/>
    <hyperlink ref="B15" r:id="rId25" xr:uid="{74B96DD7-FAB5-49E3-95DB-E524AC6A4903}"/>
    <hyperlink ref="C15" r:id="rId26" xr:uid="{34DC5391-ED9E-47D7-A3C4-180E6BF4EBEA}"/>
    <hyperlink ref="B16" r:id="rId27" xr:uid="{0AF0911B-8172-439A-8B50-A61F7AD6FD51}"/>
    <hyperlink ref="C16" r:id="rId28" xr:uid="{A284E419-A509-46B4-980A-FA094C958602}"/>
    <hyperlink ref="B17" r:id="rId29" xr:uid="{9923D7FD-167A-484A-A13B-EAD9F6015708}"/>
    <hyperlink ref="C17" r:id="rId30" xr:uid="{CF4FC449-D51D-4392-9F6D-A6DF0D6F70CB}"/>
    <hyperlink ref="B18" r:id="rId31" xr:uid="{6316CA92-573F-4F4E-91A0-C2219185430A}"/>
    <hyperlink ref="C18" r:id="rId32" xr:uid="{CEBB8232-86E5-4C49-B295-B628EE4A9CD8}"/>
    <hyperlink ref="B19" r:id="rId33" xr:uid="{29B97A98-2EDF-41D6-92D9-5E47E02602CE}"/>
    <hyperlink ref="C19" r:id="rId34" xr:uid="{5D177934-0E00-4023-A562-D3C63884D2DD}"/>
    <hyperlink ref="B20" r:id="rId35" xr:uid="{B8CEFEFD-72BB-4F25-A088-EA5E646C6868}"/>
    <hyperlink ref="C20" r:id="rId36" xr:uid="{748E4D53-6AF7-4379-8332-B2225E98A903}"/>
    <hyperlink ref="B21" r:id="rId37" xr:uid="{F71CCB55-3CFC-4FED-8399-68A811888BEA}"/>
    <hyperlink ref="C21" r:id="rId38" xr:uid="{B75E5673-01BC-485D-AE02-D47FC03B283A}"/>
    <hyperlink ref="B22" r:id="rId39" xr:uid="{D91CEA86-F082-447A-8F8C-DBFE9448B840}"/>
    <hyperlink ref="C22" r:id="rId40" xr:uid="{C1C1C913-550A-48DE-A3A8-65D391DD89F0}"/>
    <hyperlink ref="B23" r:id="rId41" xr:uid="{397972D7-54D7-4477-A57C-3BAE3C24F70A}"/>
    <hyperlink ref="C23" r:id="rId42" xr:uid="{35CE1B26-F8A1-478D-B7B5-10B652E579A3}"/>
    <hyperlink ref="B24" r:id="rId43" xr:uid="{71918191-DC54-4E1F-B9CA-FD85C4560F6F}"/>
    <hyperlink ref="C24" r:id="rId44" xr:uid="{E3E0EF9F-D3CB-4778-97C0-BC63BF186F09}"/>
    <hyperlink ref="B25" r:id="rId45" xr:uid="{70A1093F-700F-4751-A372-99DADD37281D}"/>
    <hyperlink ref="C25" r:id="rId46" xr:uid="{CDA5CF43-B034-48A5-8811-BB97C613BC4D}"/>
    <hyperlink ref="B26" r:id="rId47" xr:uid="{FA9E54B8-4286-4499-9D1A-9B59C90E73ED}"/>
    <hyperlink ref="C26" r:id="rId48" xr:uid="{EAF7051A-766D-47BF-8BC7-D0CBA2B51A33}"/>
    <hyperlink ref="B27" r:id="rId49" xr:uid="{29D555AC-210F-4815-8035-818F06E090BA}"/>
    <hyperlink ref="C27" r:id="rId50" xr:uid="{4F35BB55-CA8A-47C9-B02B-A88106FEB380}"/>
    <hyperlink ref="B28" r:id="rId51" xr:uid="{9D93ED2E-FE57-4DEF-9E55-4E9C1E69F92E}"/>
    <hyperlink ref="C28" r:id="rId52" xr:uid="{3363B7FF-0185-4F57-BB10-E1A4979E9591}"/>
    <hyperlink ref="B29" r:id="rId53" xr:uid="{878A5113-9D73-481B-9084-921DC20FCBB8}"/>
    <hyperlink ref="C29" r:id="rId54" xr:uid="{03CBBC53-CEF8-4688-B6F7-28FB57965A12}"/>
    <hyperlink ref="B30" r:id="rId55" xr:uid="{A10DAEEC-AA3B-4B8E-BD24-B1B28817EB6C}"/>
    <hyperlink ref="C30" r:id="rId56" xr:uid="{1CC8412B-1025-481C-A301-3444BA33C115}"/>
    <hyperlink ref="B31" r:id="rId57" xr:uid="{83CE4738-2920-447F-84E3-6A4F9F593543}"/>
    <hyperlink ref="C31" r:id="rId58" xr:uid="{80FD9FC3-71AE-442F-98A7-4CC2C45487CA}"/>
    <hyperlink ref="B32" r:id="rId59" xr:uid="{826FF6ED-D6FE-4DD2-886F-06C105B2011D}"/>
    <hyperlink ref="C32" r:id="rId60" xr:uid="{E1C23E90-9B91-49A2-BCB0-B3DD1762B9E5}"/>
    <hyperlink ref="B33" r:id="rId61" xr:uid="{CD75F6F5-4ACA-4C1D-ABB8-6C522FF962EB}"/>
    <hyperlink ref="C33" r:id="rId62" xr:uid="{E2CE1730-0A2E-4139-ADA2-9E5FAC9F4411}"/>
    <hyperlink ref="B34" r:id="rId63" xr:uid="{83C34918-EC29-4588-ACEC-5F5034B29AB0}"/>
    <hyperlink ref="C34" r:id="rId64" xr:uid="{166F709D-5106-486D-AB95-EFED2F9092F1}"/>
    <hyperlink ref="B35" r:id="rId65" xr:uid="{A4846DDA-B95F-4BB4-9A76-E518E89BEFA5}"/>
    <hyperlink ref="C35" r:id="rId66" xr:uid="{93A23A69-D9E7-4C2E-9290-ED1EA0004ACC}"/>
    <hyperlink ref="B36" r:id="rId67" xr:uid="{8E966867-9F29-462C-9CA1-56CEFD40A859}"/>
    <hyperlink ref="C36" r:id="rId68" xr:uid="{5FD05F5B-E508-4A18-BAF6-2B9939E58EB7}"/>
    <hyperlink ref="B37" r:id="rId69" xr:uid="{B9911C02-EE0A-40B6-8E16-C449DFAB829F}"/>
    <hyperlink ref="C37" r:id="rId70" xr:uid="{11B5838E-3191-4109-AF1C-E6FE9F10C724}"/>
    <hyperlink ref="B38" r:id="rId71" xr:uid="{DAA718D4-3A86-4B91-91F0-20A3922931A9}"/>
    <hyperlink ref="C38" r:id="rId72" xr:uid="{FB4A3659-2B6D-4BB6-8AEE-18DD974DDA32}"/>
    <hyperlink ref="B39" r:id="rId73" xr:uid="{C30556EE-DDFE-40EF-BB38-9A9985B7B37F}"/>
    <hyperlink ref="C39" r:id="rId74" xr:uid="{F2CE476C-0FA1-4AB7-91F4-D71C75E05351}"/>
    <hyperlink ref="B40" r:id="rId75" xr:uid="{7D720A1F-5F26-44BE-8947-BBCE517414CB}"/>
    <hyperlink ref="C40" r:id="rId76" xr:uid="{DC593BC9-C0C2-4199-A9F4-A7B59D1E14EB}"/>
    <hyperlink ref="B41" r:id="rId77" xr:uid="{7D6D11E6-2227-4B2B-B136-E9995992B1BA}"/>
    <hyperlink ref="C41" r:id="rId78" xr:uid="{6B65EC14-AB51-434B-B60A-18793218D76E}"/>
    <hyperlink ref="B42" r:id="rId79" xr:uid="{55FE1C7B-F8E1-4E19-AF20-F4529A5FCCD6}"/>
    <hyperlink ref="C42" r:id="rId80" xr:uid="{A2284673-3048-43F6-AFF7-AAAE28780F12}"/>
    <hyperlink ref="B43" r:id="rId81" xr:uid="{5F1B242B-C8A6-4345-9892-3E33327FE809}"/>
    <hyperlink ref="C43" r:id="rId82" xr:uid="{5316CF57-779E-473D-9746-15A3909644AB}"/>
    <hyperlink ref="B44" r:id="rId83" xr:uid="{158C0B1C-D5C8-4E7E-99CB-B1EBAAC9E154}"/>
    <hyperlink ref="C44" r:id="rId84" xr:uid="{34220E92-D27C-41AC-AACD-3565BC1F1EE2}"/>
    <hyperlink ref="B45" r:id="rId85" xr:uid="{A9FCE37C-7D93-45A6-A5AB-63689A659916}"/>
    <hyperlink ref="C45" r:id="rId86" xr:uid="{3330A5DC-C3B5-478C-BF56-4CADC1E6C66F}"/>
    <hyperlink ref="B46" r:id="rId87" xr:uid="{3A8B5616-4130-48A3-9ACF-363079DBEE5A}"/>
    <hyperlink ref="C46" r:id="rId88" xr:uid="{9C0AD517-6722-4A2E-8397-C99CB88B586E}"/>
    <hyperlink ref="B47" r:id="rId89" xr:uid="{C4DD93B6-D6FA-442D-B321-A71B0A96AA8B}"/>
    <hyperlink ref="C47" r:id="rId90" xr:uid="{B143DD00-813B-4253-97FA-14F743D7D71E}"/>
    <hyperlink ref="B48" r:id="rId91" xr:uid="{B6464CC5-FC29-4FAB-BC98-27553489501B}"/>
    <hyperlink ref="C48" r:id="rId92" xr:uid="{BBAC4358-6BA6-4B5D-88E3-96DB1800CA5A}"/>
    <hyperlink ref="B49" r:id="rId93" xr:uid="{069F8B05-CB78-4816-823A-11B04D41B3BA}"/>
    <hyperlink ref="C49" r:id="rId94" xr:uid="{CD049D54-4136-406B-8EA1-52C376FCF7E7}"/>
    <hyperlink ref="B50" r:id="rId95" xr:uid="{A251F64F-0640-48EA-9541-78F7A8E7F8AE}"/>
    <hyperlink ref="C50" r:id="rId96" xr:uid="{0E227BF2-F1D5-4B8D-940B-FA9B4EEC8B12}"/>
    <hyperlink ref="B51" r:id="rId97" xr:uid="{838C43A9-2522-49B2-8374-8009FA15372A}"/>
    <hyperlink ref="C51" r:id="rId98" xr:uid="{3033FC7C-1420-4799-92BA-8CB4A4ABBBE2}"/>
    <hyperlink ref="B52" r:id="rId99" xr:uid="{030D7C15-EEA5-4F2C-B266-04A03DE532C7}"/>
    <hyperlink ref="C52" r:id="rId100" xr:uid="{606F61C0-217C-444B-9613-F91FD7D166DC}"/>
    <hyperlink ref="B53" r:id="rId101" xr:uid="{9B44FBA9-9FB0-49A3-959F-2334258694F7}"/>
    <hyperlink ref="C53" r:id="rId102" xr:uid="{389C6DCD-F40F-4348-8AB4-C38B9CF76743}"/>
    <hyperlink ref="B54" r:id="rId103" xr:uid="{772B50E6-578F-4D36-8161-964A8E0A96D2}"/>
    <hyperlink ref="C54" r:id="rId104" xr:uid="{499BD4BF-7EB9-49A5-9536-BEFD30BAD7E8}"/>
    <hyperlink ref="B55" r:id="rId105" xr:uid="{721222B6-E56A-48BC-AF4A-3A68679C7F3B}"/>
    <hyperlink ref="C55" r:id="rId106" xr:uid="{26288E1E-B2BF-46E6-A210-B598F4CC3A1F}"/>
    <hyperlink ref="B56" r:id="rId107" xr:uid="{E7D817BC-957F-4565-9D9E-706422561DE9}"/>
    <hyperlink ref="C56" r:id="rId108" xr:uid="{7B3ED7AF-9628-4DAE-A42A-560BAB277AB3}"/>
    <hyperlink ref="B57" r:id="rId109" xr:uid="{58C60015-D57D-4F65-9F4A-1BA353463250}"/>
    <hyperlink ref="C57" r:id="rId110" xr:uid="{C5771768-FABE-441C-AB05-1442481C219B}"/>
    <hyperlink ref="B58" r:id="rId111" xr:uid="{068FAE08-5108-4B48-8B8A-D32B3CA7354B}"/>
    <hyperlink ref="C58" r:id="rId112" xr:uid="{E4C72AE0-1EC0-4537-AF50-3C272EA5475D}"/>
    <hyperlink ref="B59" r:id="rId113" xr:uid="{33F8F8CE-CBCF-425D-AB4D-F3694CC02332}"/>
    <hyperlink ref="C59" r:id="rId114" xr:uid="{20B9C1E0-D608-4D1C-ACCB-F0D7365886EC}"/>
    <hyperlink ref="B60" r:id="rId115" xr:uid="{6F4CFE1F-1433-4CAD-9214-E1E44C619D0E}"/>
    <hyperlink ref="C60" r:id="rId116" xr:uid="{C87F0553-F932-49CE-B72B-F28FFE318CF1}"/>
    <hyperlink ref="B61" r:id="rId117" xr:uid="{0E61B040-9750-4B93-9B13-DEF01EB160E2}"/>
    <hyperlink ref="C61" r:id="rId118" xr:uid="{B974A6FE-52FA-406B-8D46-713662881608}"/>
    <hyperlink ref="B62" r:id="rId119" xr:uid="{16D4DA54-B372-4127-AEEC-E543E04F4353}"/>
    <hyperlink ref="C62" r:id="rId120" xr:uid="{83B993BD-D004-4131-92F0-859C174561F3}"/>
  </hyperlinks>
  <pageMargins left="0.7" right="0.7" top="0.75" bottom="0.75" header="0.3" footer="0.3"/>
  <tableParts count="1">
    <tablePart r:id="rId12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D500-415C-491F-AC87-1772F83D03A8}">
  <sheetPr codeName="Sheet26"/>
  <dimension ref="A1:AA66"/>
  <sheetViews>
    <sheetView workbookViewId="0">
      <selection activeCell="F8" sqref="F8"/>
    </sheetView>
  </sheetViews>
  <sheetFormatPr defaultRowHeight="14.5"/>
  <cols>
    <col min="2" max="2" width="48.7265625" bestFit="1" customWidth="1"/>
    <col min="3" max="3" width="13.90625" bestFit="1" customWidth="1"/>
    <col min="6" max="6" width="16.453125" bestFit="1" customWidth="1"/>
    <col min="7" max="8" width="13.7265625" bestFit="1" customWidth="1"/>
    <col min="26" max="26" width="11.453125" bestFit="1" customWidth="1"/>
    <col min="27" max="27" width="8.90625" bestFit="1" customWidth="1"/>
  </cols>
  <sheetData>
    <row r="1" spans="1:27" s="133" customFormat="1" ht="21">
      <c r="A1" s="167" t="s">
        <v>3447</v>
      </c>
      <c r="B1" s="167"/>
    </row>
    <row r="2" spans="1:27">
      <c r="A2" s="24" t="s">
        <v>0</v>
      </c>
      <c r="B2" s="25" t="s">
        <v>1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6" t="s">
        <v>7</v>
      </c>
      <c r="I2" s="25" t="s">
        <v>8</v>
      </c>
      <c r="J2" s="25" t="s">
        <v>9</v>
      </c>
      <c r="K2" s="25" t="s">
        <v>10</v>
      </c>
      <c r="L2" s="25" t="s">
        <v>11</v>
      </c>
      <c r="M2" s="25" t="s">
        <v>12</v>
      </c>
      <c r="N2" s="25" t="s">
        <v>13</v>
      </c>
      <c r="O2" s="25" t="s">
        <v>14</v>
      </c>
      <c r="P2" s="25" t="s">
        <v>15</v>
      </c>
      <c r="Q2" s="25" t="s">
        <v>16</v>
      </c>
      <c r="R2" s="25" t="s">
        <v>17</v>
      </c>
      <c r="S2" s="25" t="s">
        <v>18</v>
      </c>
      <c r="T2" s="25" t="s">
        <v>19</v>
      </c>
      <c r="U2" s="25" t="s">
        <v>20</v>
      </c>
      <c r="V2" s="25" t="s">
        <v>21</v>
      </c>
      <c r="W2" s="25" t="s">
        <v>22</v>
      </c>
      <c r="X2" s="27" t="s">
        <v>23</v>
      </c>
      <c r="Y2" s="26" t="s">
        <v>3302</v>
      </c>
      <c r="Z2" s="8" t="s">
        <v>3322</v>
      </c>
      <c r="AA2" s="8" t="s">
        <v>3387</v>
      </c>
    </row>
    <row r="3" spans="1:27">
      <c r="A3" s="28">
        <v>31</v>
      </c>
      <c r="B3" s="29" t="s">
        <v>25</v>
      </c>
      <c r="C3" s="29" t="s">
        <v>26</v>
      </c>
      <c r="D3" s="30">
        <v>0.182</v>
      </c>
      <c r="E3" s="31">
        <v>446</v>
      </c>
      <c r="F3" s="32">
        <v>44949.82916666667</v>
      </c>
      <c r="G3" s="33">
        <v>45333.805555555555</v>
      </c>
      <c r="H3" s="33">
        <v>45338.745833333334</v>
      </c>
      <c r="I3" s="34" t="s">
        <v>27</v>
      </c>
      <c r="J3" s="34">
        <v>0</v>
      </c>
      <c r="K3" s="34">
        <v>1</v>
      </c>
      <c r="L3" s="34">
        <v>1</v>
      </c>
      <c r="M3" s="34">
        <v>1359</v>
      </c>
      <c r="N3" s="34">
        <v>1527</v>
      </c>
      <c r="O3" s="34"/>
      <c r="P3" s="34">
        <v>26.03</v>
      </c>
      <c r="Q3" s="34">
        <v>33.03</v>
      </c>
      <c r="R3" s="34"/>
      <c r="S3" s="34">
        <v>52.65</v>
      </c>
      <c r="T3" s="34">
        <v>40.1</v>
      </c>
      <c r="U3" s="34"/>
      <c r="V3" s="34">
        <v>24.62</v>
      </c>
      <c r="W3" s="34">
        <v>65.180000000000007</v>
      </c>
      <c r="X3" s="35"/>
      <c r="Y3" s="36">
        <v>1</v>
      </c>
      <c r="Z3" s="69">
        <f t="shared" ref="Z3:Z34" si="0">IF(COUNTA(J3:L3)=0, "", IF(SUM(J3:L3)&gt;1, 1, 0))</f>
        <v>1</v>
      </c>
      <c r="AA3" s="7" cm="1">
        <f t="array" ref="AA3">SUM((J3:L3)/3)</f>
        <v>0.66666666666666663</v>
      </c>
    </row>
    <row r="4" spans="1:27">
      <c r="A4" s="28">
        <v>32</v>
      </c>
      <c r="B4" s="29" t="s">
        <v>28</v>
      </c>
      <c r="C4" s="29" t="s">
        <v>26</v>
      </c>
      <c r="D4" s="30">
        <v>0.249</v>
      </c>
      <c r="E4" s="31">
        <v>446</v>
      </c>
      <c r="F4" s="32">
        <v>44949.830555555556</v>
      </c>
      <c r="G4" s="33">
        <v>45333.809027777781</v>
      </c>
      <c r="H4" s="33">
        <v>45338.749305555553</v>
      </c>
      <c r="I4" s="34" t="s">
        <v>27</v>
      </c>
      <c r="J4" s="34">
        <v>1</v>
      </c>
      <c r="K4" s="34">
        <v>1</v>
      </c>
      <c r="L4" s="34">
        <v>1</v>
      </c>
      <c r="M4" s="34">
        <v>58</v>
      </c>
      <c r="N4" s="34">
        <v>62</v>
      </c>
      <c r="O4" s="34">
        <v>85</v>
      </c>
      <c r="P4" s="34">
        <v>93.2</v>
      </c>
      <c r="Q4" s="34">
        <v>70.37</v>
      </c>
      <c r="R4" s="34">
        <v>64.95</v>
      </c>
      <c r="S4" s="34">
        <v>16.7</v>
      </c>
      <c r="T4" s="34">
        <v>11.75</v>
      </c>
      <c r="U4" s="34">
        <v>13.6</v>
      </c>
      <c r="V4" s="34">
        <v>78.709999999999994</v>
      </c>
      <c r="W4" s="34">
        <v>88.07</v>
      </c>
      <c r="X4" s="35">
        <v>75.680000000000007</v>
      </c>
      <c r="Y4" s="36">
        <v>1</v>
      </c>
      <c r="Z4" s="69">
        <f t="shared" si="0"/>
        <v>1</v>
      </c>
      <c r="AA4" s="7" cm="1">
        <f t="array" ref="AA4">SUM((J4:L4)/3)</f>
        <v>1</v>
      </c>
    </row>
    <row r="5" spans="1:27">
      <c r="A5" s="28">
        <v>33</v>
      </c>
      <c r="B5" s="29" t="s">
        <v>29</v>
      </c>
      <c r="C5" s="29" t="s">
        <v>26</v>
      </c>
      <c r="D5" s="30">
        <v>0.27500000000000002</v>
      </c>
      <c r="E5" s="31">
        <v>446</v>
      </c>
      <c r="F5" s="32">
        <v>44949.834722222222</v>
      </c>
      <c r="G5" s="33">
        <v>45333.8125</v>
      </c>
      <c r="H5" s="33">
        <v>45338.749305555553</v>
      </c>
      <c r="I5" s="34" t="s">
        <v>27</v>
      </c>
      <c r="J5" s="34">
        <v>1</v>
      </c>
      <c r="K5" s="34">
        <v>1</v>
      </c>
      <c r="L5" s="34">
        <v>0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5"/>
      <c r="Y5" s="36">
        <v>1</v>
      </c>
      <c r="Z5" s="70">
        <f t="shared" si="0"/>
        <v>1</v>
      </c>
      <c r="AA5" s="7" cm="1">
        <f t="array" ref="AA5">SUM((J5:L5)/3)</f>
        <v>0.66666666666666663</v>
      </c>
    </row>
    <row r="6" spans="1:27">
      <c r="A6" s="28">
        <v>34</v>
      </c>
      <c r="B6" s="29" t="s">
        <v>30</v>
      </c>
      <c r="C6" s="29" t="s">
        <v>26</v>
      </c>
      <c r="D6" s="30">
        <v>0.31</v>
      </c>
      <c r="E6" s="31">
        <v>446</v>
      </c>
      <c r="F6" s="32">
        <v>44949.836805555555</v>
      </c>
      <c r="G6" s="33">
        <v>45333.815972222219</v>
      </c>
      <c r="H6" s="33">
        <v>45338.754861111112</v>
      </c>
      <c r="I6" s="34" t="s">
        <v>27</v>
      </c>
      <c r="J6" s="34">
        <v>1</v>
      </c>
      <c r="K6" s="34">
        <v>1</v>
      </c>
      <c r="L6" s="34">
        <v>1</v>
      </c>
      <c r="M6" s="34">
        <v>118</v>
      </c>
      <c r="N6" s="34">
        <v>5104</v>
      </c>
      <c r="O6" s="34"/>
      <c r="P6" s="34">
        <v>70.23</v>
      </c>
      <c r="Q6" s="34">
        <v>24.38</v>
      </c>
      <c r="R6" s="34"/>
      <c r="S6" s="34">
        <v>17.46</v>
      </c>
      <c r="T6" s="34">
        <v>12.61</v>
      </c>
      <c r="U6" s="34"/>
      <c r="V6" s="34">
        <v>56.47</v>
      </c>
      <c r="W6" s="34">
        <v>66.62</v>
      </c>
      <c r="X6" s="35"/>
      <c r="Y6" s="36">
        <v>1</v>
      </c>
      <c r="Z6" s="69">
        <f t="shared" si="0"/>
        <v>1</v>
      </c>
      <c r="AA6" s="7" cm="1">
        <f t="array" ref="AA6">SUM((J6:L6)/3)</f>
        <v>1</v>
      </c>
    </row>
    <row r="7" spans="1:27">
      <c r="A7" s="28">
        <v>35</v>
      </c>
      <c r="B7" s="29" t="s">
        <v>31</v>
      </c>
      <c r="C7" s="29" t="s">
        <v>26</v>
      </c>
      <c r="D7" s="30">
        <v>0.32500000000000001</v>
      </c>
      <c r="E7" s="31">
        <v>446</v>
      </c>
      <c r="F7" s="32">
        <v>44949.838888888888</v>
      </c>
      <c r="G7" s="33">
        <v>45333.818055555559</v>
      </c>
      <c r="H7" s="33">
        <v>45338.759722222225</v>
      </c>
      <c r="I7" s="34" t="s">
        <v>27</v>
      </c>
      <c r="J7" s="34">
        <v>0</v>
      </c>
      <c r="K7" s="34">
        <v>0</v>
      </c>
      <c r="L7" s="34">
        <v>0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5"/>
      <c r="Y7" s="36" t="s">
        <v>3342</v>
      </c>
      <c r="Z7" s="69">
        <f t="shared" si="0"/>
        <v>0</v>
      </c>
      <c r="AA7" s="7" cm="1">
        <f t="array" ref="AA7">SUM((J7:L7)/3)</f>
        <v>0</v>
      </c>
    </row>
    <row r="8" spans="1:27">
      <c r="A8" s="28">
        <v>36</v>
      </c>
      <c r="B8" s="29" t="s">
        <v>32</v>
      </c>
      <c r="C8" s="29" t="s">
        <v>26</v>
      </c>
      <c r="D8" s="30">
        <v>0.34399999999999997</v>
      </c>
      <c r="E8" s="31">
        <v>446</v>
      </c>
      <c r="F8" s="32">
        <v>44949.840277777781</v>
      </c>
      <c r="G8" s="33">
        <v>45333.820138888892</v>
      </c>
      <c r="H8" s="33">
        <v>45338.761805555558</v>
      </c>
      <c r="I8" s="34" t="s">
        <v>27</v>
      </c>
      <c r="J8" s="34">
        <v>0</v>
      </c>
      <c r="K8" s="34">
        <v>0</v>
      </c>
      <c r="L8" s="34">
        <v>1</v>
      </c>
      <c r="M8" s="34">
        <v>1874</v>
      </c>
      <c r="N8" s="34"/>
      <c r="O8" s="34"/>
      <c r="P8" s="34">
        <v>33.409999999999997</v>
      </c>
      <c r="Q8" s="34"/>
      <c r="R8" s="34"/>
      <c r="S8" s="34">
        <v>18.239999999999998</v>
      </c>
      <c r="T8" s="34"/>
      <c r="U8" s="34"/>
      <c r="V8" s="34">
        <v>66.33</v>
      </c>
      <c r="W8" s="34"/>
      <c r="X8" s="35"/>
      <c r="Y8" s="36" t="s">
        <v>3342</v>
      </c>
      <c r="Z8" s="69">
        <f t="shared" si="0"/>
        <v>0</v>
      </c>
      <c r="AA8" s="7" cm="1">
        <f t="array" ref="AA8">SUM((J8:L8)/3)</f>
        <v>0.33333333333333331</v>
      </c>
    </row>
    <row r="9" spans="1:27">
      <c r="A9" s="28">
        <v>37</v>
      </c>
      <c r="B9" s="29" t="s">
        <v>33</v>
      </c>
      <c r="C9" s="29" t="s">
        <v>26</v>
      </c>
      <c r="D9" s="30">
        <v>0.36199999999999999</v>
      </c>
      <c r="E9" s="31">
        <v>446</v>
      </c>
      <c r="F9" s="32">
        <v>44949.842361111114</v>
      </c>
      <c r="G9" s="33">
        <v>45333.822916666664</v>
      </c>
      <c r="H9" s="33">
        <v>45338.763888888891</v>
      </c>
      <c r="I9" s="34" t="s">
        <v>27</v>
      </c>
      <c r="J9" s="34">
        <v>0</v>
      </c>
      <c r="K9" s="34">
        <v>0</v>
      </c>
      <c r="L9" s="34">
        <v>0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5"/>
      <c r="Y9" s="36" t="s">
        <v>3342</v>
      </c>
      <c r="Z9" s="70">
        <f t="shared" si="0"/>
        <v>0</v>
      </c>
      <c r="AA9" s="7" cm="1">
        <f t="array" ref="AA9">SUM((J9:L9)/3)</f>
        <v>0</v>
      </c>
    </row>
    <row r="10" spans="1:27">
      <c r="A10" s="28">
        <v>38</v>
      </c>
      <c r="B10" s="29" t="s">
        <v>34</v>
      </c>
      <c r="C10" s="29" t="s">
        <v>26</v>
      </c>
      <c r="D10" s="30">
        <v>0.38300000000000001</v>
      </c>
      <c r="E10" s="31">
        <v>446</v>
      </c>
      <c r="F10" s="32">
        <v>44949.84375</v>
      </c>
      <c r="G10" s="33">
        <v>45333.824999999997</v>
      </c>
      <c r="H10" s="33">
        <v>45338.772222222222</v>
      </c>
      <c r="I10" s="34" t="s">
        <v>27</v>
      </c>
      <c r="J10" s="34">
        <v>0</v>
      </c>
      <c r="K10" s="34">
        <v>0</v>
      </c>
      <c r="L10" s="34">
        <v>0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  <c r="Y10" s="36" t="s">
        <v>3342</v>
      </c>
      <c r="Z10" s="70">
        <f t="shared" si="0"/>
        <v>0</v>
      </c>
      <c r="AA10" s="7" cm="1">
        <f t="array" ref="AA10">SUM((J10:L10)/3)</f>
        <v>0</v>
      </c>
    </row>
    <row r="11" spans="1:27">
      <c r="A11" s="28">
        <v>39</v>
      </c>
      <c r="B11" s="29" t="s">
        <v>35</v>
      </c>
      <c r="C11" s="29" t="s">
        <v>26</v>
      </c>
      <c r="D11" s="30">
        <v>0.39400000000000002</v>
      </c>
      <c r="E11" s="31">
        <v>446</v>
      </c>
      <c r="F11" s="32">
        <v>44949.872916666667</v>
      </c>
      <c r="G11" s="33">
        <v>45333.82708333333</v>
      </c>
      <c r="H11" s="33">
        <v>45338.774305555555</v>
      </c>
      <c r="I11" s="34" t="s">
        <v>27</v>
      </c>
      <c r="J11" s="34">
        <v>0</v>
      </c>
      <c r="K11" s="34">
        <v>0</v>
      </c>
      <c r="L11" s="34">
        <v>0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5"/>
      <c r="Y11" s="36" t="s">
        <v>3342</v>
      </c>
      <c r="Z11" s="70">
        <f t="shared" si="0"/>
        <v>0</v>
      </c>
      <c r="AA11" s="7" cm="1">
        <f t="array" ref="AA11">SUM((J11:L11)/3)</f>
        <v>0</v>
      </c>
    </row>
    <row r="12" spans="1:27">
      <c r="A12" s="28">
        <v>40</v>
      </c>
      <c r="B12" s="29" t="s">
        <v>36</v>
      </c>
      <c r="C12" s="29" t="s">
        <v>26</v>
      </c>
      <c r="D12" s="30">
        <v>0.40500000000000003</v>
      </c>
      <c r="E12" s="31">
        <v>446</v>
      </c>
      <c r="F12" s="32">
        <v>44949.92291666667</v>
      </c>
      <c r="G12" s="33">
        <v>45333.82916666667</v>
      </c>
      <c r="H12" s="33">
        <v>45338.776388888888</v>
      </c>
      <c r="I12" s="34" t="s">
        <v>27</v>
      </c>
      <c r="J12" s="34">
        <v>0</v>
      </c>
      <c r="K12" s="34">
        <v>0</v>
      </c>
      <c r="L12" s="34">
        <v>1</v>
      </c>
      <c r="M12" s="34">
        <v>571</v>
      </c>
      <c r="N12" s="34"/>
      <c r="O12" s="34"/>
      <c r="P12" s="34">
        <v>77.44</v>
      </c>
      <c r="Q12" s="34"/>
      <c r="R12" s="34"/>
      <c r="S12" s="34">
        <v>80.459999999999994</v>
      </c>
      <c r="T12" s="34"/>
      <c r="U12" s="34"/>
      <c r="V12" s="34">
        <v>88.24</v>
      </c>
      <c r="W12" s="34"/>
      <c r="X12" s="35"/>
      <c r="Y12" s="36" t="s">
        <v>3342</v>
      </c>
      <c r="Z12" s="70">
        <f t="shared" si="0"/>
        <v>0</v>
      </c>
      <c r="AA12" s="7" cm="1">
        <f t="array" ref="AA12">SUM((J12:L12)/3)</f>
        <v>0.33333333333333331</v>
      </c>
    </row>
    <row r="13" spans="1:27">
      <c r="A13" s="28">
        <v>41</v>
      </c>
      <c r="B13" s="29" t="s">
        <v>37</v>
      </c>
      <c r="C13" s="29" t="s">
        <v>26</v>
      </c>
      <c r="D13" s="30">
        <v>0.45600000000000002</v>
      </c>
      <c r="E13" s="31">
        <v>446</v>
      </c>
      <c r="F13" s="32">
        <v>44949.926388888889</v>
      </c>
      <c r="G13" s="33">
        <v>45333.82916666667</v>
      </c>
      <c r="H13" s="33">
        <v>45338.78125</v>
      </c>
      <c r="I13" s="34" t="s">
        <v>27</v>
      </c>
      <c r="J13" s="34">
        <v>0</v>
      </c>
      <c r="K13" s="34">
        <v>0</v>
      </c>
      <c r="L13" s="34">
        <v>0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5"/>
      <c r="Y13" s="36" t="s">
        <v>3342</v>
      </c>
      <c r="Z13" s="70">
        <f t="shared" si="0"/>
        <v>0</v>
      </c>
      <c r="AA13" s="7" cm="1">
        <f t="array" ref="AA13">SUM((J13:L13)/3)</f>
        <v>0</v>
      </c>
    </row>
    <row r="14" spans="1:27">
      <c r="A14" s="28">
        <v>42</v>
      </c>
      <c r="B14" s="29" t="s">
        <v>38</v>
      </c>
      <c r="C14" s="29" t="s">
        <v>26</v>
      </c>
      <c r="D14" s="30">
        <v>0.52300000000000002</v>
      </c>
      <c r="E14" s="31">
        <v>446</v>
      </c>
      <c r="F14" s="32">
        <v>44949.927777777775</v>
      </c>
      <c r="G14" s="33">
        <v>45333.831250000003</v>
      </c>
      <c r="H14" s="33">
        <v>45338.784722222219</v>
      </c>
      <c r="I14" s="34" t="s">
        <v>27</v>
      </c>
      <c r="J14" s="34">
        <v>0</v>
      </c>
      <c r="K14" s="34">
        <v>1</v>
      </c>
      <c r="L14" s="34">
        <v>1</v>
      </c>
      <c r="M14" s="34">
        <v>31</v>
      </c>
      <c r="N14" s="34">
        <v>15</v>
      </c>
      <c r="O14" s="34"/>
      <c r="P14" s="34">
        <v>88.38</v>
      </c>
      <c r="Q14" s="34">
        <v>100</v>
      </c>
      <c r="R14" s="34"/>
      <c r="S14" s="34">
        <v>16.84</v>
      </c>
      <c r="T14" s="34">
        <v>11.76</v>
      </c>
      <c r="U14" s="34"/>
      <c r="V14" s="34">
        <v>51.45</v>
      </c>
      <c r="W14" s="34">
        <v>100</v>
      </c>
      <c r="X14" s="35"/>
      <c r="Y14" s="36">
        <v>1</v>
      </c>
      <c r="Z14" s="69">
        <f t="shared" si="0"/>
        <v>1</v>
      </c>
      <c r="AA14" s="7" cm="1">
        <f t="array" ref="AA14">SUM((J14:L14)/3)</f>
        <v>0.66666666666666663</v>
      </c>
    </row>
    <row r="15" spans="1:27">
      <c r="A15" s="28">
        <v>43</v>
      </c>
      <c r="B15" s="29" t="s">
        <v>39</v>
      </c>
      <c r="C15" s="29" t="s">
        <v>26</v>
      </c>
      <c r="D15" s="30">
        <v>0.41299999999999998</v>
      </c>
      <c r="E15" s="31">
        <v>446</v>
      </c>
      <c r="F15" s="32">
        <v>44949.929861111108</v>
      </c>
      <c r="G15" s="33">
        <v>45333.833333333336</v>
      </c>
      <c r="H15" s="33">
        <v>45338.786111111112</v>
      </c>
      <c r="I15" s="34" t="s">
        <v>27</v>
      </c>
      <c r="J15" s="34">
        <v>0</v>
      </c>
      <c r="K15" s="34">
        <v>0</v>
      </c>
      <c r="L15" s="34">
        <v>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5"/>
      <c r="Y15" s="36" t="s">
        <v>3342</v>
      </c>
      <c r="Z15" s="70">
        <f t="shared" si="0"/>
        <v>0</v>
      </c>
      <c r="AA15" s="7" cm="1">
        <f t="array" ref="AA15">SUM((J15:L15)/3)</f>
        <v>0</v>
      </c>
    </row>
    <row r="16" spans="1:27">
      <c r="A16" s="28">
        <v>44</v>
      </c>
      <c r="B16" s="29" t="s">
        <v>40</v>
      </c>
      <c r="C16" s="29" t="s">
        <v>26</v>
      </c>
      <c r="D16" s="30">
        <v>0.46</v>
      </c>
      <c r="E16" s="31">
        <v>446</v>
      </c>
      <c r="F16" s="32">
        <v>44949.931250000001</v>
      </c>
      <c r="G16" s="33">
        <v>45333.834722222222</v>
      </c>
      <c r="H16" s="33">
        <v>45338.788194444445</v>
      </c>
      <c r="I16" s="34" t="s">
        <v>27</v>
      </c>
      <c r="J16" s="34">
        <v>0</v>
      </c>
      <c r="K16" s="34">
        <v>0</v>
      </c>
      <c r="L16" s="34">
        <v>0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5"/>
      <c r="Y16" s="36" t="s">
        <v>3342</v>
      </c>
      <c r="Z16" s="70">
        <f t="shared" si="0"/>
        <v>0</v>
      </c>
      <c r="AA16" s="7" cm="1">
        <f t="array" ref="AA16">SUM((J16:L16)/3)</f>
        <v>0</v>
      </c>
    </row>
    <row r="17" spans="1:27" ht="15" thickBot="1">
      <c r="A17" s="37">
        <v>45</v>
      </c>
      <c r="B17" s="38" t="s">
        <v>41</v>
      </c>
      <c r="C17" s="38" t="s">
        <v>26</v>
      </c>
      <c r="D17" s="39">
        <v>0.57699999999999996</v>
      </c>
      <c r="E17" s="40">
        <v>446</v>
      </c>
      <c r="F17" s="41">
        <v>44949.932638888888</v>
      </c>
      <c r="G17" s="33">
        <v>45333.836805555555</v>
      </c>
      <c r="H17" s="33">
        <v>45338.789583333331</v>
      </c>
      <c r="I17" s="42" t="s">
        <v>27</v>
      </c>
      <c r="J17" s="42">
        <v>1</v>
      </c>
      <c r="K17" s="42">
        <v>0</v>
      </c>
      <c r="L17" s="42">
        <v>1</v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3"/>
      <c r="Y17" s="36">
        <v>1</v>
      </c>
      <c r="Z17" s="70">
        <f t="shared" si="0"/>
        <v>1</v>
      </c>
      <c r="AA17" s="7" cm="1">
        <f t="array" ref="AA17">SUM((J17:L17)/3)</f>
        <v>0.66666666666666663</v>
      </c>
    </row>
    <row r="18" spans="1:27">
      <c r="A18" s="44">
        <v>76</v>
      </c>
      <c r="B18" s="45" t="s">
        <v>45</v>
      </c>
      <c r="C18" s="45" t="s">
        <v>46</v>
      </c>
      <c r="D18" s="46">
        <v>0.34300000000000003</v>
      </c>
      <c r="E18" s="47">
        <v>30</v>
      </c>
      <c r="F18" s="48">
        <v>44949</v>
      </c>
      <c r="G18" s="33">
        <v>45334.553472222222</v>
      </c>
      <c r="H18" s="33">
        <v>45338.864583333336</v>
      </c>
      <c r="I18" s="49" t="s">
        <v>27</v>
      </c>
      <c r="J18" s="49">
        <v>0</v>
      </c>
      <c r="K18" s="49">
        <v>0</v>
      </c>
      <c r="L18" s="49">
        <v>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50"/>
      <c r="Y18" s="36" t="s">
        <v>3342</v>
      </c>
      <c r="Z18" s="70">
        <f t="shared" si="0"/>
        <v>0</v>
      </c>
      <c r="AA18" s="7" cm="1">
        <f t="array" ref="AA18">SUM((J18:L18)/3)</f>
        <v>0</v>
      </c>
    </row>
    <row r="19" spans="1:27">
      <c r="A19" s="44">
        <v>77</v>
      </c>
      <c r="B19" s="45" t="s">
        <v>47</v>
      </c>
      <c r="C19" s="45" t="s">
        <v>46</v>
      </c>
      <c r="D19" s="46">
        <v>0.35</v>
      </c>
      <c r="E19" s="47">
        <v>30</v>
      </c>
      <c r="F19" s="48">
        <v>44949</v>
      </c>
      <c r="G19" s="33">
        <v>45334.555555555555</v>
      </c>
      <c r="H19" s="33">
        <v>45338.865972222222</v>
      </c>
      <c r="I19" s="49" t="s">
        <v>27</v>
      </c>
      <c r="J19" s="49">
        <v>0</v>
      </c>
      <c r="K19" s="49">
        <v>0</v>
      </c>
      <c r="L19" s="49">
        <v>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50"/>
      <c r="Y19" s="36" t="s">
        <v>3342</v>
      </c>
      <c r="Z19" s="70">
        <f t="shared" si="0"/>
        <v>0</v>
      </c>
      <c r="AA19" s="7" cm="1">
        <f t="array" ref="AA19">SUM((J19:L19)/3)</f>
        <v>0</v>
      </c>
    </row>
    <row r="20" spans="1:27">
      <c r="A20" s="44">
        <v>78</v>
      </c>
      <c r="B20" s="45" t="s">
        <v>48</v>
      </c>
      <c r="C20" s="45" t="s">
        <v>46</v>
      </c>
      <c r="D20" s="46">
        <v>0.497</v>
      </c>
      <c r="E20" s="47">
        <v>30</v>
      </c>
      <c r="F20" s="48">
        <v>44949</v>
      </c>
      <c r="G20" s="33">
        <v>45334.556944444441</v>
      </c>
      <c r="H20" s="33">
        <v>45338.868055555555</v>
      </c>
      <c r="I20" s="49" t="s">
        <v>27</v>
      </c>
      <c r="J20" s="49">
        <v>0</v>
      </c>
      <c r="K20" s="49">
        <v>0</v>
      </c>
      <c r="L20" s="49">
        <v>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50"/>
      <c r="Y20" s="36" t="s">
        <v>3342</v>
      </c>
      <c r="Z20" s="70">
        <f t="shared" si="0"/>
        <v>0</v>
      </c>
      <c r="AA20" s="7" cm="1">
        <f t="array" ref="AA20">SUM((J20:L20)/3)</f>
        <v>0</v>
      </c>
    </row>
    <row r="21" spans="1:27">
      <c r="A21" s="44">
        <v>79</v>
      </c>
      <c r="B21" s="45" t="s">
        <v>49</v>
      </c>
      <c r="C21" s="45" t="s">
        <v>46</v>
      </c>
      <c r="D21" s="46">
        <v>0.59499999999999997</v>
      </c>
      <c r="E21" s="47">
        <v>30</v>
      </c>
      <c r="F21" s="48">
        <v>44949</v>
      </c>
      <c r="G21" s="33">
        <v>45334.558333333334</v>
      </c>
      <c r="H21" s="33">
        <v>45338.870138888888</v>
      </c>
      <c r="I21" s="49" t="s">
        <v>27</v>
      </c>
      <c r="J21" s="49">
        <v>0</v>
      </c>
      <c r="K21" s="49">
        <v>0</v>
      </c>
      <c r="L21" s="49">
        <v>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50"/>
      <c r="Y21" s="36" t="s">
        <v>3342</v>
      </c>
      <c r="Z21" s="70">
        <f t="shared" si="0"/>
        <v>0</v>
      </c>
      <c r="AA21" s="7" cm="1">
        <f t="array" ref="AA21">SUM((J21:L21)/3)</f>
        <v>0</v>
      </c>
    </row>
    <row r="22" spans="1:27">
      <c r="A22" s="44">
        <v>80</v>
      </c>
      <c r="B22" s="45" t="s">
        <v>50</v>
      </c>
      <c r="C22" s="45" t="s">
        <v>51</v>
      </c>
      <c r="D22" s="46">
        <v>0.35499999999999998</v>
      </c>
      <c r="E22" s="47">
        <v>167</v>
      </c>
      <c r="F22" s="48">
        <v>44949</v>
      </c>
      <c r="G22" s="33">
        <v>45334.55972222222</v>
      </c>
      <c r="H22" s="33">
        <v>45338.87222222222</v>
      </c>
      <c r="I22" s="49" t="s">
        <v>27</v>
      </c>
      <c r="J22" s="49">
        <v>0</v>
      </c>
      <c r="K22" s="49">
        <v>0</v>
      </c>
      <c r="L22" s="49">
        <v>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50"/>
      <c r="Y22" s="36" t="s">
        <v>3342</v>
      </c>
      <c r="Z22" s="70">
        <f t="shared" si="0"/>
        <v>0</v>
      </c>
      <c r="AA22" s="7" cm="1">
        <f t="array" ref="AA22">SUM((J22:L22)/3)</f>
        <v>0</v>
      </c>
    </row>
    <row r="23" spans="1:27">
      <c r="A23" s="44">
        <v>81</v>
      </c>
      <c r="B23" s="45" t="s">
        <v>52</v>
      </c>
      <c r="C23" s="45" t="s">
        <v>46</v>
      </c>
      <c r="D23" s="46">
        <v>0.40600000000000003</v>
      </c>
      <c r="E23" s="47">
        <v>30</v>
      </c>
      <c r="F23" s="48">
        <v>44949</v>
      </c>
      <c r="G23" s="33">
        <v>45334.561111111114</v>
      </c>
      <c r="H23" s="33">
        <v>45338.873611111114</v>
      </c>
      <c r="I23" s="49" t="s">
        <v>27</v>
      </c>
      <c r="J23" s="49">
        <v>0</v>
      </c>
      <c r="K23" s="49">
        <v>0</v>
      </c>
      <c r="L23" s="49">
        <v>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50"/>
      <c r="Y23" s="36" t="s">
        <v>3342</v>
      </c>
      <c r="Z23" s="70">
        <f t="shared" si="0"/>
        <v>0</v>
      </c>
      <c r="AA23" s="7" cm="1">
        <f t="array" ref="AA23">SUM((J23:L23)/3)</f>
        <v>0</v>
      </c>
    </row>
    <row r="24" spans="1:27">
      <c r="A24" s="44">
        <v>82</v>
      </c>
      <c r="B24" s="45" t="s">
        <v>53</v>
      </c>
      <c r="C24" s="45" t="s">
        <v>46</v>
      </c>
      <c r="D24" s="46">
        <v>0.50900000000000001</v>
      </c>
      <c r="E24" s="47">
        <v>30</v>
      </c>
      <c r="F24" s="48">
        <v>44949</v>
      </c>
      <c r="G24" s="33">
        <v>45334.5625</v>
      </c>
      <c r="H24" s="33">
        <v>45338.875</v>
      </c>
      <c r="I24" s="49" t="s">
        <v>27</v>
      </c>
      <c r="J24" s="49">
        <v>0</v>
      </c>
      <c r="K24" s="49">
        <v>0</v>
      </c>
      <c r="L24" s="49">
        <v>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50"/>
      <c r="Y24" s="36" t="s">
        <v>3342</v>
      </c>
      <c r="Z24" s="70">
        <f t="shared" si="0"/>
        <v>0</v>
      </c>
      <c r="AA24" s="7" cm="1">
        <f t="array" ref="AA24">SUM((J24:L24)/3)</f>
        <v>0</v>
      </c>
    </row>
    <row r="25" spans="1:27">
      <c r="A25" s="44">
        <v>83</v>
      </c>
      <c r="B25" s="45" t="s">
        <v>54</v>
      </c>
      <c r="C25" s="45" t="s">
        <v>46</v>
      </c>
      <c r="D25" s="46">
        <v>0.41</v>
      </c>
      <c r="E25" s="47">
        <v>30</v>
      </c>
      <c r="F25" s="48">
        <v>44949</v>
      </c>
      <c r="G25" s="33">
        <v>45334.563888888886</v>
      </c>
      <c r="H25" s="33">
        <v>45338.876388888886</v>
      </c>
      <c r="I25" s="49" t="s">
        <v>27</v>
      </c>
      <c r="J25" s="49">
        <v>0</v>
      </c>
      <c r="K25" s="49">
        <v>0</v>
      </c>
      <c r="L25" s="49">
        <v>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50"/>
      <c r="Y25" s="36" t="s">
        <v>3342</v>
      </c>
      <c r="Z25" s="70">
        <f t="shared" si="0"/>
        <v>0</v>
      </c>
      <c r="AA25" s="7" cm="1">
        <f t="array" ref="AA25">SUM((J25:L25)/3)</f>
        <v>0</v>
      </c>
    </row>
    <row r="26" spans="1:27">
      <c r="A26" s="44">
        <v>84</v>
      </c>
      <c r="B26" s="45" t="s">
        <v>55</v>
      </c>
      <c r="C26" s="45" t="s">
        <v>46</v>
      </c>
      <c r="D26" s="46">
        <v>0.40300000000000002</v>
      </c>
      <c r="E26" s="47">
        <v>30</v>
      </c>
      <c r="F26" s="48">
        <v>44949</v>
      </c>
      <c r="G26" s="33">
        <v>45334.56527777778</v>
      </c>
      <c r="H26" s="33">
        <v>45338.87777777778</v>
      </c>
      <c r="I26" s="49" t="s">
        <v>27</v>
      </c>
      <c r="J26" s="49">
        <v>0</v>
      </c>
      <c r="K26" s="49">
        <v>0</v>
      </c>
      <c r="L26" s="49">
        <v>1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50"/>
      <c r="Y26" s="36">
        <v>1</v>
      </c>
      <c r="Z26" s="70">
        <f t="shared" si="0"/>
        <v>0</v>
      </c>
      <c r="AA26" s="7" cm="1">
        <f t="array" ref="AA26">SUM((J26:L26)/3)</f>
        <v>0.33333333333333331</v>
      </c>
    </row>
    <row r="27" spans="1:27">
      <c r="A27" s="44">
        <v>85</v>
      </c>
      <c r="B27" s="45" t="s">
        <v>56</v>
      </c>
      <c r="C27" s="45" t="s">
        <v>46</v>
      </c>
      <c r="D27" s="46">
        <v>0.58499999999999996</v>
      </c>
      <c r="E27" s="47">
        <v>30</v>
      </c>
      <c r="F27" s="48">
        <v>44949</v>
      </c>
      <c r="G27" s="33">
        <v>45334.567361111112</v>
      </c>
      <c r="H27" s="33">
        <v>45338.879861111112</v>
      </c>
      <c r="I27" s="49" t="s">
        <v>27</v>
      </c>
      <c r="J27" s="49">
        <v>0</v>
      </c>
      <c r="K27" s="49">
        <v>0</v>
      </c>
      <c r="L27" s="49">
        <v>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50"/>
      <c r="Y27" s="36" t="s">
        <v>3342</v>
      </c>
      <c r="Z27" s="70">
        <f t="shared" si="0"/>
        <v>0</v>
      </c>
      <c r="AA27" s="7" cm="1">
        <f t="array" ref="AA27">SUM((J27:L27)/3)</f>
        <v>0</v>
      </c>
    </row>
    <row r="28" spans="1:27">
      <c r="A28" s="44">
        <v>86</v>
      </c>
      <c r="B28" s="45" t="s">
        <v>57</v>
      </c>
      <c r="C28" s="45" t="s">
        <v>58</v>
      </c>
      <c r="D28" s="46">
        <v>0.26</v>
      </c>
      <c r="E28" s="47">
        <v>26</v>
      </c>
      <c r="F28" s="48">
        <v>44949</v>
      </c>
      <c r="G28" s="33">
        <v>45334.568749999999</v>
      </c>
      <c r="H28" s="33">
        <v>45338.881944444445</v>
      </c>
      <c r="I28" s="49" t="s">
        <v>27</v>
      </c>
      <c r="J28" s="49">
        <v>0</v>
      </c>
      <c r="K28" s="49">
        <v>0</v>
      </c>
      <c r="L28" s="49">
        <v>1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50"/>
      <c r="Y28" s="36">
        <v>1</v>
      </c>
      <c r="Z28" s="70">
        <f t="shared" si="0"/>
        <v>0</v>
      </c>
      <c r="AA28" s="7" cm="1">
        <f t="array" ref="AA28">SUM((J28:L28)/3)</f>
        <v>0.33333333333333331</v>
      </c>
    </row>
    <row r="29" spans="1:27">
      <c r="A29" s="44">
        <v>87</v>
      </c>
      <c r="B29" s="45" t="s">
        <v>59</v>
      </c>
      <c r="C29" s="45" t="s">
        <v>58</v>
      </c>
      <c r="D29" s="46">
        <v>0.28599999999999998</v>
      </c>
      <c r="E29" s="47">
        <v>26</v>
      </c>
      <c r="F29" s="48">
        <v>44949</v>
      </c>
      <c r="G29" s="33">
        <v>45334.570833333331</v>
      </c>
      <c r="H29" s="33">
        <v>45338.883333333331</v>
      </c>
      <c r="I29" s="49" t="s">
        <v>27</v>
      </c>
      <c r="J29" s="49">
        <v>0</v>
      </c>
      <c r="K29" s="49">
        <v>0</v>
      </c>
      <c r="L29" s="49">
        <v>1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50"/>
      <c r="Y29" s="36">
        <v>1</v>
      </c>
      <c r="Z29" s="70">
        <f t="shared" si="0"/>
        <v>0</v>
      </c>
      <c r="AA29" s="7" cm="1">
        <f t="array" ref="AA29">SUM((J29:L29)/3)</f>
        <v>0.33333333333333331</v>
      </c>
    </row>
    <row r="30" spans="1:27">
      <c r="A30" s="44">
        <v>88</v>
      </c>
      <c r="B30" s="45" t="s">
        <v>60</v>
      </c>
      <c r="C30" s="45" t="s">
        <v>58</v>
      </c>
      <c r="D30" s="46">
        <v>0.38700000000000001</v>
      </c>
      <c r="E30" s="47">
        <v>26</v>
      </c>
      <c r="F30" s="48">
        <v>44949</v>
      </c>
      <c r="G30" s="33">
        <v>45334.572222222225</v>
      </c>
      <c r="H30" s="33">
        <v>45338.885416666664</v>
      </c>
      <c r="I30" s="49" t="s">
        <v>27</v>
      </c>
      <c r="J30" s="49">
        <v>0</v>
      </c>
      <c r="K30" s="49">
        <v>0</v>
      </c>
      <c r="L30" s="49">
        <v>0</v>
      </c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50"/>
      <c r="Y30" s="36" t="s">
        <v>3342</v>
      </c>
      <c r="Z30" s="70">
        <f t="shared" si="0"/>
        <v>0</v>
      </c>
      <c r="AA30" s="7" cm="1">
        <f t="array" ref="AA30">SUM((J30:L30)/3)</f>
        <v>0</v>
      </c>
    </row>
    <row r="31" spans="1:27">
      <c r="A31" s="44">
        <v>89</v>
      </c>
      <c r="B31" s="45" t="s">
        <v>61</v>
      </c>
      <c r="C31" s="45" t="s">
        <v>58</v>
      </c>
      <c r="D31" s="46">
        <v>0.38900000000000001</v>
      </c>
      <c r="E31" s="47">
        <v>26</v>
      </c>
      <c r="F31" s="48">
        <v>44949</v>
      </c>
      <c r="G31" s="33">
        <v>45334.573611111111</v>
      </c>
      <c r="H31" s="33">
        <v>45338.887499999997</v>
      </c>
      <c r="I31" s="49" t="s">
        <v>27</v>
      </c>
      <c r="J31" s="49">
        <v>0</v>
      </c>
      <c r="K31" s="49">
        <v>0</v>
      </c>
      <c r="L31" s="49">
        <v>1</v>
      </c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50"/>
      <c r="Y31" s="36">
        <v>1</v>
      </c>
      <c r="Z31" s="70">
        <f t="shared" si="0"/>
        <v>0</v>
      </c>
      <c r="AA31" s="7" cm="1">
        <f t="array" ref="AA31">SUM((J31:L31)/3)</f>
        <v>0.33333333333333331</v>
      </c>
    </row>
    <row r="32" spans="1:27" ht="15" thickBot="1">
      <c r="A32" s="51">
        <v>90</v>
      </c>
      <c r="B32" s="52" t="s">
        <v>62</v>
      </c>
      <c r="C32" s="52" t="s">
        <v>58</v>
      </c>
      <c r="D32" s="53">
        <v>0.504</v>
      </c>
      <c r="E32" s="54">
        <v>26</v>
      </c>
      <c r="F32" s="55">
        <v>44949</v>
      </c>
      <c r="G32" s="33">
        <v>45334.575694444444</v>
      </c>
      <c r="H32" s="33">
        <v>45338.888888888891</v>
      </c>
      <c r="I32" s="56" t="s">
        <v>27</v>
      </c>
      <c r="J32" s="56">
        <v>0</v>
      </c>
      <c r="K32" s="56">
        <v>0</v>
      </c>
      <c r="L32" s="56">
        <v>0</v>
      </c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7"/>
      <c r="Y32" s="36" t="s">
        <v>3342</v>
      </c>
      <c r="Z32" s="70">
        <f t="shared" si="0"/>
        <v>0</v>
      </c>
      <c r="AA32" s="7" cm="1">
        <f t="array" ref="AA32">SUM((J32:L32)/3)</f>
        <v>0</v>
      </c>
    </row>
    <row r="33" spans="1:27">
      <c r="A33" s="28">
        <v>121</v>
      </c>
      <c r="B33" s="29" t="s">
        <v>66</v>
      </c>
      <c r="C33" s="29" t="s">
        <v>67</v>
      </c>
      <c r="D33" s="30">
        <v>0.31</v>
      </c>
      <c r="E33" s="31">
        <v>44</v>
      </c>
      <c r="F33" s="32" t="s">
        <v>64</v>
      </c>
      <c r="G33" s="33">
        <v>45335.709722222222</v>
      </c>
      <c r="H33" s="33">
        <v>45340.581944444442</v>
      </c>
      <c r="I33" s="34" t="s">
        <v>27</v>
      </c>
      <c r="J33" s="34">
        <v>1</v>
      </c>
      <c r="K33" s="34">
        <v>1</v>
      </c>
      <c r="L33" s="34">
        <v>1</v>
      </c>
      <c r="M33" s="34">
        <v>12</v>
      </c>
      <c r="N33" s="34">
        <v>13</v>
      </c>
      <c r="O33" s="34">
        <v>62</v>
      </c>
      <c r="P33" s="34">
        <v>77.78</v>
      </c>
      <c r="Q33" s="34">
        <v>77.78</v>
      </c>
      <c r="R33" s="34">
        <v>19.27</v>
      </c>
      <c r="S33" s="34">
        <v>11.72</v>
      </c>
      <c r="T33" s="34">
        <v>11.64</v>
      </c>
      <c r="U33" s="34">
        <v>14</v>
      </c>
      <c r="V33" s="34">
        <v>66.67</v>
      </c>
      <c r="W33" s="34">
        <v>88.89</v>
      </c>
      <c r="X33" s="35">
        <v>22.2</v>
      </c>
      <c r="Y33" s="36">
        <v>1</v>
      </c>
      <c r="Z33" s="69">
        <f t="shared" si="0"/>
        <v>1</v>
      </c>
      <c r="AA33" s="7" cm="1">
        <f t="array" ref="AA33">SUM((J33:L33)/3)</f>
        <v>1</v>
      </c>
    </row>
    <row r="34" spans="1:27">
      <c r="A34" s="28">
        <v>122</v>
      </c>
      <c r="B34" s="29" t="s">
        <v>68</v>
      </c>
      <c r="C34" s="29" t="s">
        <v>67</v>
      </c>
      <c r="D34" s="30">
        <v>0.35099999999999998</v>
      </c>
      <c r="E34" s="31">
        <v>44</v>
      </c>
      <c r="F34" s="32" t="s">
        <v>64</v>
      </c>
      <c r="G34" s="33">
        <v>45335.769444444442</v>
      </c>
      <c r="H34" s="33">
        <v>45340.583333333336</v>
      </c>
      <c r="I34" s="34" t="s">
        <v>27</v>
      </c>
      <c r="J34" s="34">
        <v>1</v>
      </c>
      <c r="K34" s="34">
        <v>0</v>
      </c>
      <c r="L34" s="34">
        <v>0</v>
      </c>
      <c r="M34" s="34"/>
      <c r="N34" s="34"/>
      <c r="O34" s="34">
        <v>2118</v>
      </c>
      <c r="P34" s="34"/>
      <c r="Q34" s="34"/>
      <c r="R34" s="34">
        <v>90.46</v>
      </c>
      <c r="S34" s="34"/>
      <c r="T34" s="34"/>
      <c r="U34" s="34">
        <v>26.3</v>
      </c>
      <c r="V34" s="34"/>
      <c r="W34" s="34"/>
      <c r="X34" s="35">
        <v>83.79</v>
      </c>
      <c r="Y34" s="36" t="s">
        <v>3342</v>
      </c>
      <c r="Z34" s="70">
        <f t="shared" si="0"/>
        <v>0</v>
      </c>
      <c r="AA34" s="7" cm="1">
        <f t="array" ref="AA34">SUM((J34:L34)/3)</f>
        <v>0.33333333333333331</v>
      </c>
    </row>
    <row r="35" spans="1:27">
      <c r="A35" s="28">
        <v>123</v>
      </c>
      <c r="B35" s="29" t="s">
        <v>69</v>
      </c>
      <c r="C35" s="29" t="s">
        <v>67</v>
      </c>
      <c r="D35" s="30">
        <v>0.36699999999999999</v>
      </c>
      <c r="E35" s="31">
        <v>44</v>
      </c>
      <c r="F35" s="32" t="s">
        <v>64</v>
      </c>
      <c r="G35" s="33">
        <v>45335.770833333336</v>
      </c>
      <c r="H35" s="33">
        <v>45340.584722222222</v>
      </c>
      <c r="I35" s="34" t="s">
        <v>27</v>
      </c>
      <c r="J35" s="34">
        <v>0</v>
      </c>
      <c r="K35" s="34">
        <v>1</v>
      </c>
      <c r="L35" s="34">
        <v>1</v>
      </c>
      <c r="M35" s="34">
        <v>9668</v>
      </c>
      <c r="N35" s="34">
        <v>9681</v>
      </c>
      <c r="O35" s="34"/>
      <c r="P35" s="34">
        <v>5.0599999999999996</v>
      </c>
      <c r="Q35" s="34">
        <v>5.14</v>
      </c>
      <c r="R35" s="34"/>
      <c r="S35" s="34">
        <v>15.82</v>
      </c>
      <c r="T35" s="34">
        <v>15.59</v>
      </c>
      <c r="U35" s="34"/>
      <c r="V35" s="34">
        <v>43.79</v>
      </c>
      <c r="W35" s="34">
        <v>60.86</v>
      </c>
      <c r="X35" s="35"/>
      <c r="Y35" s="36">
        <v>1</v>
      </c>
      <c r="Z35" s="69">
        <f t="shared" ref="Z35:Z62" si="1">IF(COUNTA(J35:L35)=0, "", IF(SUM(J35:L35)&gt;1, 1, 0))</f>
        <v>1</v>
      </c>
      <c r="AA35" s="7" cm="1">
        <f t="array" ref="AA35">SUM((J35:L35)/3)</f>
        <v>0.66666666666666663</v>
      </c>
    </row>
    <row r="36" spans="1:27">
      <c r="A36" s="28">
        <v>124</v>
      </c>
      <c r="B36" s="29" t="s">
        <v>35</v>
      </c>
      <c r="C36" s="29" t="s">
        <v>67</v>
      </c>
      <c r="D36" s="30">
        <v>0.39400000000000002</v>
      </c>
      <c r="E36" s="31">
        <v>44</v>
      </c>
      <c r="F36" s="32" t="s">
        <v>64</v>
      </c>
      <c r="G36" s="33">
        <v>45335.772916666669</v>
      </c>
      <c r="H36" s="33">
        <v>45340.586111111108</v>
      </c>
      <c r="I36" s="34" t="s">
        <v>27</v>
      </c>
      <c r="J36" s="34">
        <v>0</v>
      </c>
      <c r="K36" s="34">
        <v>0</v>
      </c>
      <c r="L36" s="34">
        <v>0</v>
      </c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5"/>
      <c r="Y36" s="36" t="s">
        <v>3342</v>
      </c>
      <c r="Z36" s="70">
        <f t="shared" si="1"/>
        <v>0</v>
      </c>
      <c r="AA36" s="7" cm="1">
        <f t="array" ref="AA36">SUM((J36:L36)/3)</f>
        <v>0</v>
      </c>
    </row>
    <row r="37" spans="1:27">
      <c r="A37" s="28">
        <v>125</v>
      </c>
      <c r="B37" s="29" t="s">
        <v>70</v>
      </c>
      <c r="C37" s="29" t="s">
        <v>67</v>
      </c>
      <c r="D37" s="30">
        <v>0.39500000000000002</v>
      </c>
      <c r="E37" s="31">
        <v>44</v>
      </c>
      <c r="F37" s="32" t="s">
        <v>64</v>
      </c>
      <c r="G37" s="58" t="s">
        <v>71</v>
      </c>
      <c r="H37" s="33">
        <v>45340.586805555555</v>
      </c>
      <c r="I37" s="34" t="s">
        <v>27</v>
      </c>
      <c r="J37" s="34">
        <v>0</v>
      </c>
      <c r="K37" s="34">
        <v>0</v>
      </c>
      <c r="L37" s="34">
        <v>0</v>
      </c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5"/>
      <c r="Y37" s="36" t="s">
        <v>3342</v>
      </c>
      <c r="Z37" s="69">
        <f t="shared" si="1"/>
        <v>0</v>
      </c>
      <c r="AA37" s="7" cm="1">
        <f t="array" ref="AA37">SUM((J37:L37)/3)</f>
        <v>0</v>
      </c>
    </row>
    <row r="38" spans="1:27">
      <c r="A38" s="28">
        <v>126</v>
      </c>
      <c r="B38" s="29" t="s">
        <v>39</v>
      </c>
      <c r="C38" s="29" t="s">
        <v>67</v>
      </c>
      <c r="D38" s="30">
        <v>0.41299999999999998</v>
      </c>
      <c r="E38" s="31">
        <v>44</v>
      </c>
      <c r="F38" s="32" t="s">
        <v>64</v>
      </c>
      <c r="G38" s="33">
        <v>45335.775694444441</v>
      </c>
      <c r="H38" s="33">
        <v>45340.587500000001</v>
      </c>
      <c r="I38" s="34" t="s">
        <v>27</v>
      </c>
      <c r="J38" s="34">
        <v>0</v>
      </c>
      <c r="K38" s="34">
        <v>0</v>
      </c>
      <c r="L38" s="34">
        <v>0</v>
      </c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5"/>
      <c r="Y38" s="36" t="s">
        <v>3342</v>
      </c>
      <c r="Z38" s="70">
        <f t="shared" si="1"/>
        <v>0</v>
      </c>
      <c r="AA38" s="7" cm="1">
        <f t="array" ref="AA38">SUM((J38:L38)/3)</f>
        <v>0</v>
      </c>
    </row>
    <row r="39" spans="1:27">
      <c r="A39" s="28">
        <v>127</v>
      </c>
      <c r="B39" s="29" t="s">
        <v>72</v>
      </c>
      <c r="C39" s="29" t="s">
        <v>67</v>
      </c>
      <c r="D39" s="30">
        <v>0.44600000000000001</v>
      </c>
      <c r="E39" s="31">
        <v>44</v>
      </c>
      <c r="F39" s="32" t="s">
        <v>64</v>
      </c>
      <c r="G39" s="33">
        <v>45335.77847222222</v>
      </c>
      <c r="H39" s="33">
        <v>45340.588194444441</v>
      </c>
      <c r="I39" s="34" t="s">
        <v>27</v>
      </c>
      <c r="J39" s="34">
        <v>0</v>
      </c>
      <c r="K39" s="34">
        <v>0</v>
      </c>
      <c r="L39" s="34">
        <v>0</v>
      </c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5"/>
      <c r="Y39" s="36" t="s">
        <v>3342</v>
      </c>
      <c r="Z39" s="69">
        <f t="shared" si="1"/>
        <v>0</v>
      </c>
      <c r="AA39" s="7" cm="1">
        <f t="array" ref="AA39">SUM((J39:L39)/3)</f>
        <v>0</v>
      </c>
    </row>
    <row r="40" spans="1:27">
      <c r="A40" s="28">
        <v>128</v>
      </c>
      <c r="B40" s="29" t="s">
        <v>73</v>
      </c>
      <c r="C40" s="29" t="s">
        <v>67</v>
      </c>
      <c r="D40" s="30">
        <v>0.44900000000000001</v>
      </c>
      <c r="E40" s="31">
        <v>44</v>
      </c>
      <c r="F40" s="32" t="s">
        <v>64</v>
      </c>
      <c r="G40" s="33">
        <v>45335.779861111114</v>
      </c>
      <c r="H40" s="33">
        <v>45340.588888888888</v>
      </c>
      <c r="I40" s="34" t="s">
        <v>27</v>
      </c>
      <c r="J40" s="34">
        <v>1</v>
      </c>
      <c r="K40" s="34">
        <v>1</v>
      </c>
      <c r="L40" s="34">
        <v>1</v>
      </c>
      <c r="M40" s="34">
        <v>13</v>
      </c>
      <c r="N40" s="34">
        <v>12</v>
      </c>
      <c r="O40" s="34">
        <v>47</v>
      </c>
      <c r="P40" s="34">
        <v>63.98</v>
      </c>
      <c r="Q40" s="34">
        <v>75.12</v>
      </c>
      <c r="R40" s="34">
        <v>36.200000000000003</v>
      </c>
      <c r="S40" s="34">
        <v>11.81</v>
      </c>
      <c r="T40" s="34">
        <v>11.63</v>
      </c>
      <c r="U40" s="34">
        <v>13.9</v>
      </c>
      <c r="V40" s="34">
        <v>61.37</v>
      </c>
      <c r="W40" s="34">
        <v>87.67</v>
      </c>
      <c r="X40" s="35">
        <v>78.63</v>
      </c>
      <c r="Y40" s="36">
        <v>1</v>
      </c>
      <c r="Z40" s="69">
        <f t="shared" si="1"/>
        <v>1</v>
      </c>
      <c r="AA40" s="7" cm="1">
        <f t="array" ref="AA40">SUM((J40:L40)/3)</f>
        <v>1</v>
      </c>
    </row>
    <row r="41" spans="1:27">
      <c r="A41" s="28">
        <v>129</v>
      </c>
      <c r="B41" s="29" t="s">
        <v>74</v>
      </c>
      <c r="C41" s="29" t="s">
        <v>67</v>
      </c>
      <c r="D41" s="30">
        <v>0.46</v>
      </c>
      <c r="E41" s="31">
        <v>44</v>
      </c>
      <c r="F41" s="32" t="s">
        <v>64</v>
      </c>
      <c r="G41" s="33">
        <v>45335.78125</v>
      </c>
      <c r="H41" s="33">
        <v>45340.589583333334</v>
      </c>
      <c r="I41" s="34" t="s">
        <v>27</v>
      </c>
      <c r="J41" s="34">
        <v>0</v>
      </c>
      <c r="K41" s="34">
        <v>1</v>
      </c>
      <c r="L41" s="34">
        <v>0</v>
      </c>
      <c r="M41" s="34"/>
      <c r="N41" s="34">
        <v>465</v>
      </c>
      <c r="O41" s="34"/>
      <c r="P41" s="34"/>
      <c r="Q41" s="34">
        <v>60</v>
      </c>
      <c r="R41" s="34"/>
      <c r="S41" s="34"/>
      <c r="T41" s="34">
        <v>15.01</v>
      </c>
      <c r="U41" s="34"/>
      <c r="V41" s="34"/>
      <c r="W41" s="34">
        <v>85.71</v>
      </c>
      <c r="X41" s="35"/>
      <c r="Y41" s="36" t="s">
        <v>3342</v>
      </c>
      <c r="Z41" s="70">
        <f t="shared" si="1"/>
        <v>0</v>
      </c>
      <c r="AA41" s="7" cm="1">
        <f t="array" ref="AA41">SUM((J41:L41)/3)</f>
        <v>0.33333333333333331</v>
      </c>
    </row>
    <row r="42" spans="1:27">
      <c r="A42" s="28">
        <v>130</v>
      </c>
      <c r="B42" s="29" t="s">
        <v>75</v>
      </c>
      <c r="C42" s="29" t="s">
        <v>67</v>
      </c>
      <c r="D42" s="30">
        <v>0.46500000000000002</v>
      </c>
      <c r="E42" s="31">
        <v>44</v>
      </c>
      <c r="F42" s="32" t="s">
        <v>64</v>
      </c>
      <c r="G42" s="33">
        <v>45335.782638888886</v>
      </c>
      <c r="H42" s="33">
        <v>45340.59097222222</v>
      </c>
      <c r="I42" s="34" t="s">
        <v>27</v>
      </c>
      <c r="J42" s="34">
        <v>0</v>
      </c>
      <c r="K42" s="34">
        <v>0</v>
      </c>
      <c r="L42" s="34">
        <v>0</v>
      </c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5"/>
      <c r="Y42" s="36" t="s">
        <v>3342</v>
      </c>
      <c r="Z42" s="70">
        <f t="shared" si="1"/>
        <v>0</v>
      </c>
      <c r="AA42" s="7" cm="1">
        <f t="array" ref="AA42">SUM((J42:L42)/3)</f>
        <v>0</v>
      </c>
    </row>
    <row r="43" spans="1:27">
      <c r="A43" s="28">
        <v>131</v>
      </c>
      <c r="B43" s="29" t="s">
        <v>76</v>
      </c>
      <c r="C43" s="29" t="s">
        <v>67</v>
      </c>
      <c r="D43" s="30">
        <v>0.46899999999999997</v>
      </c>
      <c r="E43" s="31">
        <v>44</v>
      </c>
      <c r="F43" s="32" t="s">
        <v>64</v>
      </c>
      <c r="G43" s="33">
        <v>45335.784722222219</v>
      </c>
      <c r="H43" s="33">
        <v>45340.592361111114</v>
      </c>
      <c r="I43" s="34" t="s">
        <v>27</v>
      </c>
      <c r="J43" s="34">
        <v>0</v>
      </c>
      <c r="K43" s="34">
        <v>0</v>
      </c>
      <c r="L43" s="34">
        <v>0</v>
      </c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5"/>
      <c r="Y43" s="36" t="s">
        <v>3342</v>
      </c>
      <c r="Z43" s="70">
        <f t="shared" si="1"/>
        <v>0</v>
      </c>
      <c r="AA43" s="7" cm="1">
        <f t="array" ref="AA43">SUM((J43:L43)/3)</f>
        <v>0</v>
      </c>
    </row>
    <row r="44" spans="1:27">
      <c r="A44" s="28">
        <v>132</v>
      </c>
      <c r="B44" s="29" t="s">
        <v>77</v>
      </c>
      <c r="C44" s="29" t="s">
        <v>67</v>
      </c>
      <c r="D44" s="30">
        <v>0.496</v>
      </c>
      <c r="E44" s="31">
        <v>44</v>
      </c>
      <c r="F44" s="32" t="s">
        <v>64</v>
      </c>
      <c r="G44" s="33">
        <v>45335.786111111112</v>
      </c>
      <c r="H44" s="33">
        <v>45340.593055555553</v>
      </c>
      <c r="I44" s="34" t="s">
        <v>27</v>
      </c>
      <c r="J44" s="34">
        <v>0</v>
      </c>
      <c r="K44" s="34">
        <v>0</v>
      </c>
      <c r="L44" s="34">
        <v>0</v>
      </c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5"/>
      <c r="Y44" s="36" t="s">
        <v>3342</v>
      </c>
      <c r="Z44" s="70">
        <f t="shared" si="1"/>
        <v>0</v>
      </c>
      <c r="AA44" s="7" cm="1">
        <f t="array" ref="AA44">SUM((J44:L44)/3)</f>
        <v>0</v>
      </c>
    </row>
    <row r="45" spans="1:27">
      <c r="A45" s="28">
        <v>133</v>
      </c>
      <c r="B45" s="29" t="s">
        <v>78</v>
      </c>
      <c r="C45" s="29" t="s">
        <v>67</v>
      </c>
      <c r="D45" s="30">
        <v>0.51600000000000001</v>
      </c>
      <c r="E45" s="31">
        <v>44</v>
      </c>
      <c r="F45" s="32" t="s">
        <v>64</v>
      </c>
      <c r="G45" s="33">
        <v>45335.787499999999</v>
      </c>
      <c r="H45" s="33">
        <v>45340.59375</v>
      </c>
      <c r="I45" s="34" t="s">
        <v>27</v>
      </c>
      <c r="J45" s="34">
        <v>0</v>
      </c>
      <c r="K45" s="34">
        <v>1</v>
      </c>
      <c r="L45" s="34">
        <v>0</v>
      </c>
      <c r="M45" s="34"/>
      <c r="N45" s="34">
        <v>749</v>
      </c>
      <c r="O45" s="34"/>
      <c r="P45" s="34"/>
      <c r="Q45" s="34">
        <v>30</v>
      </c>
      <c r="R45" s="34"/>
      <c r="S45" s="34"/>
      <c r="T45" s="34">
        <v>52.06</v>
      </c>
      <c r="U45" s="34"/>
      <c r="V45" s="34"/>
      <c r="W45" s="34">
        <v>60</v>
      </c>
      <c r="X45" s="35"/>
      <c r="Y45" s="36" t="s">
        <v>3342</v>
      </c>
      <c r="Z45" s="70">
        <f t="shared" si="1"/>
        <v>0</v>
      </c>
      <c r="AA45" s="7" cm="1">
        <f t="array" ref="AA45">SUM((J45:L45)/3)</f>
        <v>0.33333333333333331</v>
      </c>
    </row>
    <row r="46" spans="1:27">
      <c r="A46" s="28">
        <v>134</v>
      </c>
      <c r="B46" s="29" t="s">
        <v>79</v>
      </c>
      <c r="C46" s="29" t="s">
        <v>67</v>
      </c>
      <c r="D46" s="30">
        <v>0.56899999999999995</v>
      </c>
      <c r="E46" s="31">
        <v>44</v>
      </c>
      <c r="F46" s="32" t="s">
        <v>64</v>
      </c>
      <c r="G46" s="33">
        <v>45335.788194444445</v>
      </c>
      <c r="H46" s="33">
        <v>45340.594444444447</v>
      </c>
      <c r="I46" s="34" t="s">
        <v>27</v>
      </c>
      <c r="J46" s="34">
        <v>0</v>
      </c>
      <c r="K46" s="34">
        <v>0</v>
      </c>
      <c r="L46" s="34">
        <v>0</v>
      </c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  <c r="Y46" s="36" t="s">
        <v>3342</v>
      </c>
      <c r="Z46" s="70">
        <f t="shared" si="1"/>
        <v>0</v>
      </c>
      <c r="AA46" s="7" cm="1">
        <f t="array" ref="AA46">SUM((J46:L46)/3)</f>
        <v>0</v>
      </c>
    </row>
    <row r="47" spans="1:27" ht="15" thickBot="1">
      <c r="A47" s="37">
        <v>135</v>
      </c>
      <c r="B47" s="38" t="s">
        <v>80</v>
      </c>
      <c r="C47" s="38" t="s">
        <v>81</v>
      </c>
      <c r="D47" s="39">
        <v>0.43</v>
      </c>
      <c r="E47" s="40">
        <v>44</v>
      </c>
      <c r="F47" s="32" t="s">
        <v>64</v>
      </c>
      <c r="G47" s="33">
        <v>45335.788888888892</v>
      </c>
      <c r="H47" s="33">
        <v>45340.595138888886</v>
      </c>
      <c r="I47" s="42" t="s">
        <v>27</v>
      </c>
      <c r="J47" s="42">
        <v>1</v>
      </c>
      <c r="K47" s="42">
        <v>1</v>
      </c>
      <c r="L47" s="42">
        <v>1</v>
      </c>
      <c r="M47" s="42">
        <v>812</v>
      </c>
      <c r="N47" s="42">
        <v>1382</v>
      </c>
      <c r="O47" s="42">
        <v>1787</v>
      </c>
      <c r="P47" s="42">
        <v>64.12</v>
      </c>
      <c r="Q47" s="42">
        <v>17.05</v>
      </c>
      <c r="R47" s="42">
        <v>43.36</v>
      </c>
      <c r="S47" s="42">
        <v>24.01</v>
      </c>
      <c r="T47" s="42">
        <v>41.76</v>
      </c>
      <c r="U47" s="42">
        <v>31.4</v>
      </c>
      <c r="V47" s="42">
        <v>79.41</v>
      </c>
      <c r="W47" s="42">
        <v>7.8</v>
      </c>
      <c r="X47" s="43">
        <v>18.29</v>
      </c>
      <c r="Y47" s="36">
        <v>1</v>
      </c>
      <c r="Z47" s="69">
        <f t="shared" si="1"/>
        <v>1</v>
      </c>
      <c r="AA47" s="7" cm="1">
        <f t="array" ref="AA47">SUM((J47:L47)/3)</f>
        <v>1</v>
      </c>
    </row>
    <row r="48" spans="1:27">
      <c r="A48" s="28">
        <v>166</v>
      </c>
      <c r="B48" s="29" t="s">
        <v>85</v>
      </c>
      <c r="C48" s="29" t="s">
        <v>86</v>
      </c>
      <c r="D48" s="30">
        <v>0.188</v>
      </c>
      <c r="E48" s="31">
        <v>51</v>
      </c>
      <c r="F48" s="32" t="s">
        <v>64</v>
      </c>
      <c r="G48" s="33">
        <v>45335.862500000003</v>
      </c>
      <c r="H48" s="33">
        <v>45340.65</v>
      </c>
      <c r="I48" s="34" t="s">
        <v>27</v>
      </c>
      <c r="J48" s="34">
        <v>0</v>
      </c>
      <c r="K48" s="34">
        <v>0</v>
      </c>
      <c r="L48" s="34">
        <v>0</v>
      </c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5"/>
      <c r="Y48" s="36" t="s">
        <v>3342</v>
      </c>
      <c r="Z48" s="70">
        <f t="shared" si="1"/>
        <v>0</v>
      </c>
      <c r="AA48" s="7" cm="1">
        <f t="array" ref="AA48">SUM((J48:L48)/3)</f>
        <v>0</v>
      </c>
    </row>
    <row r="49" spans="1:27">
      <c r="A49" s="28">
        <v>167</v>
      </c>
      <c r="B49" s="29" t="s">
        <v>87</v>
      </c>
      <c r="C49" s="29" t="s">
        <v>86</v>
      </c>
      <c r="D49" s="30">
        <v>0.22</v>
      </c>
      <c r="E49" s="31">
        <v>51</v>
      </c>
      <c r="F49" s="32" t="s">
        <v>64</v>
      </c>
      <c r="G49" s="33">
        <v>45335.863194444442</v>
      </c>
      <c r="H49" s="33">
        <v>45340.650694444441</v>
      </c>
      <c r="I49" s="34" t="s">
        <v>27</v>
      </c>
      <c r="J49" s="34">
        <v>1</v>
      </c>
      <c r="K49" s="34">
        <v>0</v>
      </c>
      <c r="L49" s="34">
        <v>1</v>
      </c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5"/>
      <c r="Y49" s="36">
        <v>1</v>
      </c>
      <c r="Z49" s="70">
        <f t="shared" si="1"/>
        <v>1</v>
      </c>
      <c r="AA49" s="7" cm="1">
        <f t="array" ref="AA49">SUM((J49:L49)/3)</f>
        <v>0.66666666666666663</v>
      </c>
    </row>
    <row r="50" spans="1:27">
      <c r="A50" s="28">
        <v>168</v>
      </c>
      <c r="B50" s="29" t="s">
        <v>88</v>
      </c>
      <c r="C50" s="29" t="s">
        <v>86</v>
      </c>
      <c r="D50" s="30">
        <v>0.308</v>
      </c>
      <c r="E50" s="31">
        <v>51</v>
      </c>
      <c r="F50" s="32" t="s">
        <v>64</v>
      </c>
      <c r="G50" s="33">
        <v>45335.864583333336</v>
      </c>
      <c r="H50" s="33">
        <v>45340.651388888888</v>
      </c>
      <c r="I50" s="34" t="s">
        <v>27</v>
      </c>
      <c r="J50" s="34">
        <v>1</v>
      </c>
      <c r="K50" s="34">
        <v>1</v>
      </c>
      <c r="L50" s="34">
        <v>1</v>
      </c>
      <c r="M50" s="34">
        <v>1039</v>
      </c>
      <c r="N50" s="34">
        <v>991</v>
      </c>
      <c r="O50" s="34">
        <v>1531</v>
      </c>
      <c r="P50" s="34">
        <v>86.67</v>
      </c>
      <c r="Q50" s="34">
        <v>90</v>
      </c>
      <c r="R50" s="34">
        <v>85.47</v>
      </c>
      <c r="S50" s="34">
        <v>18.010000000000002</v>
      </c>
      <c r="T50" s="34">
        <v>22.42</v>
      </c>
      <c r="U50" s="34">
        <v>21.5</v>
      </c>
      <c r="V50" s="34">
        <v>85.33</v>
      </c>
      <c r="W50" s="34">
        <v>15.71</v>
      </c>
      <c r="X50" s="35">
        <v>63.9</v>
      </c>
      <c r="Y50" s="36">
        <v>1</v>
      </c>
      <c r="Z50" s="69">
        <f t="shared" si="1"/>
        <v>1</v>
      </c>
      <c r="AA50" s="7" cm="1">
        <f t="array" ref="AA50">SUM((J50:L50)/3)</f>
        <v>1</v>
      </c>
    </row>
    <row r="51" spans="1:27">
      <c r="A51" s="28">
        <v>169</v>
      </c>
      <c r="B51" s="29" t="s">
        <v>89</v>
      </c>
      <c r="C51" s="29" t="s">
        <v>86</v>
      </c>
      <c r="D51" s="30">
        <v>0.31</v>
      </c>
      <c r="E51" s="31">
        <v>51</v>
      </c>
      <c r="F51" s="32" t="s">
        <v>64</v>
      </c>
      <c r="G51" s="33">
        <v>45335.865972222222</v>
      </c>
      <c r="H51" s="33">
        <v>45340.652083333334</v>
      </c>
      <c r="I51" s="34" t="s">
        <v>27</v>
      </c>
      <c r="J51" s="34">
        <v>1</v>
      </c>
      <c r="K51" s="34">
        <v>0</v>
      </c>
      <c r="L51" s="34">
        <v>0</v>
      </c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5"/>
      <c r="Y51" s="36">
        <v>1</v>
      </c>
      <c r="Z51" s="70">
        <f t="shared" si="1"/>
        <v>0</v>
      </c>
      <c r="AA51" s="7" cm="1">
        <f t="array" ref="AA51">SUM((J51:L51)/3)</f>
        <v>0.33333333333333331</v>
      </c>
    </row>
    <row r="52" spans="1:27">
      <c r="A52" s="28">
        <v>170</v>
      </c>
      <c r="B52" s="29" t="s">
        <v>90</v>
      </c>
      <c r="C52" s="29" t="s">
        <v>86</v>
      </c>
      <c r="D52" s="30">
        <v>0.34499999999999997</v>
      </c>
      <c r="E52" s="31">
        <v>51</v>
      </c>
      <c r="F52" s="32" t="s">
        <v>64</v>
      </c>
      <c r="G52" s="33">
        <v>45335.866666666669</v>
      </c>
      <c r="H52" s="33">
        <v>45340.654166666667</v>
      </c>
      <c r="I52" s="34" t="s">
        <v>27</v>
      </c>
      <c r="J52" s="34">
        <v>0</v>
      </c>
      <c r="K52" s="34">
        <v>0</v>
      </c>
      <c r="L52" s="34">
        <v>0</v>
      </c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5"/>
      <c r="Y52" s="36" t="s">
        <v>3342</v>
      </c>
      <c r="Z52" s="70">
        <f t="shared" si="1"/>
        <v>0</v>
      </c>
      <c r="AA52" s="7" cm="1">
        <f t="array" ref="AA52">SUM((J52:L52)/3)</f>
        <v>0</v>
      </c>
    </row>
    <row r="53" spans="1:27">
      <c r="A53" s="28">
        <v>171</v>
      </c>
      <c r="B53" s="29" t="s">
        <v>91</v>
      </c>
      <c r="C53" s="29" t="s">
        <v>86</v>
      </c>
      <c r="D53" s="30">
        <v>0.35599999999999998</v>
      </c>
      <c r="E53" s="31">
        <v>51</v>
      </c>
      <c r="F53" s="32" t="s">
        <v>64</v>
      </c>
      <c r="G53" s="33">
        <v>45335.867361111108</v>
      </c>
      <c r="H53" s="33">
        <v>45340.655555555553</v>
      </c>
      <c r="I53" s="34" t="s">
        <v>27</v>
      </c>
      <c r="J53" s="34">
        <v>0</v>
      </c>
      <c r="K53" s="34">
        <v>1</v>
      </c>
      <c r="L53" s="34">
        <v>1</v>
      </c>
      <c r="M53" s="34">
        <v>9904</v>
      </c>
      <c r="N53" s="34"/>
      <c r="O53" s="34"/>
      <c r="P53" s="34">
        <v>5</v>
      </c>
      <c r="Q53" s="34"/>
      <c r="R53" s="34"/>
      <c r="S53" s="34">
        <v>55.8</v>
      </c>
      <c r="T53" s="34"/>
      <c r="U53" s="34"/>
      <c r="V53" s="34">
        <v>100</v>
      </c>
      <c r="W53" s="34"/>
      <c r="X53" s="35"/>
      <c r="Y53" s="36">
        <v>1</v>
      </c>
      <c r="Z53" s="70">
        <f t="shared" si="1"/>
        <v>1</v>
      </c>
      <c r="AA53" s="7" cm="1">
        <f t="array" ref="AA53">SUM((J53:L53)/3)</f>
        <v>0.66666666666666663</v>
      </c>
    </row>
    <row r="54" spans="1:27">
      <c r="A54" s="28">
        <v>172</v>
      </c>
      <c r="B54" s="29" t="s">
        <v>92</v>
      </c>
      <c r="C54" s="29" t="s">
        <v>86</v>
      </c>
      <c r="D54" s="30">
        <v>0.36</v>
      </c>
      <c r="E54" s="31">
        <v>51</v>
      </c>
      <c r="F54" s="32" t="s">
        <v>64</v>
      </c>
      <c r="G54" s="33">
        <v>45335.870833333334</v>
      </c>
      <c r="H54" s="33">
        <v>45340.656944444447</v>
      </c>
      <c r="I54" s="34" t="s">
        <v>27</v>
      </c>
      <c r="J54" s="34">
        <v>0</v>
      </c>
      <c r="K54" s="34">
        <v>1</v>
      </c>
      <c r="L54" s="34">
        <v>1</v>
      </c>
      <c r="M54" s="34">
        <v>1683</v>
      </c>
      <c r="N54" s="34">
        <v>2167</v>
      </c>
      <c r="O54" s="34"/>
      <c r="P54" s="34">
        <v>78.790000000000006</v>
      </c>
      <c r="Q54" s="34">
        <v>39.29</v>
      </c>
      <c r="R54" s="34"/>
      <c r="S54" s="34">
        <v>36.82</v>
      </c>
      <c r="T54" s="34">
        <v>36.9</v>
      </c>
      <c r="U54" s="34"/>
      <c r="V54" s="34">
        <v>18.18</v>
      </c>
      <c r="W54" s="34">
        <v>17.86</v>
      </c>
      <c r="X54" s="35"/>
      <c r="Y54" s="36">
        <v>1</v>
      </c>
      <c r="Z54" s="69">
        <f t="shared" si="1"/>
        <v>1</v>
      </c>
      <c r="AA54" s="7" cm="1">
        <f t="array" ref="AA54">SUM((J54:L54)/3)</f>
        <v>0.66666666666666663</v>
      </c>
    </row>
    <row r="55" spans="1:27">
      <c r="A55" s="28">
        <v>173</v>
      </c>
      <c r="B55" s="29" t="s">
        <v>93</v>
      </c>
      <c r="C55" s="29" t="s">
        <v>86</v>
      </c>
      <c r="D55" s="30">
        <v>0.373</v>
      </c>
      <c r="E55" s="31">
        <v>51</v>
      </c>
      <c r="F55" s="32" t="s">
        <v>64</v>
      </c>
      <c r="G55" s="33">
        <v>45335.87222222222</v>
      </c>
      <c r="H55" s="33">
        <v>45340.658333333333</v>
      </c>
      <c r="I55" s="34" t="s">
        <v>27</v>
      </c>
      <c r="J55" s="34">
        <v>0</v>
      </c>
      <c r="K55" s="34">
        <v>1</v>
      </c>
      <c r="L55" s="34">
        <v>1</v>
      </c>
      <c r="M55" s="34">
        <v>2467</v>
      </c>
      <c r="N55" s="34">
        <v>2460</v>
      </c>
      <c r="O55" s="34"/>
      <c r="P55" s="34">
        <v>92.86</v>
      </c>
      <c r="Q55" s="34">
        <v>100</v>
      </c>
      <c r="R55" s="34"/>
      <c r="S55" s="34">
        <v>24.15</v>
      </c>
      <c r="T55" s="34">
        <v>24.16</v>
      </c>
      <c r="U55" s="34"/>
      <c r="V55" s="34">
        <v>92.86</v>
      </c>
      <c r="W55" s="34">
        <v>92.31</v>
      </c>
      <c r="X55" s="35"/>
      <c r="Y55" s="36">
        <v>1</v>
      </c>
      <c r="Z55" s="69">
        <f t="shared" si="1"/>
        <v>1</v>
      </c>
      <c r="AA55" s="7" cm="1">
        <f t="array" ref="AA55">SUM((J55:L55)/3)</f>
        <v>0.66666666666666663</v>
      </c>
    </row>
    <row r="56" spans="1:27">
      <c r="A56" s="28">
        <v>174</v>
      </c>
      <c r="B56" s="29" t="s">
        <v>94</v>
      </c>
      <c r="C56" s="29" t="s">
        <v>86</v>
      </c>
      <c r="D56" s="30">
        <v>0.38100000000000001</v>
      </c>
      <c r="E56" s="31">
        <v>51</v>
      </c>
      <c r="F56" s="32" t="s">
        <v>64</v>
      </c>
      <c r="G56" s="33">
        <v>45335.873611111114</v>
      </c>
      <c r="H56" s="33">
        <v>45340.660416666666</v>
      </c>
      <c r="I56" s="34" t="s">
        <v>27</v>
      </c>
      <c r="J56" s="34">
        <v>0</v>
      </c>
      <c r="K56" s="34">
        <v>0</v>
      </c>
      <c r="L56" s="34">
        <v>0</v>
      </c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5"/>
      <c r="Y56" s="36" t="s">
        <v>3342</v>
      </c>
      <c r="Z56" s="70">
        <f t="shared" si="1"/>
        <v>0</v>
      </c>
      <c r="AA56" s="7" cm="1">
        <f t="array" ref="AA56">SUM((J56:L56)/3)</f>
        <v>0</v>
      </c>
    </row>
    <row r="57" spans="1:27">
      <c r="A57" s="28">
        <v>175</v>
      </c>
      <c r="B57" s="29" t="s">
        <v>95</v>
      </c>
      <c r="C57" s="29" t="s">
        <v>86</v>
      </c>
      <c r="D57" s="30">
        <v>0.38900000000000001</v>
      </c>
      <c r="E57" s="31">
        <v>51</v>
      </c>
      <c r="F57" s="32" t="s">
        <v>64</v>
      </c>
      <c r="G57" s="33">
        <v>45335.875</v>
      </c>
      <c r="H57" s="33">
        <v>45340.661805555559</v>
      </c>
      <c r="I57" s="34" t="s">
        <v>27</v>
      </c>
      <c r="J57" s="34">
        <v>0</v>
      </c>
      <c r="K57" s="34">
        <v>0</v>
      </c>
      <c r="L57" s="34">
        <v>0</v>
      </c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5"/>
      <c r="Y57" s="36" t="s">
        <v>3342</v>
      </c>
      <c r="Z57" s="70">
        <f t="shared" si="1"/>
        <v>0</v>
      </c>
      <c r="AA57" s="7" cm="1">
        <f t="array" ref="AA57">SUM((J57:L57)/3)</f>
        <v>0</v>
      </c>
    </row>
    <row r="58" spans="1:27">
      <c r="A58" s="28">
        <v>176</v>
      </c>
      <c r="B58" s="29" t="s">
        <v>96</v>
      </c>
      <c r="C58" s="29" t="s">
        <v>86</v>
      </c>
      <c r="D58" s="30">
        <v>0.40400000000000003</v>
      </c>
      <c r="E58" s="31">
        <v>51</v>
      </c>
      <c r="F58" s="32" t="s">
        <v>64</v>
      </c>
      <c r="G58" s="33">
        <v>45335.876388888886</v>
      </c>
      <c r="H58" s="33">
        <v>45340.663194444445</v>
      </c>
      <c r="I58" s="34" t="s">
        <v>27</v>
      </c>
      <c r="J58" s="34">
        <v>1</v>
      </c>
      <c r="K58" s="34">
        <v>0</v>
      </c>
      <c r="L58" s="34">
        <v>0</v>
      </c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5"/>
      <c r="Y58" s="36">
        <v>1</v>
      </c>
      <c r="Z58" s="70">
        <f t="shared" si="1"/>
        <v>0</v>
      </c>
      <c r="AA58" s="7" cm="1">
        <f t="array" ref="AA58">SUM((J58:L58)/3)</f>
        <v>0.33333333333333331</v>
      </c>
    </row>
    <row r="59" spans="1:27">
      <c r="A59" s="28">
        <v>177</v>
      </c>
      <c r="B59" s="29" t="s">
        <v>97</v>
      </c>
      <c r="C59" s="29" t="s">
        <v>86</v>
      </c>
      <c r="D59" s="30">
        <v>0.41699999999999998</v>
      </c>
      <c r="E59" s="31">
        <v>51</v>
      </c>
      <c r="F59" s="32" t="s">
        <v>64</v>
      </c>
      <c r="G59" s="33">
        <v>45335.901388888888</v>
      </c>
      <c r="H59" s="33">
        <v>45340.664583333331</v>
      </c>
      <c r="I59" s="34" t="s">
        <v>27</v>
      </c>
      <c r="J59" s="34">
        <v>0</v>
      </c>
      <c r="K59" s="34">
        <v>0</v>
      </c>
      <c r="L59" s="34">
        <v>1</v>
      </c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5"/>
      <c r="Y59" s="36">
        <v>1</v>
      </c>
      <c r="Z59" s="70">
        <f t="shared" si="1"/>
        <v>0</v>
      </c>
      <c r="AA59" s="7" cm="1">
        <f t="array" ref="AA59">SUM((J59:L59)/3)</f>
        <v>0.33333333333333331</v>
      </c>
    </row>
    <row r="60" spans="1:27">
      <c r="A60" s="28">
        <v>178</v>
      </c>
      <c r="B60" s="29" t="s">
        <v>98</v>
      </c>
      <c r="C60" s="29" t="s">
        <v>86</v>
      </c>
      <c r="D60" s="30">
        <v>0.42699999999999999</v>
      </c>
      <c r="E60" s="31">
        <v>51</v>
      </c>
      <c r="F60" s="32" t="s">
        <v>64</v>
      </c>
      <c r="G60" s="33">
        <v>45335.902777777781</v>
      </c>
      <c r="H60" s="33">
        <v>45340.665972222225</v>
      </c>
      <c r="I60" s="34" t="s">
        <v>27</v>
      </c>
      <c r="J60" s="34">
        <v>0</v>
      </c>
      <c r="K60" s="34">
        <v>0</v>
      </c>
      <c r="L60" s="34">
        <v>0</v>
      </c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5"/>
      <c r="Y60" s="36" t="s">
        <v>3342</v>
      </c>
      <c r="Z60" s="70">
        <f t="shared" si="1"/>
        <v>0</v>
      </c>
      <c r="AA60" s="7" cm="1">
        <f t="array" ref="AA60">SUM((J60:L60)/3)</f>
        <v>0</v>
      </c>
    </row>
    <row r="61" spans="1:27">
      <c r="A61" s="28">
        <v>179</v>
      </c>
      <c r="B61" s="29" t="s">
        <v>99</v>
      </c>
      <c r="C61" s="29" t="s">
        <v>86</v>
      </c>
      <c r="D61" s="30">
        <v>0.42799999999999999</v>
      </c>
      <c r="E61" s="31">
        <v>51</v>
      </c>
      <c r="F61" s="32" t="s">
        <v>64</v>
      </c>
      <c r="G61" s="33">
        <v>45335.904166666667</v>
      </c>
      <c r="H61" s="33">
        <v>45340.667361111111</v>
      </c>
      <c r="I61" s="34" t="s">
        <v>27</v>
      </c>
      <c r="J61" s="34">
        <v>0</v>
      </c>
      <c r="K61" s="34">
        <v>0</v>
      </c>
      <c r="L61" s="34">
        <v>1</v>
      </c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5"/>
      <c r="Y61" s="36">
        <v>1</v>
      </c>
      <c r="Z61" s="70">
        <f t="shared" si="1"/>
        <v>0</v>
      </c>
      <c r="AA61" s="7" cm="1">
        <f t="array" ref="AA61">SUM((J61:L61)/3)</f>
        <v>0.33333333333333331</v>
      </c>
    </row>
    <row r="62" spans="1:27" ht="15" thickBot="1">
      <c r="A62" s="37">
        <v>180</v>
      </c>
      <c r="B62" s="38" t="s">
        <v>100</v>
      </c>
      <c r="C62" s="38" t="s">
        <v>86</v>
      </c>
      <c r="D62" s="39">
        <v>0.44</v>
      </c>
      <c r="E62" s="40">
        <v>51</v>
      </c>
      <c r="F62" s="32" t="s">
        <v>64</v>
      </c>
      <c r="G62" s="33">
        <v>45335.905555555553</v>
      </c>
      <c r="H62" s="33">
        <v>45340.668749999997</v>
      </c>
      <c r="I62" s="42" t="s">
        <v>27</v>
      </c>
      <c r="J62" s="42">
        <v>0</v>
      </c>
      <c r="K62" s="42">
        <v>1</v>
      </c>
      <c r="L62" s="42">
        <v>1</v>
      </c>
      <c r="M62" s="42">
        <v>8841</v>
      </c>
      <c r="N62" s="42">
        <v>1299</v>
      </c>
      <c r="O62" s="42"/>
      <c r="P62" s="42">
        <v>9.09</v>
      </c>
      <c r="Q62" s="42">
        <v>30</v>
      </c>
      <c r="R62" s="42"/>
      <c r="S62" s="42">
        <v>12.41</v>
      </c>
      <c r="T62" s="42">
        <v>12.29</v>
      </c>
      <c r="U62" s="42"/>
      <c r="V62" s="42">
        <v>63.64</v>
      </c>
      <c r="W62" s="42">
        <v>90</v>
      </c>
      <c r="X62" s="43"/>
      <c r="Y62" s="36">
        <v>1</v>
      </c>
      <c r="Z62" s="69">
        <f t="shared" si="1"/>
        <v>1</v>
      </c>
      <c r="AA62" s="7" cm="1">
        <f t="array" ref="AA62">SUM((J62:L62)/3)</f>
        <v>0.66666666666666663</v>
      </c>
    </row>
    <row r="63" spans="1:27" ht="15.5" thickTop="1" thickBot="1">
      <c r="A63" s="59"/>
      <c r="B63" s="60"/>
      <c r="C63" s="60"/>
      <c r="D63" s="61"/>
      <c r="E63" s="62"/>
      <c r="F63" s="63"/>
      <c r="G63" s="64"/>
      <c r="H63" s="64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6"/>
      <c r="Y63" s="67"/>
    </row>
    <row r="64" spans="1:27" ht="15.5" thickTop="1" thickBot="1">
      <c r="J64" s="135">
        <f>COUNTIF(J3:L62,1)/COUNT(J3:L62)</f>
        <v>0.28333333333333333</v>
      </c>
      <c r="K64" s="135"/>
      <c r="L64" s="135"/>
      <c r="Z64" s="68">
        <f>SUM(Z3:Z62)/(COUNTA(Z3:Z62))</f>
        <v>0.26666666666666666</v>
      </c>
      <c r="AA64" s="10">
        <f>AVERAGE(AA3:AA62)</f>
        <v>0.28333333333333333</v>
      </c>
    </row>
    <row r="66" spans="27:27">
      <c r="AA66" s="1">
        <f>SUM(AA3:AA62)</f>
        <v>17</v>
      </c>
    </row>
  </sheetData>
  <mergeCells count="2">
    <mergeCell ref="J64:L64"/>
    <mergeCell ref="A1:B1"/>
  </mergeCells>
  <hyperlinks>
    <hyperlink ref="B3" r:id="rId1" xr:uid="{E5333D31-B1DA-454B-BA48-16BE47D845BB}"/>
    <hyperlink ref="C3" r:id="rId2" xr:uid="{EF1BDEE1-F3D4-4EB4-9238-70B849117EC9}"/>
    <hyperlink ref="B4" r:id="rId3" xr:uid="{F1DE8D74-6413-41AD-BBF3-D53DE3A01515}"/>
    <hyperlink ref="C4" r:id="rId4" xr:uid="{F14C1D29-A127-4FB9-B089-62B14751FC16}"/>
    <hyperlink ref="B5" r:id="rId5" xr:uid="{6EB3FBB6-9424-4545-ADCC-7F007C273355}"/>
    <hyperlink ref="C5" r:id="rId6" xr:uid="{A82EA203-DB8E-41EA-83C3-EDD506689846}"/>
    <hyperlink ref="B6" r:id="rId7" xr:uid="{2104910A-96FD-48D6-88D9-2E4A6A765C8B}"/>
    <hyperlink ref="C6" r:id="rId8" xr:uid="{B7B4EBF7-6204-445D-A538-4E38C0899CA7}"/>
    <hyperlink ref="B7" r:id="rId9" xr:uid="{D125117E-F02A-4896-A6C3-A65F1CEAC152}"/>
    <hyperlink ref="C7" r:id="rId10" xr:uid="{36700E0A-8D1B-443C-AFD1-82E47A99B258}"/>
    <hyperlink ref="B8" r:id="rId11" xr:uid="{673D4751-8571-4B63-8346-FE8B4DC35DE9}"/>
    <hyperlink ref="C8" r:id="rId12" xr:uid="{9E462F45-C842-4FBD-8754-509B1C93B6B5}"/>
    <hyperlink ref="B9" r:id="rId13" xr:uid="{E33C4ABC-D377-4497-89FE-C7992B340B68}"/>
    <hyperlink ref="C9" r:id="rId14" xr:uid="{D9AA8BE8-18BA-4CFA-BB3C-6418A770FA49}"/>
    <hyperlink ref="B10" r:id="rId15" xr:uid="{419AC8E0-4544-4BFC-A7A9-30AE5B8FB07D}"/>
    <hyperlink ref="C10" r:id="rId16" xr:uid="{DF7052A7-B97E-4DFD-B745-D5D896478003}"/>
    <hyperlink ref="B11" r:id="rId17" xr:uid="{A88688EA-A6A0-44C3-BC2A-9B325468A894}"/>
    <hyperlink ref="C11" r:id="rId18" xr:uid="{B0E9E38B-35C4-4A2D-B012-33A8480F3D0C}"/>
    <hyperlink ref="B12" r:id="rId19" xr:uid="{32C7855F-4D68-4F4A-B5AD-AF8EE296C8DE}"/>
    <hyperlink ref="C12" r:id="rId20" xr:uid="{6EFBB7FC-1A83-4E92-BE28-BA24FDFE7BFF}"/>
    <hyperlink ref="B13" r:id="rId21" xr:uid="{7A5E670D-D90C-4953-A4CD-93C5781FF41C}"/>
    <hyperlink ref="C13" r:id="rId22" xr:uid="{5680F892-D7A9-41B2-8EC5-0C5C4E1CD080}"/>
    <hyperlink ref="B14" r:id="rId23" xr:uid="{FF1A245A-A928-4A48-A496-FC3305A2B13A}"/>
    <hyperlink ref="C14" r:id="rId24" xr:uid="{275AAF0A-6C6C-423F-9462-94950B1D35C7}"/>
    <hyperlink ref="B15" r:id="rId25" xr:uid="{61536390-257E-4364-AF60-C0C5F582D991}"/>
    <hyperlink ref="C15" r:id="rId26" xr:uid="{87E58801-98BB-40F1-AF64-C82DEEF50E68}"/>
    <hyperlink ref="B16" r:id="rId27" xr:uid="{7ECF06D2-2FCA-432C-B5B5-855F90C5396A}"/>
    <hyperlink ref="C16" r:id="rId28" xr:uid="{16EF58F7-7425-4CB7-BE79-00A5A1199541}"/>
    <hyperlink ref="B17" r:id="rId29" xr:uid="{1478D6E8-B33D-4889-AF97-055074C2D4D8}"/>
    <hyperlink ref="C17" r:id="rId30" xr:uid="{EC7F6AEB-739B-40D3-BDBC-02177242A668}"/>
    <hyperlink ref="B18" r:id="rId31" xr:uid="{3307AF07-35C0-495B-A5DA-724B4BAC9C19}"/>
    <hyperlink ref="C18" r:id="rId32" xr:uid="{191E74BB-1E96-43E9-BA92-DB5EDA51900F}"/>
    <hyperlink ref="B19" r:id="rId33" xr:uid="{25EDF125-504D-4210-8040-2F35A6F2A0FC}"/>
    <hyperlink ref="C19" r:id="rId34" xr:uid="{C106420B-CFBF-4142-803D-29D14C699724}"/>
    <hyperlink ref="B20" r:id="rId35" xr:uid="{4818E25F-F176-4F6F-A3D7-FD04B29C15DF}"/>
    <hyperlink ref="C20" r:id="rId36" xr:uid="{C437B128-E174-4F5B-A724-B624CBBD3D48}"/>
    <hyperlink ref="B21" r:id="rId37" xr:uid="{E73BDCC9-6516-4AF6-B49A-C8B57DB78B54}"/>
    <hyperlink ref="C21" r:id="rId38" xr:uid="{83FEC95C-771A-4DBE-8E34-BC95870EEC51}"/>
    <hyperlink ref="B22" r:id="rId39" xr:uid="{58843022-1CE5-48E3-8186-87BEDD465547}"/>
    <hyperlink ref="C22" r:id="rId40" xr:uid="{474B4371-550A-4658-B2B6-431974404B4C}"/>
    <hyperlink ref="B23" r:id="rId41" xr:uid="{2D313CCC-4C12-40BA-BC14-DD8C5886ABC3}"/>
    <hyperlink ref="C23" r:id="rId42" xr:uid="{7CE920B2-095E-47A8-A4E2-F3B8995F7AD5}"/>
    <hyperlink ref="B24" r:id="rId43" xr:uid="{53DEB0DB-CAB6-4E33-A68D-A9D98912F9D1}"/>
    <hyperlink ref="C24" r:id="rId44" xr:uid="{6EFE2E75-1BAB-4AFE-9296-859D0600916F}"/>
    <hyperlink ref="B25" r:id="rId45" xr:uid="{F5B9FB25-A843-4C56-88F8-E019B0AECC7B}"/>
    <hyperlink ref="C25" r:id="rId46" xr:uid="{6956AA28-C6A4-4998-A3D9-F8A8909DE4E9}"/>
    <hyperlink ref="B26" r:id="rId47" xr:uid="{7C3738E9-7815-4BDF-9688-A2B79194F5CF}"/>
    <hyperlink ref="C26" r:id="rId48" xr:uid="{910651AA-F78F-43F8-A90A-7F8057BBA143}"/>
    <hyperlink ref="B27" r:id="rId49" xr:uid="{245CE1F4-AC3A-4139-BA1E-789DC08F9B29}"/>
    <hyperlink ref="C27" r:id="rId50" xr:uid="{3A8337A0-9416-47F1-99D7-0DD76B72F28C}"/>
    <hyperlink ref="B28" r:id="rId51" xr:uid="{F7802AFA-98CC-4250-B3FB-6822D94F021B}"/>
    <hyperlink ref="C28" r:id="rId52" xr:uid="{33C41E52-EA3F-4710-8882-1CDC92A5A159}"/>
    <hyperlink ref="B29" r:id="rId53" xr:uid="{6261B89A-EC02-41C4-98DA-9A689164DCD8}"/>
    <hyperlink ref="C29" r:id="rId54" xr:uid="{466421B1-CF33-4508-9A55-34D8990F8002}"/>
    <hyperlink ref="B30" r:id="rId55" xr:uid="{1043DF5F-F764-4040-B23D-BB4D72CEF772}"/>
    <hyperlink ref="C30" r:id="rId56" xr:uid="{C24AA47C-4CBA-4AEE-871D-C81FD3188B9F}"/>
    <hyperlink ref="B31" r:id="rId57" xr:uid="{2579152F-5ECA-4CE1-BD11-F34DA9F1F13C}"/>
    <hyperlink ref="C31" r:id="rId58" xr:uid="{434467DB-0647-47D9-8C1B-44488EF736CE}"/>
    <hyperlink ref="B32" r:id="rId59" xr:uid="{43C7B884-0C95-4F8B-9B5D-CD12A5BC0DBA}"/>
    <hyperlink ref="C32" r:id="rId60" xr:uid="{26415B38-412F-4208-93D6-F49A2A547AAD}"/>
    <hyperlink ref="B33" r:id="rId61" xr:uid="{45A8D0FB-A9B6-4AE3-801B-82308DCD05C3}"/>
    <hyperlink ref="C33" r:id="rId62" xr:uid="{57A32058-F6FA-464B-B114-182894841A0E}"/>
    <hyperlink ref="B34" r:id="rId63" xr:uid="{478B97CE-3C7D-4F81-BD9A-8913D8EBD932}"/>
    <hyperlink ref="C34" r:id="rId64" xr:uid="{7C73ABC9-0EF5-4FCE-A9BE-518C66373A56}"/>
    <hyperlink ref="B35" r:id="rId65" xr:uid="{E6825E66-A890-4AD0-8A74-E36DAC01BCD7}"/>
    <hyperlink ref="C35" r:id="rId66" xr:uid="{5A153CA3-BA32-4409-BA84-A23F7EF6B9ED}"/>
    <hyperlink ref="B36" r:id="rId67" xr:uid="{A756B747-6EBC-4CC7-BBDF-E5738E8C8F45}"/>
    <hyperlink ref="C36" r:id="rId68" xr:uid="{BAE350DC-7D2A-4BAA-AEA1-365EDD6D3788}"/>
    <hyperlink ref="B37" r:id="rId69" xr:uid="{0121ABBE-4662-4282-8EF6-86E5729B1C86}"/>
    <hyperlink ref="C37" r:id="rId70" xr:uid="{CADB2F4E-C323-449D-B8F5-CDE19AD31AC8}"/>
    <hyperlink ref="B38" r:id="rId71" xr:uid="{C7CCDA22-5648-4EDA-9343-AAD307DC5D80}"/>
    <hyperlink ref="C38" r:id="rId72" xr:uid="{DE9E0A15-A732-4DE1-B8F5-6A64AF83B433}"/>
    <hyperlink ref="B39" r:id="rId73" xr:uid="{CAE36FA5-9898-426F-A8C2-DD802FCB1116}"/>
    <hyperlink ref="C39" r:id="rId74" xr:uid="{D5148940-1BEB-41AA-AE28-EE15A4BB6879}"/>
    <hyperlink ref="B40" r:id="rId75" xr:uid="{685D9F76-975A-42A9-9FBC-2447F4DE80AE}"/>
    <hyperlink ref="C40" r:id="rId76" xr:uid="{5BA8F802-DACA-483B-A798-6DBDB17F5A67}"/>
    <hyperlink ref="B41" r:id="rId77" xr:uid="{2EEB9B28-EB21-4A79-A25D-614151D6A93D}"/>
    <hyperlink ref="C41" r:id="rId78" xr:uid="{115DE6BB-F403-41BC-97A5-4510CA4F0B33}"/>
    <hyperlink ref="B42" r:id="rId79" xr:uid="{450E569D-0CC2-44A8-8A2D-5B3CE2CC80D4}"/>
    <hyperlink ref="C42" r:id="rId80" xr:uid="{1B4807E9-0E75-4DAD-9A17-280D39E6649F}"/>
    <hyperlink ref="B43" r:id="rId81" xr:uid="{F7EA62B2-9FB4-4E2B-ADAB-89EA0DFC2550}"/>
    <hyperlink ref="C43" r:id="rId82" xr:uid="{EB1A8DAE-AD7E-44F9-8125-4405388B33B9}"/>
    <hyperlink ref="B44" r:id="rId83" xr:uid="{6B691C33-FA2D-4FF9-96AB-87002582DABE}"/>
    <hyperlink ref="C44" r:id="rId84" xr:uid="{1A9263EA-D37B-4BCA-A9CB-4C3B82AB418F}"/>
    <hyperlink ref="B45" r:id="rId85" xr:uid="{D2B62C67-22E2-4443-B614-964AB8601D62}"/>
    <hyperlink ref="C45" r:id="rId86" xr:uid="{68526D00-A7EC-4997-BA04-A9E89FDE58D4}"/>
    <hyperlink ref="B46" r:id="rId87" xr:uid="{A584588F-E016-4437-91AF-FC67C890DBCD}"/>
    <hyperlink ref="C46" r:id="rId88" xr:uid="{060C25E9-9944-45DF-965C-7DDDFE34AD13}"/>
    <hyperlink ref="B47" r:id="rId89" xr:uid="{5D1F15C1-EF86-43EF-B6BF-AEABA7697319}"/>
    <hyperlink ref="C47" r:id="rId90" xr:uid="{70DEEF1C-14C6-4561-89C0-50CA027AA57D}"/>
    <hyperlink ref="B48" r:id="rId91" xr:uid="{FAE72D1A-B5FB-49C2-B15A-CE9BD01E6FDB}"/>
    <hyperlink ref="C48" r:id="rId92" xr:uid="{A9966200-676A-46FB-809E-0BA2FFD3B21F}"/>
    <hyperlink ref="B49" r:id="rId93" xr:uid="{3F1FE7D8-2F73-47B5-A21F-C1BDE756AE4B}"/>
    <hyperlink ref="C49" r:id="rId94" xr:uid="{6D8ACE16-0DBF-4622-8114-620C24A336CD}"/>
    <hyperlink ref="B50" r:id="rId95" xr:uid="{68AB9A15-BBC8-482F-AD35-FB5B05BAAF97}"/>
    <hyperlink ref="C50" r:id="rId96" xr:uid="{7E51A4CD-114C-49E0-91C9-B07936B6AD28}"/>
    <hyperlink ref="B51" r:id="rId97" xr:uid="{BD45A4EA-7531-46DD-80BF-2E233320B6AD}"/>
    <hyperlink ref="C51" r:id="rId98" xr:uid="{C1E336F6-9219-42F2-8BA2-A1E105ED3FD1}"/>
    <hyperlink ref="B52" r:id="rId99" xr:uid="{9B8BD581-E160-4DD6-8984-C004165B38CA}"/>
    <hyperlink ref="C52" r:id="rId100" xr:uid="{6059515E-96B0-4B86-9CF0-259C673B9234}"/>
    <hyperlink ref="B53" r:id="rId101" xr:uid="{F14FB29C-03F6-46FF-942F-CE2F6D297A01}"/>
    <hyperlink ref="C53" r:id="rId102" xr:uid="{E6C91E17-2954-49DB-B630-F63A0FBA2BFE}"/>
    <hyperlink ref="B54" r:id="rId103" xr:uid="{A7D936FE-4586-4854-A156-007F636C98A6}"/>
    <hyperlink ref="C54" r:id="rId104" xr:uid="{458E2B6F-EA4F-4EDF-8BA8-B95E46ECD798}"/>
    <hyperlink ref="B55" r:id="rId105" xr:uid="{2FD3E8EA-E148-4CD6-A257-7928CCAC71C7}"/>
    <hyperlink ref="C55" r:id="rId106" xr:uid="{E42ECE25-4353-4953-85C4-2FE1100AF863}"/>
    <hyperlink ref="B56" r:id="rId107" xr:uid="{C8744133-1FBB-452C-AB3C-7AEAB5662371}"/>
    <hyperlink ref="C56" r:id="rId108" xr:uid="{946B7605-9C18-402C-AC79-A6FAE6900DE5}"/>
    <hyperlink ref="B57" r:id="rId109" xr:uid="{E4A7800C-5555-4521-A871-7241AC7A3F56}"/>
    <hyperlink ref="C57" r:id="rId110" xr:uid="{B87301A8-546E-44F5-8F6B-AA9BC58B8861}"/>
    <hyperlink ref="B58" r:id="rId111" xr:uid="{62E826F7-734F-4858-A23D-472C2553D6EF}"/>
    <hyperlink ref="C58" r:id="rId112" xr:uid="{0949EECF-B49A-46FF-90CA-8328DD21BC65}"/>
    <hyperlink ref="B59" r:id="rId113" xr:uid="{52C0866A-DFE9-4459-A78A-0850F4112EF6}"/>
    <hyperlink ref="C59" r:id="rId114" xr:uid="{2E94CDC7-403B-411C-882D-BCB5B3448F5C}"/>
    <hyperlink ref="B60" r:id="rId115" xr:uid="{6F303FF3-1D0E-47E4-992E-F48A512C4189}"/>
    <hyperlink ref="C60" r:id="rId116" xr:uid="{0A44DE2C-F54E-4823-AE6D-3006F88B4436}"/>
    <hyperlink ref="B61" r:id="rId117" xr:uid="{BCF259C6-522A-404B-ABEF-683AF3A397FF}"/>
    <hyperlink ref="C61" r:id="rId118" xr:uid="{7282BBCB-9506-40B3-A584-D7FF1FE0C1B9}"/>
    <hyperlink ref="B62" r:id="rId119" xr:uid="{9C7A0BF5-6ADF-4D90-986B-4E3DA94DFD75}"/>
    <hyperlink ref="C62" r:id="rId120" xr:uid="{050AEA3D-DFEC-4C8C-BE5D-8855A0BC7981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C120-04B1-4DA6-9A46-E0B45CF9C54E}">
  <sheetPr codeName="Sheet24">
    <tabColor theme="7" tint="-0.249977111117893"/>
  </sheetPr>
  <dimension ref="A1:R35"/>
  <sheetViews>
    <sheetView zoomScale="90" zoomScaleNormal="90" workbookViewId="0">
      <selection sqref="A1:D1"/>
    </sheetView>
  </sheetViews>
  <sheetFormatPr defaultRowHeight="14.5"/>
  <cols>
    <col min="1" max="1" width="8.7265625" customWidth="1"/>
    <col min="2" max="2" width="53.54296875" hidden="1" customWidth="1"/>
    <col min="3" max="3" width="77.26953125" hidden="1" customWidth="1"/>
    <col min="4" max="4" width="57.54296875" customWidth="1"/>
    <col min="5" max="6" width="11" bestFit="1" customWidth="1"/>
    <col min="7" max="7" width="18.54296875" bestFit="1" customWidth="1"/>
    <col min="8" max="9" width="17.81640625" bestFit="1" customWidth="1"/>
    <col min="10" max="12" width="10.453125" bestFit="1" customWidth="1"/>
    <col min="13" max="13" width="13.7265625" bestFit="1" customWidth="1"/>
    <col min="14" max="14" width="12.453125" bestFit="1" customWidth="1"/>
    <col min="15" max="15" width="27.81640625" customWidth="1"/>
    <col min="16" max="16" width="43.453125" bestFit="1" customWidth="1"/>
    <col min="17" max="17" width="18.81640625" bestFit="1" customWidth="1"/>
    <col min="18" max="18" width="9" bestFit="1" customWidth="1"/>
  </cols>
  <sheetData>
    <row r="1" spans="1:18" s="133" customFormat="1" ht="21">
      <c r="A1" s="167" t="s">
        <v>3448</v>
      </c>
      <c r="B1" s="167"/>
      <c r="C1" s="167"/>
      <c r="D1" s="167"/>
    </row>
    <row r="2" spans="1:18" ht="15" customHeight="1">
      <c r="A2" s="120" t="s">
        <v>3344</v>
      </c>
      <c r="B2" s="120" t="s">
        <v>1</v>
      </c>
      <c r="C2" s="120" t="s">
        <v>3299</v>
      </c>
      <c r="D2" s="120" t="s">
        <v>3388</v>
      </c>
      <c r="E2" s="121" t="s">
        <v>3</v>
      </c>
      <c r="F2" s="122" t="s">
        <v>4</v>
      </c>
      <c r="G2" s="121" t="s">
        <v>5</v>
      </c>
      <c r="H2" s="123" t="s">
        <v>6</v>
      </c>
      <c r="I2" s="123" t="s">
        <v>7</v>
      </c>
      <c r="J2" s="121" t="s">
        <v>9</v>
      </c>
      <c r="K2" s="121" t="s">
        <v>10</v>
      </c>
      <c r="L2" s="121" t="s">
        <v>11</v>
      </c>
      <c r="M2" s="124" t="s">
        <v>3319</v>
      </c>
      <c r="N2" s="124" t="s">
        <v>3323</v>
      </c>
      <c r="O2" s="124" t="s">
        <v>3324</v>
      </c>
      <c r="P2" s="124" t="s">
        <v>3325</v>
      </c>
      <c r="Q2" s="120" t="s">
        <v>3367</v>
      </c>
      <c r="R2" s="120" t="s">
        <v>3387</v>
      </c>
    </row>
    <row r="3" spans="1:18" ht="15" customHeight="1">
      <c r="A3" s="71">
        <v>3363</v>
      </c>
      <c r="B3" t="s">
        <v>3305</v>
      </c>
      <c r="D3" s="6" t="s">
        <v>3305</v>
      </c>
      <c r="E3" s="7">
        <v>0.41700000000000004</v>
      </c>
      <c r="G3" s="11">
        <v>45733.425694444442</v>
      </c>
      <c r="H3" s="11">
        <v>45733.428472222222</v>
      </c>
      <c r="I3" s="11">
        <v>45733.431250000001</v>
      </c>
      <c r="J3">
        <v>1</v>
      </c>
      <c r="K3">
        <v>1</v>
      </c>
      <c r="L3">
        <v>1</v>
      </c>
      <c r="M3">
        <f>IF(COUNTA(https___leetcode_com_problemse__11[[#This Row],[Passed1]:[Passed3]])=0, "", IF(SUM(https___leetcode_com_problemse__11[[#This Row],[Passed1]:[Passed3]])&gt;1, 1, 0))</f>
        <v>1</v>
      </c>
      <c r="R3" s="7" cm="1">
        <f t="array" ref="R3">SUM((https___leetcode_com_problemse__11[[#This Row],[Passed1]:[Passed3]])/3)</f>
        <v>1</v>
      </c>
    </row>
    <row r="4" spans="1:18" ht="15" customHeight="1">
      <c r="A4">
        <v>3367</v>
      </c>
      <c r="B4" t="s">
        <v>3309</v>
      </c>
      <c r="C4" t="s">
        <v>1443</v>
      </c>
      <c r="D4" s="6" t="str">
        <f>HYPERLINK(https___leetcode_com_problemse__11[[#This Row],[Column2]],https___leetcode_com_problemse__11[[#This Row],[Problem Link]])</f>
        <v>Maximize Sum of Weights after Edge Removals</v>
      </c>
      <c r="E4" s="7">
        <v>0.30099999999999999</v>
      </c>
      <c r="G4" s="11">
        <v>45731.736388888887</v>
      </c>
      <c r="H4" s="11">
        <v>45731.737314814818</v>
      </c>
      <c r="I4" s="11">
        <v>45731.738252314812</v>
      </c>
      <c r="J4">
        <v>1</v>
      </c>
      <c r="K4">
        <v>1</v>
      </c>
      <c r="L4">
        <v>1</v>
      </c>
      <c r="M4">
        <f>IF(COUNTA(https___leetcode_com_problemse__11[[#This Row],[Passed1]:[Passed3]])=0, "", IF(SUM(https___leetcode_com_problemse__11[[#This Row],[Passed1]:[Passed3]])&gt;1, 1, 0))</f>
        <v>1</v>
      </c>
      <c r="R4" s="7" cm="1">
        <f t="array" ref="R4">SUM((https___leetcode_com_problemse__11[[#This Row],[Passed1]:[Passed3]])/3)</f>
        <v>1</v>
      </c>
    </row>
    <row r="5" spans="1:18" ht="15" customHeight="1">
      <c r="A5" s="71">
        <v>3374</v>
      </c>
      <c r="B5" s="72" t="s">
        <v>3303</v>
      </c>
      <c r="C5" s="4" t="s">
        <v>445</v>
      </c>
      <c r="D5" s="6" t="str">
        <f>HYPERLINK(https___leetcode_com_problemse__11[[#This Row],[Column2]],https___leetcode_com_problemse__11[[#This Row],[Problem Link]])</f>
        <v>Maximize the Number of Target Nodes After Connecting Trees II</v>
      </c>
      <c r="E5" s="7">
        <v>0.58099999999999996</v>
      </c>
      <c r="G5" s="11">
        <v>45733.415972222225</v>
      </c>
      <c r="H5" s="11">
        <v>45733.418749999997</v>
      </c>
      <c r="I5" s="11">
        <v>45733.421527777777</v>
      </c>
      <c r="J5">
        <v>1</v>
      </c>
      <c r="K5">
        <v>1</v>
      </c>
      <c r="L5">
        <v>1</v>
      </c>
      <c r="M5">
        <f>IF(COUNTA(https___leetcode_com_problemse__11[[#This Row],[Passed1]:[Passed3]])=0, "", IF(SUM(https___leetcode_com_problemse__11[[#This Row],[Passed1]:[Passed3]])&gt;1, 1, 0))</f>
        <v>1</v>
      </c>
      <c r="R5" s="7" cm="1">
        <f t="array" ref="R5">SUM((https___leetcode_com_problemse__11[[#This Row],[Passed1]:[Passed3]])/3)</f>
        <v>1</v>
      </c>
    </row>
    <row r="6" spans="1:18" ht="15" customHeight="1">
      <c r="A6" s="71">
        <v>3378</v>
      </c>
      <c r="B6" s="72" t="s">
        <v>3310</v>
      </c>
      <c r="C6" s="4" t="s">
        <v>1469</v>
      </c>
      <c r="D6" s="6" t="str">
        <f>HYPERLINK(https___leetcode_com_problemse__11[[#This Row],[Column2]],https___leetcode_com_problemse__11[[#This Row],[Problem Link]])</f>
        <v>Count Connected Components in LCM Graph</v>
      </c>
      <c r="E6" s="7">
        <v>0.28899999999999998</v>
      </c>
      <c r="G6" s="11">
        <v>45733.40347222222</v>
      </c>
      <c r="H6" s="11">
        <v>45733.406944444447</v>
      </c>
      <c r="I6" s="11">
        <v>45733.411111111112</v>
      </c>
      <c r="J6">
        <v>1</v>
      </c>
      <c r="K6">
        <v>1</v>
      </c>
      <c r="L6">
        <v>1</v>
      </c>
      <c r="M6">
        <f>IF(COUNTA(https___leetcode_com_problemse__11[[#This Row],[Passed1]:[Passed3]])=0, "", IF(SUM(https___leetcode_com_problemse__11[[#This Row],[Passed1]:[Passed3]])&gt;1, 1, 0))</f>
        <v>1</v>
      </c>
      <c r="Q6" t="s">
        <v>3379</v>
      </c>
      <c r="R6" s="7" cm="1">
        <f t="array" ref="R6">SUM((https___leetcode_com_problemse__11[[#This Row],[Passed1]:[Passed3]])/3)</f>
        <v>1</v>
      </c>
    </row>
    <row r="7" spans="1:18" ht="15" customHeight="1">
      <c r="A7" s="71">
        <v>3382</v>
      </c>
      <c r="B7" s="72" t="s">
        <v>3312</v>
      </c>
      <c r="C7" s="4" t="s">
        <v>1591</v>
      </c>
      <c r="D7" s="6" t="str">
        <f>HYPERLINK(https___leetcode_com_problemse__11[[#This Row],[Column2]],https___leetcode_com_problemse__11[[#This Row],[Problem Link]])</f>
        <v>Maximum Area Rectangle With Point Constraints II</v>
      </c>
      <c r="E7" s="7">
        <v>0.21199999999999999</v>
      </c>
      <c r="G7" s="11">
        <v>45733.394444444442</v>
      </c>
      <c r="H7" s="11">
        <v>45733.397222222222</v>
      </c>
      <c r="I7" s="11">
        <v>45733.400694444441</v>
      </c>
      <c r="J7">
        <v>0</v>
      </c>
      <c r="K7">
        <v>1</v>
      </c>
      <c r="L7">
        <v>1</v>
      </c>
      <c r="M7">
        <f>IF(COUNTA(https___leetcode_com_problemse__11[[#This Row],[Passed1]:[Passed3]])=0, "", IF(SUM(https___leetcode_com_problemse__11[[#This Row],[Passed1]:[Passed3]])&gt;1, 1, 0))</f>
        <v>1</v>
      </c>
      <c r="N7" t="s">
        <v>3364</v>
      </c>
      <c r="R7" s="7" cm="1">
        <f t="array" ref="R7">SUM((https___leetcode_com_problemse__11[[#This Row],[Passed1]:[Passed3]])/3)</f>
        <v>0.66666666666666663</v>
      </c>
    </row>
    <row r="8" spans="1:18" ht="15" customHeight="1">
      <c r="A8" s="71">
        <v>3389</v>
      </c>
      <c r="B8" s="72" t="s">
        <v>3311</v>
      </c>
      <c r="C8" s="4" t="s">
        <v>1548</v>
      </c>
      <c r="D8" s="6" t="str">
        <f>HYPERLINK(https___leetcode_com_problemse__11[[#This Row],[Column2]],https___leetcode_com_problemse__11[[#This Row],[Problem Link]])</f>
        <v>Minimum Operations to Make Character Frequencies Equal</v>
      </c>
      <c r="E8" s="7">
        <v>0.245</v>
      </c>
      <c r="G8" s="11">
        <v>45733.379861111112</v>
      </c>
      <c r="H8" s="11">
        <v>45733.384722222225</v>
      </c>
      <c r="I8" s="11">
        <v>45733.39166666667</v>
      </c>
      <c r="J8">
        <v>0</v>
      </c>
      <c r="K8">
        <v>0</v>
      </c>
      <c r="L8">
        <v>0</v>
      </c>
      <c r="M8">
        <f>IF(COUNTA(https___leetcode_com_problemse__11[[#This Row],[Passed1]:[Passed3]])=0, "", IF(SUM(https___leetcode_com_problemse__11[[#This Row],[Passed1]:[Passed3]])&gt;1, 1, 0))</f>
        <v>0</v>
      </c>
      <c r="N8" t="s">
        <v>3364</v>
      </c>
      <c r="O8" t="s">
        <v>3378</v>
      </c>
      <c r="P8" t="s">
        <v>3364</v>
      </c>
      <c r="R8" s="7" cm="1">
        <f t="array" ref="R8">SUM((https___leetcode_com_problemse__11[[#This Row],[Passed1]:[Passed3]])/3)</f>
        <v>0</v>
      </c>
    </row>
    <row r="9" spans="1:18" ht="15" customHeight="1">
      <c r="A9" s="71">
        <v>3395</v>
      </c>
      <c r="B9" s="72" t="s">
        <v>3317</v>
      </c>
      <c r="C9" s="4" t="s">
        <v>1627</v>
      </c>
      <c r="D9" s="6" t="str">
        <f>HYPERLINK(https___leetcode_com_problemse__11[[#This Row],[Column2]],https___leetcode_com_problemse__11[[#This Row],[Problem Link]])</f>
        <v>Subsequences with a Unique Middle Mode I</v>
      </c>
      <c r="E9" s="7">
        <v>0.17699999999999999</v>
      </c>
      <c r="G9" s="11">
        <v>45730.631944444445</v>
      </c>
      <c r="H9" s="11">
        <v>45730.635416666664</v>
      </c>
      <c r="I9" s="11">
        <v>45733.375694444447</v>
      </c>
      <c r="J9">
        <v>0</v>
      </c>
      <c r="K9">
        <v>0</v>
      </c>
      <c r="L9">
        <v>0</v>
      </c>
      <c r="M9">
        <f>IF(COUNTA(https___leetcode_com_problemse__11[[#This Row],[Passed1]:[Passed3]])=0, "", IF(SUM(https___leetcode_com_problemse__11[[#This Row],[Passed1]:[Passed3]])&gt;1, 1, 0))</f>
        <v>0</v>
      </c>
      <c r="N9" t="s">
        <v>3364</v>
      </c>
      <c r="O9" t="s">
        <v>3373</v>
      </c>
      <c r="P9" t="s">
        <v>3377</v>
      </c>
      <c r="Q9" t="s">
        <v>3372</v>
      </c>
      <c r="R9" s="7" cm="1">
        <f t="array" ref="R9">SUM((https___leetcode_com_problemse__11[[#This Row],[Passed1]:[Passed3]])/3)</f>
        <v>0</v>
      </c>
    </row>
    <row r="10" spans="1:18" ht="15" customHeight="1">
      <c r="A10" s="71">
        <v>3398</v>
      </c>
      <c r="B10" s="72" t="s">
        <v>3314</v>
      </c>
      <c r="C10" s="4" t="s">
        <v>1605</v>
      </c>
      <c r="D10" s="6" t="str">
        <f>HYPERLINK(https___leetcode_com_problemse__11[[#This Row],[Column2]],https___leetcode_com_problemse__11[[#This Row],[Problem Link]])</f>
        <v>Smallest Substring With Identical Characters I</v>
      </c>
      <c r="E10" s="7">
        <v>0.192</v>
      </c>
      <c r="G10" s="11">
        <v>45730.619444444441</v>
      </c>
      <c r="H10" s="11">
        <v>45730.621527777781</v>
      </c>
      <c r="I10" s="11">
        <v>45730.625</v>
      </c>
      <c r="J10">
        <v>1</v>
      </c>
      <c r="K10">
        <v>1</v>
      </c>
      <c r="L10">
        <v>1</v>
      </c>
      <c r="M10">
        <f>IF(COUNTA(https___leetcode_com_problemse__11[[#This Row],[Passed1]:[Passed3]])=0, "", IF(SUM(https___leetcode_com_problemse__11[[#This Row],[Passed1]:[Passed3]])&gt;1, 1, 0))</f>
        <v>1</v>
      </c>
      <c r="R10" s="7" cm="1">
        <f t="array" ref="R10">SUM((https___leetcode_com_problemse__11[[#This Row],[Passed1]:[Passed3]])/3)</f>
        <v>1</v>
      </c>
    </row>
    <row r="11" spans="1:18" ht="15" customHeight="1">
      <c r="A11" s="71">
        <v>3399</v>
      </c>
      <c r="B11" s="72" t="s">
        <v>3304</v>
      </c>
      <c r="C11" s="4" t="s">
        <v>908</v>
      </c>
      <c r="D11" s="6" t="str">
        <f>HYPERLINK(https___leetcode_com_problemse__11[[#This Row],[Column2]],https___leetcode_com_problemse__11[[#This Row],[Problem Link]])</f>
        <v>Smallest Substring With Identical Characters II</v>
      </c>
      <c r="E11" s="7">
        <v>0.44400000000000001</v>
      </c>
      <c r="G11" s="11">
        <v>45730.606944444444</v>
      </c>
      <c r="H11" s="11">
        <v>45730.609027777777</v>
      </c>
      <c r="I11" s="11">
        <v>45730.614583333336</v>
      </c>
      <c r="J11">
        <v>1</v>
      </c>
      <c r="K11">
        <v>0</v>
      </c>
      <c r="L11">
        <v>1</v>
      </c>
      <c r="M11">
        <f>IF(COUNTA(https___leetcode_com_problemse__11[[#This Row],[Passed1]:[Passed3]])=0, "", IF(SUM(https___leetcode_com_problemse__11[[#This Row],[Passed1]:[Passed3]])&gt;1, 1, 0))</f>
        <v>1</v>
      </c>
      <c r="O11" t="s">
        <v>3364</v>
      </c>
      <c r="R11" s="7" cm="1">
        <f t="array" ref="R11">SUM((https___leetcode_com_problemse__11[[#This Row],[Passed1]:[Passed3]])/3)</f>
        <v>0.66666666666666663</v>
      </c>
    </row>
    <row r="12" spans="1:18" ht="15" customHeight="1">
      <c r="A12" s="73">
        <v>3405</v>
      </c>
      <c r="B12" s="72" t="s">
        <v>3306</v>
      </c>
      <c r="C12" s="4" t="s">
        <v>1199</v>
      </c>
      <c r="D12" s="6" t="str">
        <f>HYPERLINK(https___leetcode_com_problemse__11[[#This Row],[Column2]],https___leetcode_com_problemse__11[[#This Row],[Problem Link]])</f>
        <v>Count the Number of Arrays with K Matching Adjacent Elements</v>
      </c>
      <c r="E12" s="7">
        <v>0.377</v>
      </c>
      <c r="G12" s="11">
        <v>45731.807442129626</v>
      </c>
      <c r="H12" s="11">
        <v>45731.809189814812</v>
      </c>
      <c r="I12" s="11">
        <v>45731.809444444443</v>
      </c>
      <c r="J12">
        <v>1</v>
      </c>
      <c r="K12">
        <v>1</v>
      </c>
      <c r="L12">
        <v>1</v>
      </c>
      <c r="M12">
        <f>IF(COUNTA(https___leetcode_com_problemse__11[[#This Row],[Passed1]:[Passed3]])=0, "", IF(SUM(https___leetcode_com_problemse__11[[#This Row],[Passed1]:[Passed3]])&gt;1, 1, 0))</f>
        <v>1</v>
      </c>
      <c r="R12" s="7" cm="1">
        <f t="array" ref="R12">SUM((https___leetcode_com_problemse__11[[#This Row],[Passed1]:[Passed3]])/3)</f>
        <v>1</v>
      </c>
    </row>
    <row r="13" spans="1:18" ht="15" customHeight="1">
      <c r="A13" s="73">
        <v>3410</v>
      </c>
      <c r="B13" s="72" t="s">
        <v>3316</v>
      </c>
      <c r="C13" s="4" t="s">
        <v>1611</v>
      </c>
      <c r="D13" s="6" t="str">
        <f>HYPERLINK(https___leetcode_com_problemse__11[[#This Row],[Column2]],https___leetcode_com_problemse__11[[#This Row],[Problem Link]])</f>
        <v>Maximize Subarray Sum After Removing All Occurrences of One Element</v>
      </c>
      <c r="E13" s="7">
        <v>0.19699999999999998</v>
      </c>
      <c r="G13" s="11">
        <v>45731.798680555556</v>
      </c>
      <c r="H13" s="11">
        <v>45731.803101851852</v>
      </c>
      <c r="I13" s="11">
        <v>45731.804756944446</v>
      </c>
      <c r="J13">
        <v>0</v>
      </c>
      <c r="K13">
        <v>1</v>
      </c>
      <c r="L13">
        <v>0</v>
      </c>
      <c r="M13">
        <f>IF(COUNTA(https___leetcode_com_problemse__11[[#This Row],[Passed1]:[Passed3]])=0, "", IF(SUM(https___leetcode_com_problemse__11[[#This Row],[Passed1]:[Passed3]])&gt;1, 1, 0))</f>
        <v>0</v>
      </c>
      <c r="N13" t="s">
        <v>3364</v>
      </c>
      <c r="P13" t="s">
        <v>3376</v>
      </c>
      <c r="R13" s="7" cm="1">
        <f t="array" ref="R13">SUM((https___leetcode_com_problemse__11[[#This Row],[Passed1]:[Passed3]])/3)</f>
        <v>0.33333333333333331</v>
      </c>
    </row>
    <row r="14" spans="1:18" ht="15" customHeight="1">
      <c r="A14" s="73">
        <v>3414</v>
      </c>
      <c r="B14" s="72" t="s">
        <v>3308</v>
      </c>
      <c r="C14" s="4" t="s">
        <v>1374</v>
      </c>
      <c r="D14" s="6" t="str">
        <f>HYPERLINK(https___leetcode_com_problemse__11[[#This Row],[Column2]],https___leetcode_com_problemse__11[[#This Row],[Problem Link]])</f>
        <v>Maximum Score of Non-overlapping Intervals</v>
      </c>
      <c r="E14" s="7">
        <v>0.32400000000000001</v>
      </c>
      <c r="G14" s="11">
        <v>45731.778969907406</v>
      </c>
      <c r="H14" s="11">
        <v>45731.780555555553</v>
      </c>
      <c r="I14" s="11">
        <v>45731.781851851854</v>
      </c>
      <c r="J14">
        <v>1</v>
      </c>
      <c r="K14">
        <v>0</v>
      </c>
      <c r="L14">
        <v>0</v>
      </c>
      <c r="M14">
        <f>IF(COUNTA(https___leetcode_com_problemse__11[[#This Row],[Passed1]:[Passed3]])=0, "", IF(SUM(https___leetcode_com_problemse__11[[#This Row],[Passed1]:[Passed3]])&gt;1, 1, 0))</f>
        <v>0</v>
      </c>
      <c r="O14" t="s">
        <v>3364</v>
      </c>
      <c r="P14" t="s">
        <v>3364</v>
      </c>
      <c r="R14" s="7" cm="1">
        <f t="array" ref="R14">SUM((https___leetcode_com_problemse__11[[#This Row],[Passed1]:[Passed3]])/3)</f>
        <v>0.33333333333333331</v>
      </c>
    </row>
    <row r="15" spans="1:18" ht="15" customHeight="1">
      <c r="A15" s="73">
        <v>3420</v>
      </c>
      <c r="B15" s="72" t="s">
        <v>3313</v>
      </c>
      <c r="C15" s="4" t="s">
        <v>1593</v>
      </c>
      <c r="D15" s="6" t="str">
        <f>HYPERLINK(https___leetcode_com_problemse__11[[#This Row],[Column2]],https___leetcode_com_problemse__11[[#This Row],[Problem Link]])</f>
        <v>Count Non-Decreasing Subarrays After K Operations</v>
      </c>
      <c r="E15" s="7">
        <v>0.21299999999999999</v>
      </c>
      <c r="G15" s="11">
        <v>45731.761712962965</v>
      </c>
      <c r="H15" s="11">
        <v>45731.765509259261</v>
      </c>
      <c r="I15" s="11">
        <v>45731.769074074073</v>
      </c>
      <c r="J15">
        <v>0</v>
      </c>
      <c r="K15">
        <v>0</v>
      </c>
      <c r="L15">
        <v>0</v>
      </c>
      <c r="M15">
        <f>IF(COUNTA(https___leetcode_com_problemse__11[[#This Row],[Passed1]:[Passed3]])=0, "", IF(SUM(https___leetcode_com_problemse__11[[#This Row],[Passed1]:[Passed3]])&gt;1, 1, 0))</f>
        <v>0</v>
      </c>
      <c r="N15" t="s">
        <v>3364</v>
      </c>
      <c r="O15" t="s">
        <v>3375</v>
      </c>
      <c r="P15" t="s">
        <v>3375</v>
      </c>
      <c r="R15" s="7" cm="1">
        <f t="array" ref="R15">SUM((https___leetcode_com_problemse__11[[#This Row],[Passed1]:[Passed3]])/3)</f>
        <v>0</v>
      </c>
    </row>
    <row r="16" spans="1:18" ht="15" customHeight="1">
      <c r="A16" s="73">
        <v>3425</v>
      </c>
      <c r="B16" s="72" t="s">
        <v>3315</v>
      </c>
      <c r="C16" s="4" t="s">
        <v>1607</v>
      </c>
      <c r="D16" s="6" t="str">
        <f>HYPERLINK(https___leetcode_com_problemse__11[[#This Row],[Column2]],https___leetcode_com_problemse__11[[#This Row],[Problem Link]])</f>
        <v>Longest Special Path</v>
      </c>
      <c r="E16" s="7">
        <v>0.193</v>
      </c>
      <c r="G16" s="11">
        <v>45731.750324074077</v>
      </c>
      <c r="H16" s="11">
        <v>45731.752372685187</v>
      </c>
      <c r="I16" s="11">
        <v>45731.753576388888</v>
      </c>
      <c r="J16">
        <v>1</v>
      </c>
      <c r="K16">
        <v>1</v>
      </c>
      <c r="L16">
        <v>0</v>
      </c>
      <c r="M16">
        <f>IF(COUNTA(https___leetcode_com_problemse__11[[#This Row],[Passed1]:[Passed3]])=0, "", IF(SUM(https___leetcode_com_problemse__11[[#This Row],[Passed1]:[Passed3]])&gt;1, 1, 0))</f>
        <v>1</v>
      </c>
      <c r="P16" t="s">
        <v>3374</v>
      </c>
      <c r="R16" s="7" cm="1">
        <f t="array" ref="R16">SUM((https___leetcode_com_problemse__11[[#This Row],[Passed1]:[Passed3]])/3)</f>
        <v>0.66666666666666663</v>
      </c>
    </row>
    <row r="17" spans="1:18" ht="15" customHeight="1">
      <c r="A17" s="73">
        <v>3426</v>
      </c>
      <c r="B17" s="72" t="s">
        <v>3307</v>
      </c>
      <c r="C17" s="4" t="s">
        <v>1280</v>
      </c>
      <c r="D17" s="6" t="str">
        <f>HYPERLINK(https___leetcode_com_problemse__11[[#This Row],[Column2]],https___leetcode_com_problemse__11[[#This Row],[Problem Link]])</f>
        <v>Manhattan Distances of All Arrangements of Pieces</v>
      </c>
      <c r="E17" s="7">
        <v>0.35600000000000004</v>
      </c>
      <c r="G17" s="11">
        <v>45731.743923611109</v>
      </c>
      <c r="H17" s="11">
        <v>45731.74695601852</v>
      </c>
      <c r="I17" s="11">
        <v>45731.74726851852</v>
      </c>
      <c r="J17">
        <v>1</v>
      </c>
      <c r="K17">
        <v>1</v>
      </c>
      <c r="L17">
        <v>1</v>
      </c>
      <c r="M17">
        <f>IF(COUNTA(https___leetcode_com_problemse__11[[#This Row],[Passed1]:[Passed3]])=0, "", IF(SUM(https___leetcode_com_problemse__11[[#This Row],[Passed1]:[Passed3]])&gt;1, 1, 0))</f>
        <v>1</v>
      </c>
      <c r="O17" t="s">
        <v>3364</v>
      </c>
      <c r="R17" s="7" cm="1">
        <f t="array" ref="R17">SUM((https___leetcode_com_problemse__11[[#This Row],[Passed1]:[Passed3]])/3)</f>
        <v>1</v>
      </c>
    </row>
    <row r="18" spans="1:18" ht="15" customHeight="1">
      <c r="A18">
        <v>3430</v>
      </c>
      <c r="B18" s="72" t="s">
        <v>3354</v>
      </c>
      <c r="C18" s="4" t="s">
        <v>3353</v>
      </c>
      <c r="D18" s="72" t="s">
        <v>3365</v>
      </c>
      <c r="E18" s="7">
        <v>0.63600000000000001</v>
      </c>
      <c r="G18" s="11">
        <v>45726.936006944445</v>
      </c>
      <c r="H18" s="11">
        <v>45726.939236111109</v>
      </c>
      <c r="I18" s="11">
        <v>45731.732199074075</v>
      </c>
      <c r="J18">
        <v>0</v>
      </c>
      <c r="K18">
        <v>1</v>
      </c>
      <c r="L18">
        <v>1</v>
      </c>
      <c r="M18">
        <f>IF(COUNTA(https___leetcode_com_problemse__11[[#This Row],[Passed1]:[Passed3]])=0, "", IF(SUM(https___leetcode_com_problemse__11[[#This Row],[Passed1]:[Passed3]])&gt;1, 1, 0))</f>
        <v>1</v>
      </c>
      <c r="N18" t="s">
        <v>3364</v>
      </c>
      <c r="R18" s="7" cm="1">
        <f t="array" ref="R18">SUM((https___leetcode_com_problemse__11[[#This Row],[Passed1]:[Passed3]])/3)</f>
        <v>0.66666666666666663</v>
      </c>
    </row>
    <row r="19" spans="1:18" ht="15" customHeight="1">
      <c r="A19">
        <v>3435</v>
      </c>
      <c r="B19" s="6" t="str">
        <f ca="1">HYPERLINK(https___leetcode_com_problemse__11[[#This Row],[Column2]],https___leetcode_com_problemse__11[[#This Row],[Problem Link]])</f>
        <v xml:space="preserve"> Frequencies of Shortest Supersequences</v>
      </c>
      <c r="C19" s="4" t="s">
        <v>1563</v>
      </c>
      <c r="D19" s="6" t="str">
        <f ca="1">HYPERLINK(https___leetcode_com_problemse__11[[#This Row],[Column2]],https___leetcode_com_problemse__11[[#This Row],[Problem Link]])</f>
        <v xml:space="preserve"> Frequencies of Shortest Supersequences</v>
      </c>
      <c r="E19" s="7">
        <v>0.24</v>
      </c>
      <c r="G19" s="11">
        <v>45726.847418981481</v>
      </c>
      <c r="H19" s="11">
        <v>45726.852164351854</v>
      </c>
      <c r="I19" s="11">
        <v>45726.853796296295</v>
      </c>
      <c r="J19">
        <v>1</v>
      </c>
      <c r="K19">
        <v>1</v>
      </c>
      <c r="L19">
        <v>1</v>
      </c>
      <c r="M19">
        <f>IF(COUNTA(https___leetcode_com_problemse__11[[#This Row],[Passed1]:[Passed3]])=0, "", IF(SUM(https___leetcode_com_problemse__11[[#This Row],[Passed1]:[Passed3]])&gt;1, 1, 0))</f>
        <v>1</v>
      </c>
      <c r="R19" s="7" cm="1">
        <f t="array" ref="R19">SUM((https___leetcode_com_problemse__11[[#This Row],[Passed1]:[Passed3]])/3)</f>
        <v>1</v>
      </c>
    </row>
    <row r="20" spans="1:18" ht="15" customHeight="1">
      <c r="A20">
        <v>3441</v>
      </c>
      <c r="B20" s="72" t="s">
        <v>1634</v>
      </c>
      <c r="C20" s="4" t="s">
        <v>1635</v>
      </c>
      <c r="D20" s="6" t="str">
        <f>HYPERLINK(https___leetcode_com_problemse__11[[#This Row],[Column2]],https___leetcode_com_problemse__11[[#This Row],[Problem Link]])</f>
        <v xml:space="preserve"> Minimum Cost Good Caption</v>
      </c>
      <c r="E20" s="7">
        <v>0.185</v>
      </c>
      <c r="G20" s="11">
        <v>45726.86515046296</v>
      </c>
      <c r="H20" s="11">
        <v>45726.868819444448</v>
      </c>
      <c r="I20" s="11">
        <v>45726.871863425928</v>
      </c>
      <c r="J20">
        <v>1</v>
      </c>
      <c r="K20">
        <v>1</v>
      </c>
      <c r="L20">
        <v>1</v>
      </c>
      <c r="M20">
        <f>IF(COUNTA(https___leetcode_com_problemse__11[[#This Row],[Passed1]:[Passed3]])=0, "", IF(SUM(https___leetcode_com_problemse__11[[#This Row],[Passed1]:[Passed3]])&gt;1, 1, 0))</f>
        <v>1</v>
      </c>
      <c r="R20" s="7" cm="1">
        <f t="array" ref="R20">SUM((https___leetcode_com_problemse__11[[#This Row],[Passed1]:[Passed3]])/3)</f>
        <v>1</v>
      </c>
    </row>
    <row r="21" spans="1:18" ht="15" customHeight="1">
      <c r="A21">
        <v>3444</v>
      </c>
      <c r="B21" s="72" t="s">
        <v>1543</v>
      </c>
      <c r="C21" s="4" t="s">
        <v>1544</v>
      </c>
      <c r="D21" s="6" t="str">
        <f>HYPERLINK(https___leetcode_com_problemse__11[[#This Row],[Column2]],https___leetcode_com_problemse__11[[#This Row],[Problem Link]])</f>
        <v xml:space="preserve"> Minimum Increments for Target Multiples in an Array</v>
      </c>
      <c r="E21" s="7">
        <v>0.254</v>
      </c>
      <c r="G21" s="11">
        <v>45726.873854166668</v>
      </c>
      <c r="H21" s="11">
        <v>45726.876620370371</v>
      </c>
      <c r="I21" s="11">
        <v>45726.877604166664</v>
      </c>
      <c r="J21">
        <v>1</v>
      </c>
      <c r="K21">
        <v>1</v>
      </c>
      <c r="L21">
        <v>1</v>
      </c>
      <c r="M21">
        <f>IF(COUNTA(https___leetcode_com_problemse__11[[#This Row],[Passed1]:[Passed3]])=0, "", IF(SUM(https___leetcode_com_problemse__11[[#This Row],[Passed1]:[Passed3]])&gt;1, 1, 0))</f>
        <v>1</v>
      </c>
      <c r="R21" s="7" cm="1">
        <f t="array" ref="R21">SUM((https___leetcode_com_problemse__11[[#This Row],[Passed1]:[Passed3]])/3)</f>
        <v>1</v>
      </c>
    </row>
    <row r="22" spans="1:18" ht="15" customHeight="1">
      <c r="A22">
        <v>3445</v>
      </c>
      <c r="B22" s="72" t="s">
        <v>1612</v>
      </c>
      <c r="C22" s="4" t="s">
        <v>1613</v>
      </c>
      <c r="D22" s="6" t="str">
        <f>HYPERLINK(https___leetcode_com_problemse__11[[#This Row],[Column2]],https___leetcode_com_problemse__11[[#This Row],[Problem Link]])</f>
        <v xml:space="preserve"> Maximum Difference Between Even and Odd Frequency II</v>
      </c>
      <c r="E22" s="7">
        <v>0.19</v>
      </c>
      <c r="G22" s="11">
        <v>45726.898414351854</v>
      </c>
      <c r="H22" s="11">
        <v>45726.90042824074</v>
      </c>
      <c r="I22" s="11">
        <v>45726.906412037039</v>
      </c>
      <c r="J22">
        <v>0</v>
      </c>
      <c r="K22">
        <v>0</v>
      </c>
      <c r="L22">
        <v>0</v>
      </c>
      <c r="M22">
        <f>IF(COUNTA(https___leetcode_com_problemse__11[[#This Row],[Passed1]:[Passed3]])=0, "", IF(SUM(https___leetcode_com_problemse__11[[#This Row],[Passed1]:[Passed3]])&gt;1, 1, 0))</f>
        <v>0</v>
      </c>
      <c r="N22" t="s">
        <v>3364</v>
      </c>
      <c r="O22" t="s">
        <v>3364</v>
      </c>
      <c r="P22" t="s">
        <v>3364</v>
      </c>
      <c r="R22" s="7" cm="1">
        <f t="array" ref="R22">SUM((https___leetcode_com_problemse__11[[#This Row],[Passed1]:[Passed3]])/3)</f>
        <v>0</v>
      </c>
    </row>
    <row r="23" spans="1:18" ht="15" customHeight="1">
      <c r="A23">
        <v>3448</v>
      </c>
      <c r="B23" s="72" t="s">
        <v>1622</v>
      </c>
      <c r="C23" s="4" t="s">
        <v>1623</v>
      </c>
      <c r="D23" s="6" t="str">
        <f>HYPERLINK(https___leetcode_com_problemse__11[[#This Row],[Column2]],https___leetcode_com_problemse__11[[#This Row],[Problem Link]])</f>
        <v xml:space="preserve"> Count Substrings Divisible By Last Digit</v>
      </c>
      <c r="E23" s="7">
        <v>0.20499999999999999</v>
      </c>
      <c r="G23" s="11">
        <v>45726.912280092591</v>
      </c>
      <c r="H23" s="11">
        <v>45726.919039351851</v>
      </c>
      <c r="I23" s="11">
        <v>45726.919398148151</v>
      </c>
      <c r="J23">
        <v>1</v>
      </c>
      <c r="K23">
        <v>0</v>
      </c>
      <c r="L23">
        <v>1</v>
      </c>
      <c r="M23">
        <f>IF(COUNTA(https___leetcode_com_problemse__11[[#This Row],[Passed1]:[Passed3]])=0, "", IF(SUM(https___leetcode_com_problemse__11[[#This Row],[Passed1]:[Passed3]])&gt;1, 1, 0))</f>
        <v>1</v>
      </c>
      <c r="O23" t="s">
        <v>3364</v>
      </c>
      <c r="Q23" t="s">
        <v>3366</v>
      </c>
      <c r="R23" s="7" cm="1">
        <f t="array" ref="R23">SUM((https___leetcode_com_problemse__11[[#This Row],[Passed1]:[Passed3]])/3)</f>
        <v>0.66666666666666663</v>
      </c>
    </row>
    <row r="24" spans="1:18" ht="15" customHeight="1">
      <c r="A24">
        <v>3449</v>
      </c>
      <c r="B24" s="72" t="s">
        <v>1572</v>
      </c>
      <c r="C24" s="4" t="s">
        <v>1573</v>
      </c>
      <c r="D24" s="6" t="str">
        <f>HYPERLINK(https___leetcode_com_problemse__11[[#This Row],[Column2]],https___leetcode_com_problemse__11[[#This Row],[Problem Link]])</f>
        <v xml:space="preserve"> Maximize the Minimum Game Score</v>
      </c>
      <c r="E24" s="7">
        <v>0.24399999999999999</v>
      </c>
      <c r="G24" s="11">
        <v>45726.928749999999</v>
      </c>
      <c r="H24" s="11">
        <v>45726.93241898148</v>
      </c>
      <c r="I24" s="11">
        <v>45726.934641203705</v>
      </c>
      <c r="J24">
        <v>1</v>
      </c>
      <c r="K24">
        <v>1</v>
      </c>
      <c r="L24">
        <v>0</v>
      </c>
      <c r="M24">
        <f>IF(COUNTA(https___leetcode_com_problemse__11[[#This Row],[Passed1]:[Passed3]])=0, "", IF(SUM(https___leetcode_com_problemse__11[[#This Row],[Passed1]:[Passed3]])&gt;1, 1, 0))</f>
        <v>1</v>
      </c>
      <c r="P24" t="s">
        <v>3364</v>
      </c>
      <c r="R24" s="7" cm="1">
        <f t="array" ref="R24">SUM((https___leetcode_com_problemse__11[[#This Row],[Passed1]:[Passed3]])/3)</f>
        <v>0.66666666666666663</v>
      </c>
    </row>
    <row r="25" spans="1:18" ht="15" customHeight="1">
      <c r="A25">
        <v>3454</v>
      </c>
      <c r="B25" s="72" t="s">
        <v>3355</v>
      </c>
      <c r="C25" s="4" t="s">
        <v>3352</v>
      </c>
      <c r="D25" s="6" t="str">
        <f>HYPERLINK(https___leetcode_com_problemse__11[[#This Row],[Column2]],https___leetcode_com_problemse__11[[#This Row],[Problem Link]])</f>
        <v xml:space="preserve"> Separate Squares II</v>
      </c>
      <c r="E25" s="7">
        <v>0.182</v>
      </c>
      <c r="G25" s="11">
        <v>45726.940057870372</v>
      </c>
      <c r="H25" s="11">
        <v>45726.942013888889</v>
      </c>
      <c r="I25" s="11">
        <v>45731.731192129628</v>
      </c>
      <c r="J25">
        <v>1</v>
      </c>
      <c r="K25">
        <v>0</v>
      </c>
      <c r="L25">
        <v>1</v>
      </c>
      <c r="M25">
        <f>IF(COUNTA(https___leetcode_com_problemse__11[[#This Row],[Passed1]:[Passed3]])=0, "", IF(SUM(https___leetcode_com_problemse__11[[#This Row],[Passed1]:[Passed3]])&gt;1, 1, 0))</f>
        <v>1</v>
      </c>
      <c r="O25" t="s">
        <v>3368</v>
      </c>
      <c r="R25" s="7" cm="1">
        <f t="array" ref="R25">SUM((https___leetcode_com_problemse__11[[#This Row],[Passed1]:[Passed3]])/3)</f>
        <v>0.66666666666666663</v>
      </c>
    </row>
    <row r="26" spans="1:18" ht="15" customHeight="1">
      <c r="A26" s="71">
        <v>3455</v>
      </c>
      <c r="B26" s="72" t="s">
        <v>3356</v>
      </c>
      <c r="C26" s="4" t="s">
        <v>3351</v>
      </c>
      <c r="D26" s="6" t="str">
        <f>HYPERLINK(https___leetcode_com_problemse__11[[#This Row],[Column2]],https___leetcode_com_problemse__11[[#This Row],[Problem Link]])</f>
        <v xml:space="preserve"> Shortest Matching Substring</v>
      </c>
      <c r="E26" s="7">
        <v>0.23800000000000002</v>
      </c>
      <c r="G26" s="11">
        <v>45727.387499999997</v>
      </c>
      <c r="H26" s="11">
        <v>45727.38958333333</v>
      </c>
      <c r="I26" s="11">
        <v>45727.390972222223</v>
      </c>
      <c r="J26">
        <v>1</v>
      </c>
      <c r="K26">
        <v>0</v>
      </c>
      <c r="L26">
        <v>1</v>
      </c>
      <c r="M26">
        <f>IF(COUNTA(https___leetcode_com_problemse__11[[#This Row],[Passed1]:[Passed3]])=0, "", IF(SUM(https___leetcode_com_problemse__11[[#This Row],[Passed1]:[Passed3]])&gt;1, 1, 0))</f>
        <v>1</v>
      </c>
      <c r="O26" t="s">
        <v>3364</v>
      </c>
      <c r="R26" s="7" cm="1">
        <f t="array" ref="R26">SUM((https___leetcode_com_problemse__11[[#This Row],[Passed1]:[Passed3]])/3)</f>
        <v>0.66666666666666663</v>
      </c>
    </row>
    <row r="27" spans="1:18" ht="15" customHeight="1">
      <c r="A27" s="71">
        <v>3459</v>
      </c>
      <c r="B27" s="72" t="s">
        <v>3357</v>
      </c>
      <c r="C27" s="4" t="s">
        <v>3350</v>
      </c>
      <c r="D27" s="6" t="str">
        <f>HYPERLINK(https___leetcode_com_problemse__11[[#This Row],[Column2]],https___leetcode_com_problemse__11[[#This Row],[Problem Link]])</f>
        <v xml:space="preserve"> Length of Longest V-Shaped Diagonal Segment</v>
      </c>
      <c r="E27" s="7">
        <v>0.39200000000000002</v>
      </c>
      <c r="G27" s="11">
        <v>45727.394444444442</v>
      </c>
      <c r="H27" s="11">
        <v>45730.361805555556</v>
      </c>
      <c r="I27" s="11">
        <v>45730.364583333336</v>
      </c>
      <c r="J27">
        <v>0</v>
      </c>
      <c r="K27">
        <v>1</v>
      </c>
      <c r="L27">
        <v>1</v>
      </c>
      <c r="M27">
        <f>IF(COUNTA(https___leetcode_com_problemse__11[[#This Row],[Passed1]:[Passed3]])=0, "", IF(SUM(https___leetcode_com_problemse__11[[#This Row],[Passed1]:[Passed3]])&gt;1, 1, 0))</f>
        <v>1</v>
      </c>
      <c r="N27" t="s">
        <v>3364</v>
      </c>
      <c r="R27" s="7" cm="1">
        <f t="array" ref="R27">SUM((https___leetcode_com_problemse__11[[#This Row],[Passed1]:[Passed3]])/3)</f>
        <v>0.66666666666666663</v>
      </c>
    </row>
    <row r="28" spans="1:18" ht="15" customHeight="1">
      <c r="A28" s="71">
        <v>3463</v>
      </c>
      <c r="B28" s="72" t="s">
        <v>3358</v>
      </c>
      <c r="C28" s="4" t="s">
        <v>3349</v>
      </c>
      <c r="D28" s="6" t="str">
        <f>HYPERLINK(https___leetcode_com_problemse__11[[#This Row],[Column2]],https___leetcode_com_problemse__11[[#This Row],[Problem Link]])</f>
        <v xml:space="preserve"> Check If Digits Are Equal in String After Operations II</v>
      </c>
      <c r="E28" s="7">
        <v>9.0999999999999998E-2</v>
      </c>
      <c r="G28" s="11">
        <v>45730.366666666669</v>
      </c>
      <c r="H28" s="11">
        <v>45730.368750000001</v>
      </c>
      <c r="I28" s="11">
        <v>45730.370833333334</v>
      </c>
      <c r="J28">
        <v>0</v>
      </c>
      <c r="K28">
        <v>1</v>
      </c>
      <c r="L28">
        <v>0</v>
      </c>
      <c r="M28">
        <f>IF(COUNTA(https___leetcode_com_problemse__11[[#This Row],[Passed1]:[Passed3]])=0, "", IF(SUM(https___leetcode_com_problemse__11[[#This Row],[Passed1]:[Passed3]])&gt;1, 1, 0))</f>
        <v>0</v>
      </c>
      <c r="N28" t="s">
        <v>3364</v>
      </c>
      <c r="P28" t="s">
        <v>3364</v>
      </c>
      <c r="R28" s="7" cm="1">
        <f t="array" ref="R28">SUM((https___leetcode_com_problemse__11[[#This Row],[Passed1]:[Passed3]])/3)</f>
        <v>0.33333333333333331</v>
      </c>
    </row>
    <row r="29" spans="1:18" ht="15" customHeight="1">
      <c r="A29" s="71">
        <v>3464</v>
      </c>
      <c r="B29" s="72" t="s">
        <v>3359</v>
      </c>
      <c r="C29" s="4" t="s">
        <v>3348</v>
      </c>
      <c r="D29" s="6" t="str">
        <f>HYPERLINK(https___leetcode_com_problemse__11[[#This Row],[Column2]],https___leetcode_com_problemse__11[[#This Row],[Problem Link]])</f>
        <v xml:space="preserve"> Maximize the Distance Between Points on a Square</v>
      </c>
      <c r="E29" s="7">
        <v>0.19</v>
      </c>
      <c r="G29" s="11">
        <v>45730.425694444442</v>
      </c>
      <c r="H29" s="11">
        <v>45730.427777777775</v>
      </c>
      <c r="I29" s="11">
        <v>45730.430555555555</v>
      </c>
      <c r="J29">
        <v>0</v>
      </c>
      <c r="K29">
        <v>0</v>
      </c>
      <c r="L29">
        <v>0</v>
      </c>
      <c r="M29">
        <f>IF(COUNTA(https___leetcode_com_problemse__11[[#This Row],[Passed1]:[Passed3]])=0, "", IF(SUM(https___leetcode_com_problemse__11[[#This Row],[Passed1]:[Passed3]])&gt;1, 1, 0))</f>
        <v>0</v>
      </c>
      <c r="N29" t="s">
        <v>3364</v>
      </c>
      <c r="O29" t="s">
        <v>3364</v>
      </c>
      <c r="P29" t="s">
        <v>3370</v>
      </c>
      <c r="R29" s="7" cm="1">
        <f t="array" ref="R29">SUM((https___leetcode_com_problemse__11[[#This Row],[Passed1]:[Passed3]])/3)</f>
        <v>0</v>
      </c>
    </row>
    <row r="30" spans="1:18" ht="15" customHeight="1">
      <c r="A30" s="71">
        <v>3470</v>
      </c>
      <c r="B30" s="72" t="s">
        <v>3360</v>
      </c>
      <c r="C30" s="4" t="s">
        <v>3347</v>
      </c>
      <c r="D30" s="6" t="str">
        <f>HYPERLINK(https___leetcode_com_problemse__11[[#This Row],[Column2]],https___leetcode_com_problemse__11[[#This Row],[Problem Link]])</f>
        <v xml:space="preserve"> Permutations IV</v>
      </c>
      <c r="E30" s="7">
        <v>0.247</v>
      </c>
      <c r="G30" s="11">
        <v>45730.432638888888</v>
      </c>
      <c r="H30" s="11">
        <v>45730.43472222222</v>
      </c>
      <c r="I30" s="11">
        <v>45730.436805555553</v>
      </c>
      <c r="J30">
        <v>0</v>
      </c>
      <c r="K30">
        <v>1</v>
      </c>
      <c r="L30">
        <v>0</v>
      </c>
      <c r="M30">
        <f>IF(COUNTA(https___leetcode_com_problemse__11[[#This Row],[Passed1]:[Passed3]])=0, "", IF(SUM(https___leetcode_com_problemse__11[[#This Row],[Passed1]:[Passed3]])&gt;1, 1, 0))</f>
        <v>0</v>
      </c>
      <c r="N30" t="s">
        <v>3364</v>
      </c>
      <c r="P30" t="s">
        <v>3364</v>
      </c>
      <c r="R30" s="7" cm="1">
        <f t="array" ref="R30">SUM((https___leetcode_com_problemse__11[[#This Row],[Passed1]:[Passed3]])/3)</f>
        <v>0.33333333333333331</v>
      </c>
    </row>
    <row r="31" spans="1:18" ht="15" customHeight="1">
      <c r="A31" s="71">
        <v>3474</v>
      </c>
      <c r="B31" s="72" t="s">
        <v>3361</v>
      </c>
      <c r="C31" s="4" t="s">
        <v>3346</v>
      </c>
      <c r="D31" s="6" t="str">
        <f>HYPERLINK(https___leetcode_com_problemse__11[[#This Row],[Column2]],https___leetcode_com_problemse__11[[#This Row],[Problem Link]])</f>
        <v xml:space="preserve"> Lexicographically Smallest Generated String</v>
      </c>
      <c r="E31" s="7">
        <v>0.26200000000000001</v>
      </c>
      <c r="G31" s="11">
        <v>45730.438194444447</v>
      </c>
      <c r="H31" s="11">
        <v>45730.438888888886</v>
      </c>
      <c r="I31" s="11">
        <v>45730.443055555559</v>
      </c>
      <c r="J31">
        <v>1</v>
      </c>
      <c r="K31">
        <v>1</v>
      </c>
      <c r="L31">
        <v>1</v>
      </c>
      <c r="M31">
        <f>IF(COUNTA(https___leetcode_com_problemse__11[[#This Row],[Passed1]:[Passed3]])=0, "", IF(SUM(https___leetcode_com_problemse__11[[#This Row],[Passed1]:[Passed3]])&gt;1, 1, 0))</f>
        <v>1</v>
      </c>
      <c r="R31" s="7" cm="1">
        <f t="array" ref="R31">SUM((https___leetcode_com_problemse__11[[#This Row],[Passed1]:[Passed3]])/3)</f>
        <v>1</v>
      </c>
    </row>
    <row r="32" spans="1:18" ht="15" customHeight="1">
      <c r="A32" s="71">
        <v>3480</v>
      </c>
      <c r="B32" s="72" t="s">
        <v>3362</v>
      </c>
      <c r="C32" s="4" t="s">
        <v>3345</v>
      </c>
      <c r="D32" s="6" t="str">
        <f>HYPERLINK(https___leetcode_com_problemse__11[[#This Row],[Column2]],https___leetcode_com_problemse__11[[#This Row],[Problem Link]])</f>
        <v xml:space="preserve"> Maximize Subarrays After Removing One Conflicting Pair</v>
      </c>
      <c r="E32" s="7">
        <v>0.22600000000000001</v>
      </c>
      <c r="G32" s="11">
        <v>45730.447222222225</v>
      </c>
      <c r="H32" s="11">
        <v>45730.45208333333</v>
      </c>
      <c r="I32" s="11">
        <v>45730.455555555556</v>
      </c>
      <c r="J32">
        <v>1</v>
      </c>
      <c r="K32">
        <v>0</v>
      </c>
      <c r="L32">
        <v>0</v>
      </c>
      <c r="M32">
        <f>IF(COUNTA(https___leetcode_com_problemse__11[[#This Row],[Passed1]:[Passed3]])=0, "", IF(SUM(https___leetcode_com_problemse__11[[#This Row],[Passed1]:[Passed3]])&gt;1, 1, 0))</f>
        <v>0</v>
      </c>
      <c r="O32" t="s">
        <v>3371</v>
      </c>
      <c r="P32" t="s">
        <v>3364</v>
      </c>
      <c r="R32" s="7" cm="1">
        <f t="array" ref="R32">SUM((https___leetcode_com_problemse__11[[#This Row],[Passed1]:[Passed3]])/3)</f>
        <v>0.33333333333333331</v>
      </c>
    </row>
    <row r="33" spans="2:18" ht="15" customHeight="1">
      <c r="B33" t="s">
        <v>3343</v>
      </c>
      <c r="E33" s="10">
        <f>AVERAGE(E3:E32)</f>
        <v>0.27666666666666673</v>
      </c>
      <c r="J33" s="136">
        <f>COUNTIF(J3:L32,1)/COUNTA(J3:L32)</f>
        <v>0.62222222222222223</v>
      </c>
      <c r="K33" s="136"/>
      <c r="L33" s="136"/>
      <c r="M33" s="74">
        <f>SUM(M3:M32)/(COUNTA(M3:M32))</f>
        <v>0.66666666666666663</v>
      </c>
      <c r="R33" s="10">
        <f>AVERAGE(https___leetcode_com_problemse__11[Proportionately])</f>
        <v>0.62222222222222201</v>
      </c>
    </row>
    <row r="34" spans="2:18">
      <c r="K34">
        <f>COUNTIF(J3:L32,1)</f>
        <v>56</v>
      </c>
    </row>
    <row r="35" spans="2:18">
      <c r="R35" s="1">
        <f>SUM(https___leetcode_com_problemse__11[Proportionately])</f>
        <v>18.666666666666661</v>
      </c>
    </row>
  </sheetData>
  <mergeCells count="2">
    <mergeCell ref="J33:L33"/>
    <mergeCell ref="A1:D1"/>
  </mergeCells>
  <phoneticPr fontId="1" type="noConversion"/>
  <conditionalFormatting sqref="A33:A1048576 A19:A31 A2:A17">
    <cfRule type="duplicateValues" dxfId="8" priority="4"/>
  </conditionalFormatting>
  <conditionalFormatting sqref="A18:B18">
    <cfRule type="duplicateValues" dxfId="7" priority="3"/>
  </conditionalFormatting>
  <conditionalFormatting sqref="A32:B32">
    <cfRule type="duplicateValues" dxfId="6" priority="2"/>
  </conditionalFormatting>
  <conditionalFormatting sqref="D32">
    <cfRule type="duplicateValues" dxfId="5" priority="1"/>
  </conditionalFormatting>
  <hyperlinks>
    <hyperlink ref="D18" r:id="rId1" xr:uid="{0847AF11-CBD1-4AB9-9AC1-5BCE450B70A2}"/>
    <hyperlink ref="D3" r:id="rId2" xr:uid="{F5E3351A-7138-4857-A61A-396C6C0CA8E0}"/>
  </hyperlinks>
  <pageMargins left="0.7" right="0.7" top="0.75" bottom="0.75" header="0.3" footer="0.3"/>
  <pageSetup paperSize="9" orientation="portrait" horizontalDpi="0" verticalDpi="0"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67B5E-2E01-405C-8BC3-14B3AB5E7EB8}">
  <sheetPr codeName="Sheet25">
    <tabColor theme="7" tint="0.39997558519241921"/>
  </sheetPr>
  <dimension ref="A1:O33"/>
  <sheetViews>
    <sheetView workbookViewId="0">
      <selection activeCell="B13" sqref="B13"/>
    </sheetView>
  </sheetViews>
  <sheetFormatPr defaultRowHeight="14.5"/>
  <cols>
    <col min="2" max="2" width="59.1796875" bestFit="1" customWidth="1"/>
    <col min="4" max="4" width="19.54296875" bestFit="1" customWidth="1"/>
    <col min="5" max="7" width="18.54296875" bestFit="1" customWidth="1"/>
    <col min="8" max="10" width="10.81640625" bestFit="1" customWidth="1"/>
    <col min="11" max="11" width="13.7265625" bestFit="1" customWidth="1"/>
    <col min="12" max="12" width="30.453125" bestFit="1" customWidth="1"/>
    <col min="13" max="14" width="12.26953125" bestFit="1" customWidth="1"/>
    <col min="15" max="15" width="16" bestFit="1" customWidth="1"/>
  </cols>
  <sheetData>
    <row r="1" spans="1:15" ht="21">
      <c r="A1" s="167" t="s">
        <v>3449</v>
      </c>
      <c r="B1" s="167"/>
      <c r="C1" s="167"/>
      <c r="D1" s="167"/>
    </row>
    <row r="2" spans="1:15" ht="15" customHeight="1">
      <c r="A2" s="125" t="s">
        <v>3344</v>
      </c>
      <c r="B2" s="125" t="s">
        <v>1</v>
      </c>
      <c r="C2" s="126" t="s">
        <v>3</v>
      </c>
      <c r="D2" s="127" t="s">
        <v>4</v>
      </c>
      <c r="E2" s="126" t="s">
        <v>5</v>
      </c>
      <c r="F2" s="128" t="s">
        <v>6</v>
      </c>
      <c r="G2" s="128" t="s">
        <v>7</v>
      </c>
      <c r="H2" s="126" t="s">
        <v>9</v>
      </c>
      <c r="I2" s="126" t="s">
        <v>10</v>
      </c>
      <c r="J2" s="126" t="s">
        <v>11</v>
      </c>
      <c r="K2" s="129" t="s">
        <v>3319</v>
      </c>
      <c r="L2" s="129" t="s">
        <v>3323</v>
      </c>
      <c r="M2" s="129" t="s">
        <v>3324</v>
      </c>
      <c r="N2" s="129" t="s">
        <v>3325</v>
      </c>
      <c r="O2" t="s">
        <v>3387</v>
      </c>
    </row>
    <row r="3" spans="1:15" ht="15" customHeight="1">
      <c r="A3" s="71">
        <v>3363</v>
      </c>
      <c r="B3" s="6" t="s">
        <v>3305</v>
      </c>
      <c r="C3" s="7">
        <v>0.41700000000000004</v>
      </c>
      <c r="E3" s="11">
        <v>45733.477083333331</v>
      </c>
      <c r="F3" s="11">
        <v>45733.477777777778</v>
      </c>
      <c r="G3" s="11">
        <v>45733.479861111111</v>
      </c>
      <c r="H3">
        <v>0</v>
      </c>
      <c r="I3">
        <v>1</v>
      </c>
      <c r="J3">
        <v>1</v>
      </c>
      <c r="K3">
        <f>IF(COUNTA(https___leetcode_com_problemse__1122[[#This Row],[Passed1]:[Passed3]])=0, "", IF(SUM(https___leetcode_com_problemse__1122[[#This Row],[Passed1]:[Passed3]])&gt;1, 1, 0))</f>
        <v>1</v>
      </c>
      <c r="L3" t="s">
        <v>3364</v>
      </c>
      <c r="O3" s="7" cm="1">
        <f t="array" ref="O3">SUM((https___leetcode_com_problemse__1122[[#This Row],[Passed1]:[Passed3]])/3)</f>
        <v>0.66666666666666663</v>
      </c>
    </row>
    <row r="4" spans="1:15" ht="15" customHeight="1">
      <c r="A4" s="73">
        <v>3367</v>
      </c>
      <c r="B4" s="6" t="str">
        <f>HYPERLINK(https___leetcode_com_problemse__11[[#This Row],[Column2]],https___leetcode_com_problemse__11[[#This Row],[Problem Link]])</f>
        <v>Maximize Sum of Weights after Edge Removals</v>
      </c>
      <c r="C4" s="7">
        <v>0.30099999999999999</v>
      </c>
      <c r="E4" s="11">
        <v>45731.738634259258</v>
      </c>
      <c r="F4" s="11">
        <v>45731.740034722221</v>
      </c>
      <c r="G4" s="11">
        <v>45731.740601851852</v>
      </c>
      <c r="H4">
        <v>1</v>
      </c>
      <c r="I4">
        <v>0</v>
      </c>
      <c r="J4">
        <v>1</v>
      </c>
      <c r="K4">
        <f>IF(COUNTA(https___leetcode_com_problemse__1122[[#This Row],[Passed1]:[Passed3]])=0, "", IF(SUM(https___leetcode_com_problemse__1122[[#This Row],[Passed1]:[Passed3]])&gt;1, 1, 0))</f>
        <v>1</v>
      </c>
      <c r="M4" t="s">
        <v>3364</v>
      </c>
      <c r="O4" s="7" cm="1">
        <f t="array" ref="O4">SUM((https___leetcode_com_problemse__1122[[#This Row],[Passed1]:[Passed3]])/3)</f>
        <v>0.66666666666666663</v>
      </c>
    </row>
    <row r="5" spans="1:15" ht="15" customHeight="1">
      <c r="A5" s="71">
        <v>3374</v>
      </c>
      <c r="B5" s="6" t="str">
        <f>HYPERLINK(https___leetcode_com_problemse__11[[#This Row],[Column2]],https___leetcode_com_problemse__11[[#This Row],[Problem Link]])</f>
        <v>Maximize the Number of Target Nodes After Connecting Trees II</v>
      </c>
      <c r="C5" s="7">
        <v>0.58099999999999996</v>
      </c>
      <c r="E5" s="11">
        <v>45733.474305555559</v>
      </c>
      <c r="F5" s="11">
        <v>45733.474999999999</v>
      </c>
      <c r="G5" s="11">
        <v>45733.476388888892</v>
      </c>
      <c r="H5">
        <v>0</v>
      </c>
      <c r="I5">
        <v>0</v>
      </c>
      <c r="J5">
        <v>0</v>
      </c>
      <c r="K5">
        <f>IF(COUNTA(https___leetcode_com_problemse__1122[[#This Row],[Passed1]:[Passed3]])=0, "", IF(SUM(https___leetcode_com_problemse__1122[[#This Row],[Passed1]:[Passed3]])&gt;1, 1, 0))</f>
        <v>0</v>
      </c>
      <c r="L5" t="s">
        <v>3364</v>
      </c>
      <c r="M5" t="s">
        <v>3364</v>
      </c>
      <c r="N5" t="s">
        <v>3364</v>
      </c>
      <c r="O5" s="7" cm="1">
        <f t="array" ref="O5">SUM((https___leetcode_com_problemse__1122[[#This Row],[Passed1]:[Passed3]])/3)</f>
        <v>0</v>
      </c>
    </row>
    <row r="6" spans="1:15" ht="15" customHeight="1">
      <c r="A6" s="71">
        <v>3378</v>
      </c>
      <c r="B6" s="6" t="str">
        <f>HYPERLINK(https___leetcode_com_problemse__11[[#This Row],[Column2]],https___leetcode_com_problemse__11[[#This Row],[Problem Link]])</f>
        <v>Count Connected Components in LCM Graph</v>
      </c>
      <c r="C6" s="7">
        <v>0.28899999999999998</v>
      </c>
      <c r="E6" s="11">
        <v>45733.47152777778</v>
      </c>
      <c r="F6" s="11">
        <v>45733.472222222219</v>
      </c>
      <c r="G6" s="11">
        <v>45733.472916666666</v>
      </c>
      <c r="H6">
        <v>0</v>
      </c>
      <c r="I6">
        <v>0</v>
      </c>
      <c r="J6">
        <v>0</v>
      </c>
      <c r="K6">
        <f>IF(COUNTA(https___leetcode_com_problemse__1122[[#This Row],[Passed1]:[Passed3]])=0, "", IF(SUM(https___leetcode_com_problemse__1122[[#This Row],[Passed1]:[Passed3]])&gt;1, 1, 0))</f>
        <v>0</v>
      </c>
      <c r="L6" t="s">
        <v>3364</v>
      </c>
      <c r="M6" t="s">
        <v>3364</v>
      </c>
      <c r="N6" t="s">
        <v>3364</v>
      </c>
      <c r="O6" s="7" cm="1">
        <f t="array" ref="O6">SUM((https___leetcode_com_problemse__1122[[#This Row],[Passed1]:[Passed3]])/3)</f>
        <v>0</v>
      </c>
    </row>
    <row r="7" spans="1:15" ht="15" customHeight="1">
      <c r="A7" s="71">
        <v>3382</v>
      </c>
      <c r="B7" s="6" t="str">
        <f>HYPERLINK(https___leetcode_com_problemse__11[[#This Row],[Column2]],https___leetcode_com_problemse__11[[#This Row],[Problem Link]])</f>
        <v>Maximum Area Rectangle With Point Constraints II</v>
      </c>
      <c r="C7" s="7">
        <v>0.21199999999999999</v>
      </c>
      <c r="E7" s="11">
        <v>45733.467361111114</v>
      </c>
      <c r="F7" s="11">
        <v>45733.468055555553</v>
      </c>
      <c r="G7" s="11">
        <v>45733.469444444447</v>
      </c>
      <c r="H7">
        <v>1</v>
      </c>
      <c r="I7">
        <v>1</v>
      </c>
      <c r="J7">
        <v>1</v>
      </c>
      <c r="K7">
        <f>IF(COUNTA(https___leetcode_com_problemse__1122[[#This Row],[Passed1]:[Passed3]])=0, "", IF(SUM(https___leetcode_com_problemse__1122[[#This Row],[Passed1]:[Passed3]])&gt;1, 1, 0))</f>
        <v>1</v>
      </c>
      <c r="O7" s="7" cm="1">
        <f t="array" ref="O7">SUM((https___leetcode_com_problemse__1122[[#This Row],[Passed1]:[Passed3]])/3)</f>
        <v>1</v>
      </c>
    </row>
    <row r="8" spans="1:15" ht="15" customHeight="1">
      <c r="A8" s="71">
        <v>3389</v>
      </c>
      <c r="B8" s="6" t="str">
        <f>HYPERLINK(https___leetcode_com_problemse__11[[#This Row],[Column2]],https___leetcode_com_problemse__11[[#This Row],[Problem Link]])</f>
        <v>Minimum Operations to Make Character Frequencies Equal</v>
      </c>
      <c r="C8" s="7">
        <v>0.245</v>
      </c>
      <c r="E8" s="11">
        <v>45733.464583333334</v>
      </c>
      <c r="F8" s="11">
        <v>45733.46597222222</v>
      </c>
      <c r="G8" s="11">
        <v>45733.466666666667</v>
      </c>
      <c r="H8">
        <v>0</v>
      </c>
      <c r="I8">
        <v>1</v>
      </c>
      <c r="J8">
        <v>0</v>
      </c>
      <c r="K8">
        <f>IF(COUNTA(https___leetcode_com_problemse__1122[[#This Row],[Passed1]:[Passed3]])=0, "", IF(SUM(https___leetcode_com_problemse__1122[[#This Row],[Passed1]:[Passed3]])&gt;1, 1, 0))</f>
        <v>0</v>
      </c>
      <c r="L8" t="s">
        <v>3364</v>
      </c>
      <c r="N8" t="s">
        <v>3364</v>
      </c>
      <c r="O8" s="7" cm="1">
        <f t="array" ref="O8">SUM((https___leetcode_com_problemse__1122[[#This Row],[Passed1]:[Passed3]])/3)</f>
        <v>0.33333333333333331</v>
      </c>
    </row>
    <row r="9" spans="1:15" ht="15" customHeight="1">
      <c r="A9" s="71">
        <v>3395</v>
      </c>
      <c r="B9" s="6" t="str">
        <f>HYPERLINK(https___leetcode_com_problemse__11[[#This Row],[Column2]],https___leetcode_com_problemse__11[[#This Row],[Problem Link]])</f>
        <v>Subsequences with a Unique Middle Mode I</v>
      </c>
      <c r="C9" s="7">
        <v>0.17699999999999999</v>
      </c>
      <c r="E9" s="11">
        <v>45733.461111111108</v>
      </c>
      <c r="F9" s="11">
        <v>45733.461805555555</v>
      </c>
      <c r="G9" s="11">
        <v>45733.462500000001</v>
      </c>
      <c r="H9">
        <v>1</v>
      </c>
      <c r="I9">
        <v>1</v>
      </c>
      <c r="J9">
        <v>1</v>
      </c>
      <c r="K9">
        <f>IF(COUNTA(https___leetcode_com_problemse__1122[[#This Row],[Passed1]:[Passed3]])=0, "", IF(SUM(https___leetcode_com_problemse__1122[[#This Row],[Passed1]:[Passed3]])&gt;1, 1, 0))</f>
        <v>1</v>
      </c>
      <c r="O9" s="7" cm="1">
        <f t="array" ref="O9">SUM((https___leetcode_com_problemse__1122[[#This Row],[Passed1]:[Passed3]])/3)</f>
        <v>1</v>
      </c>
    </row>
    <row r="10" spans="1:15" ht="15" customHeight="1">
      <c r="A10" s="71">
        <v>3398</v>
      </c>
      <c r="B10" s="6" t="str">
        <f>HYPERLINK(https___leetcode_com_problemse__11[[#This Row],[Column2]],https___leetcode_com_problemse__11[[#This Row],[Problem Link]])</f>
        <v>Smallest Substring With Identical Characters I</v>
      </c>
      <c r="C10" s="7">
        <v>0.192</v>
      </c>
      <c r="E10" s="11">
        <v>45733.459027777775</v>
      </c>
      <c r="F10" s="11">
        <v>45733.459722222222</v>
      </c>
      <c r="G10" s="11">
        <v>45733.460416666669</v>
      </c>
      <c r="H10">
        <v>0</v>
      </c>
      <c r="I10">
        <v>0</v>
      </c>
      <c r="J10">
        <v>0</v>
      </c>
      <c r="K10">
        <f>IF(COUNTA(https___leetcode_com_problemse__1122[[#This Row],[Passed1]:[Passed3]])=0, "", IF(SUM(https___leetcode_com_problemse__1122[[#This Row],[Passed1]:[Passed3]])&gt;1, 1, 0))</f>
        <v>0</v>
      </c>
      <c r="L10" t="s">
        <v>3364</v>
      </c>
      <c r="M10" t="s">
        <v>3364</v>
      </c>
      <c r="N10" t="s">
        <v>3364</v>
      </c>
      <c r="O10" s="7" cm="1">
        <f t="array" ref="O10">SUM((https___leetcode_com_problemse__1122[[#This Row],[Passed1]:[Passed3]])/3)</f>
        <v>0</v>
      </c>
    </row>
    <row r="11" spans="1:15" ht="15" customHeight="1">
      <c r="A11" s="71">
        <v>3399</v>
      </c>
      <c r="B11" s="6" t="str">
        <f>HYPERLINK(https___leetcode_com_problemse__11[[#This Row],[Column2]],https___leetcode_com_problemse__11[[#This Row],[Problem Link]])</f>
        <v>Smallest Substring With Identical Characters II</v>
      </c>
      <c r="C11" s="7">
        <v>0.44400000000000001</v>
      </c>
      <c r="E11" s="11">
        <v>45733.456250000003</v>
      </c>
      <c r="F11" s="11">
        <v>45733.456944444442</v>
      </c>
      <c r="G11" s="11">
        <v>45733.458333333336</v>
      </c>
      <c r="H11">
        <v>0</v>
      </c>
      <c r="I11">
        <v>0</v>
      </c>
      <c r="J11">
        <v>0</v>
      </c>
      <c r="K11">
        <f>IF(COUNTA(https___leetcode_com_problemse__1122[[#This Row],[Passed1]:[Passed3]])=0, "", IF(SUM(https___leetcode_com_problemse__1122[[#This Row],[Passed1]:[Passed3]])&gt;1, 1, 0))</f>
        <v>0</v>
      </c>
      <c r="L11" t="s">
        <v>3364</v>
      </c>
      <c r="M11" t="s">
        <v>3364</v>
      </c>
      <c r="N11" t="s">
        <v>3364</v>
      </c>
      <c r="O11" s="7" cm="1">
        <f t="array" ref="O11">SUM((https___leetcode_com_problemse__1122[[#This Row],[Passed1]:[Passed3]])/3)</f>
        <v>0</v>
      </c>
    </row>
    <row r="12" spans="1:15" ht="15" customHeight="1">
      <c r="A12" s="73">
        <v>3405</v>
      </c>
      <c r="B12" s="6" t="str">
        <f>HYPERLINK(https___leetcode_com_problemse__11[[#This Row],[Column2]],https___leetcode_com_problemse__11[[#This Row],[Problem Link]])</f>
        <v>Count the Number of Arrays with K Matching Adjacent Elements</v>
      </c>
      <c r="C12" s="7">
        <v>0.377</v>
      </c>
      <c r="E12" s="11">
        <v>45731.813043981485</v>
      </c>
      <c r="F12" s="11">
        <v>45731.814247685186</v>
      </c>
      <c r="G12" s="11">
        <v>45731.814467592594</v>
      </c>
      <c r="H12">
        <v>1</v>
      </c>
      <c r="I12">
        <v>1</v>
      </c>
      <c r="J12">
        <v>0</v>
      </c>
      <c r="K12">
        <f>IF(COUNTA(https___leetcode_com_problemse__1122[[#This Row],[Passed1]:[Passed3]])=0, "", IF(SUM(https___leetcode_com_problemse__1122[[#This Row],[Passed1]:[Passed3]])&gt;1, 1, 0))</f>
        <v>1</v>
      </c>
      <c r="N12" t="s">
        <v>3364</v>
      </c>
      <c r="O12" s="7" cm="1">
        <f t="array" ref="O12">SUM((https___leetcode_com_problemse__1122[[#This Row],[Passed1]:[Passed3]])/3)</f>
        <v>0.66666666666666663</v>
      </c>
    </row>
    <row r="13" spans="1:15" ht="15" customHeight="1">
      <c r="A13" s="73">
        <v>3410</v>
      </c>
      <c r="B13" s="6" t="str">
        <f>HYPERLINK(https___leetcode_com_problemse__11[[#This Row],[Column2]],https___leetcode_com_problemse__11[[#This Row],[Problem Link]])</f>
        <v>Maximize Subarray Sum After Removing All Occurrences of One Element</v>
      </c>
      <c r="C13" s="7">
        <v>0.19699999999999998</v>
      </c>
      <c r="E13" s="11">
        <v>45731.796307870369</v>
      </c>
      <c r="F13" s="11">
        <v>45731.796793981484</v>
      </c>
      <c r="G13" s="11">
        <v>45731.797349537039</v>
      </c>
      <c r="H13">
        <v>1</v>
      </c>
      <c r="I13">
        <v>1</v>
      </c>
      <c r="J13">
        <v>1</v>
      </c>
      <c r="K13">
        <f>IF(COUNTA(https___leetcode_com_problemse__1122[[#This Row],[Passed1]:[Passed3]])=0, "", IF(SUM(https___leetcode_com_problemse__1122[[#This Row],[Passed1]:[Passed3]])&gt;1, 1, 0))</f>
        <v>1</v>
      </c>
      <c r="O13" s="7" cm="1">
        <f t="array" ref="O13">SUM((https___leetcode_com_problemse__1122[[#This Row],[Passed1]:[Passed3]])/3)</f>
        <v>1</v>
      </c>
    </row>
    <row r="14" spans="1:15" ht="15" customHeight="1">
      <c r="A14" s="73">
        <v>3414</v>
      </c>
      <c r="B14" s="6" t="str">
        <f>HYPERLINK(https___leetcode_com_problemse__11[[#This Row],[Column2]],https___leetcode_com_problemse__11[[#This Row],[Problem Link]])</f>
        <v>Maximum Score of Non-overlapping Intervals</v>
      </c>
      <c r="C14" s="7">
        <v>0.32400000000000001</v>
      </c>
      <c r="E14" s="11">
        <v>45731.793043981481</v>
      </c>
      <c r="F14" s="11">
        <v>45731.794745370367</v>
      </c>
      <c r="G14" s="11">
        <v>45731.795034722221</v>
      </c>
      <c r="H14">
        <v>0</v>
      </c>
      <c r="I14">
        <v>0</v>
      </c>
      <c r="J14">
        <v>0</v>
      </c>
      <c r="K14">
        <f>IF(COUNTA(https___leetcode_com_problemse__1122[[#This Row],[Passed1]:[Passed3]])=0, "", IF(SUM(https___leetcode_com_problemse__1122[[#This Row],[Passed1]:[Passed3]])&gt;1, 1, 0))</f>
        <v>0</v>
      </c>
      <c r="L14" t="s">
        <v>3364</v>
      </c>
      <c r="M14" t="s">
        <v>3364</v>
      </c>
      <c r="N14" t="s">
        <v>3364</v>
      </c>
      <c r="O14" s="7" cm="1">
        <f t="array" ref="O14">SUM((https___leetcode_com_problemse__1122[[#This Row],[Passed1]:[Passed3]])/3)</f>
        <v>0</v>
      </c>
    </row>
    <row r="15" spans="1:15" ht="15" customHeight="1">
      <c r="A15" s="73">
        <v>3420</v>
      </c>
      <c r="B15" s="6" t="str">
        <f>HYPERLINK(https___leetcode_com_problemse__11[[#This Row],[Column2]],https___leetcode_com_problemse__11[[#This Row],[Problem Link]])</f>
        <v>Count Non-Decreasing Subarrays After K Operations</v>
      </c>
      <c r="C15" s="7">
        <v>0.21299999999999999</v>
      </c>
      <c r="E15" s="11">
        <v>45731.760092592594</v>
      </c>
      <c r="F15" s="11">
        <v>45731.760914351849</v>
      </c>
      <c r="G15" s="11">
        <v>45731.761493055557</v>
      </c>
      <c r="H15">
        <v>0</v>
      </c>
      <c r="I15">
        <v>0</v>
      </c>
      <c r="J15">
        <v>0</v>
      </c>
      <c r="K15">
        <f>IF(COUNTA(https___leetcode_com_problemse__1122[[#This Row],[Passed1]:[Passed3]])=0, "", IF(SUM(https___leetcode_com_problemse__1122[[#This Row],[Passed1]:[Passed3]])&gt;1, 1, 0))</f>
        <v>0</v>
      </c>
      <c r="L15" t="s">
        <v>3364</v>
      </c>
      <c r="M15" t="s">
        <v>3364</v>
      </c>
      <c r="N15" t="s">
        <v>3364</v>
      </c>
      <c r="O15" s="7" cm="1">
        <f t="array" ref="O15">SUM((https___leetcode_com_problemse__1122[[#This Row],[Passed1]:[Passed3]])/3)</f>
        <v>0</v>
      </c>
    </row>
    <row r="16" spans="1:15" ht="15" customHeight="1">
      <c r="A16" s="73">
        <v>3425</v>
      </c>
      <c r="B16" s="6" t="str">
        <f>HYPERLINK(https___leetcode_com_problemse__11[[#This Row],[Column2]],https___leetcode_com_problemse__11[[#This Row],[Problem Link]])</f>
        <v>Longest Special Path</v>
      </c>
      <c r="C16" s="7">
        <v>0.193</v>
      </c>
      <c r="E16" s="11">
        <v>45731.756724537037</v>
      </c>
      <c r="F16" s="11">
        <v>45731.757986111108</v>
      </c>
      <c r="G16" s="11">
        <v>45731.758611111109</v>
      </c>
      <c r="H16">
        <v>0</v>
      </c>
      <c r="I16">
        <v>0</v>
      </c>
      <c r="J16">
        <v>0</v>
      </c>
      <c r="K16">
        <f>IF(COUNTA(https___leetcode_com_problemse__1122[[#This Row],[Passed1]:[Passed3]])=0, "", IF(SUM(https___leetcode_com_problemse__1122[[#This Row],[Passed1]:[Passed3]])&gt;1, 1, 0))</f>
        <v>0</v>
      </c>
      <c r="L16" t="s">
        <v>3364</v>
      </c>
      <c r="M16" t="s">
        <v>3364</v>
      </c>
      <c r="N16" t="s">
        <v>3364</v>
      </c>
      <c r="O16" s="7" cm="1">
        <f t="array" ref="O16">SUM((https___leetcode_com_problemse__1122[[#This Row],[Passed1]:[Passed3]])/3)</f>
        <v>0</v>
      </c>
    </row>
    <row r="17" spans="1:15" ht="15" customHeight="1">
      <c r="A17" s="73">
        <v>3426</v>
      </c>
      <c r="B17" s="6" t="str">
        <f>HYPERLINK(https___leetcode_com_problemse__11[[#This Row],[Column2]],https___leetcode_com_problemse__11[[#This Row],[Problem Link]])</f>
        <v>Manhattan Distances of All Arrangements of Pieces</v>
      </c>
      <c r="C17" s="7">
        <v>0.35600000000000004</v>
      </c>
      <c r="E17" s="11">
        <v>45731.742071759261</v>
      </c>
      <c r="F17" s="11">
        <v>45731.742511574077</v>
      </c>
      <c r="G17" s="11">
        <v>45731.742835648147</v>
      </c>
      <c r="H17">
        <v>1</v>
      </c>
      <c r="I17">
        <v>0</v>
      </c>
      <c r="J17">
        <v>1</v>
      </c>
      <c r="K17">
        <f>IF(COUNTA(https___leetcode_com_problemse__1122[[#This Row],[Passed1]:[Passed3]])=0, "", IF(SUM(https___leetcode_com_problemse__1122[[#This Row],[Passed1]:[Passed3]])&gt;1, 1, 0))</f>
        <v>1</v>
      </c>
      <c r="M17" t="s">
        <v>3364</v>
      </c>
      <c r="O17" s="7" cm="1">
        <f t="array" ref="O17">SUM((https___leetcode_com_problemse__1122[[#This Row],[Passed1]:[Passed3]])/3)</f>
        <v>0.66666666666666663</v>
      </c>
    </row>
    <row r="18" spans="1:15" ht="15" customHeight="1">
      <c r="A18">
        <v>3435</v>
      </c>
      <c r="B18" s="6" t="str">
        <f>HYPERLINK(https___leetcode_com_problemse__11[[#This Row],[Column2]],https___leetcode_com_problemse__11[[#This Row],[Problem Link]])</f>
        <v xml:space="preserve"> Find Invalid IP Addresses</v>
      </c>
      <c r="C18" s="7">
        <v>0.24</v>
      </c>
      <c r="E18" s="11">
        <v>45726.855578703704</v>
      </c>
      <c r="F18" s="11">
        <v>45726.858020833337</v>
      </c>
      <c r="G18" s="11">
        <v>45726.858807870369</v>
      </c>
      <c r="H18">
        <v>0</v>
      </c>
      <c r="I18">
        <v>1</v>
      </c>
      <c r="J18">
        <v>1</v>
      </c>
      <c r="K18">
        <f>IF(COUNTA(https___leetcode_com_problemse__1122[[#This Row],[Passed1]:[Passed3]])=0, "", IF(SUM(https___leetcode_com_problemse__1122[[#This Row],[Passed1]:[Passed3]])&gt;1, 1, 0))</f>
        <v>1</v>
      </c>
      <c r="L18" t="s">
        <v>3363</v>
      </c>
      <c r="O18" s="7" cm="1">
        <f t="array" ref="O18">SUM((https___leetcode_com_problemse__1122[[#This Row],[Passed1]:[Passed3]])/3)</f>
        <v>0.66666666666666663</v>
      </c>
    </row>
    <row r="19" spans="1:15" ht="15" customHeight="1">
      <c r="A19">
        <v>3441</v>
      </c>
      <c r="B19" s="6" t="str">
        <f ca="1">HYPERLINK(https___leetcode_com_problemse__11[[#This Row],[Column2]],https___leetcode_com_problemse__11[[#This Row],[Problem Link]])</f>
        <v xml:space="preserve"> Find Invalid IP Addresses</v>
      </c>
      <c r="C19" s="7">
        <v>0.185</v>
      </c>
      <c r="E19" s="11">
        <v>45726.860798611109</v>
      </c>
      <c r="F19" s="11">
        <v>45726.861770833333</v>
      </c>
      <c r="G19" s="11">
        <v>45726.862060185187</v>
      </c>
      <c r="H19">
        <v>0</v>
      </c>
      <c r="I19">
        <v>0</v>
      </c>
      <c r="J19">
        <v>0</v>
      </c>
      <c r="K19">
        <f>IF(COUNTA(https___leetcode_com_problemse__1122[[#This Row],[Passed1]:[Passed3]])=0, "", IF(SUM(https___leetcode_com_problemse__1122[[#This Row],[Passed1]:[Passed3]])&gt;1, 1, 0))</f>
        <v>0</v>
      </c>
      <c r="L19" t="s">
        <v>3364</v>
      </c>
      <c r="M19" t="s">
        <v>3364</v>
      </c>
      <c r="N19" t="s">
        <v>3364</v>
      </c>
      <c r="O19" s="7" cm="1">
        <f t="array" ref="O19">SUM((https___leetcode_com_problemse__1122[[#This Row],[Passed1]:[Passed3]])/3)</f>
        <v>0</v>
      </c>
    </row>
    <row r="20" spans="1:15" ht="15" customHeight="1">
      <c r="A20">
        <v>3444</v>
      </c>
      <c r="B20" s="6" t="str">
        <f>HYPERLINK(https___leetcode_com_problemse__11[[#This Row],[Column2]],https___leetcode_com_problemse__11[[#This Row],[Problem Link]])</f>
        <v xml:space="preserve"> Minimum Cost Good Caption</v>
      </c>
      <c r="C20" s="7">
        <v>0.254</v>
      </c>
      <c r="E20" s="11">
        <v>45726.878437500003</v>
      </c>
      <c r="F20" s="11">
        <v>45726.879305555558</v>
      </c>
      <c r="G20" s="11">
        <v>45726.879965277774</v>
      </c>
      <c r="H20">
        <v>0</v>
      </c>
      <c r="I20">
        <v>1</v>
      </c>
      <c r="J20">
        <v>0</v>
      </c>
      <c r="K20">
        <f>IF(COUNTA(https___leetcode_com_problemse__1122[[#This Row],[Passed1]:[Passed3]])=0, "", IF(SUM(https___leetcode_com_problemse__1122[[#This Row],[Passed1]:[Passed3]])&gt;1, 1, 0))</f>
        <v>0</v>
      </c>
      <c r="N20" t="s">
        <v>3364</v>
      </c>
      <c r="O20" s="7" cm="1">
        <f t="array" ref="O20">SUM((https___leetcode_com_problemse__1122[[#This Row],[Passed1]:[Passed3]])/3)</f>
        <v>0.33333333333333331</v>
      </c>
    </row>
    <row r="21" spans="1:15" ht="15" customHeight="1">
      <c r="A21">
        <v>3445</v>
      </c>
      <c r="B21" s="6" t="str">
        <f>HYPERLINK(https___leetcode_com_problemse__11[[#This Row],[Column2]],https___leetcode_com_problemse__11[[#This Row],[Problem Link]])</f>
        <v xml:space="preserve"> Minimum Increments for Target Multiples in an Array</v>
      </c>
      <c r="C21" s="7">
        <v>0.19</v>
      </c>
      <c r="E21" s="11">
        <v>45726.896724537037</v>
      </c>
      <c r="F21" s="11">
        <v>45726.897893518515</v>
      </c>
      <c r="G21" s="11">
        <v>45726.898321759261</v>
      </c>
      <c r="H21">
        <v>1</v>
      </c>
      <c r="I21">
        <v>1</v>
      </c>
      <c r="J21">
        <v>1</v>
      </c>
      <c r="K21">
        <f>IF(COUNTA(https___leetcode_com_problemse__1122[[#This Row],[Passed1]:[Passed3]])=0, "", IF(SUM(https___leetcode_com_problemse__1122[[#This Row],[Passed1]:[Passed3]])&gt;1, 1, 0))</f>
        <v>1</v>
      </c>
      <c r="O21" s="7" cm="1">
        <f t="array" ref="O21">SUM((https___leetcode_com_problemse__1122[[#This Row],[Passed1]:[Passed3]])/3)</f>
        <v>1</v>
      </c>
    </row>
    <row r="22" spans="1:15" ht="15" customHeight="1">
      <c r="A22">
        <v>3448</v>
      </c>
      <c r="B22" s="6" t="str">
        <f>HYPERLINK(https___leetcode_com_problemse__11[[#This Row],[Column2]],https___leetcode_com_problemse__11[[#This Row],[Problem Link]])</f>
        <v xml:space="preserve"> Maximum Difference Between Even and Odd Frequency II</v>
      </c>
      <c r="C22" s="7">
        <v>0.20499999999999999</v>
      </c>
      <c r="E22" s="11">
        <v>45726.920624999999</v>
      </c>
      <c r="F22" s="11">
        <v>45726.921319444446</v>
      </c>
      <c r="G22" s="11">
        <v>45726.922164351854</v>
      </c>
      <c r="H22">
        <v>1</v>
      </c>
      <c r="I22">
        <v>0</v>
      </c>
      <c r="J22">
        <v>0</v>
      </c>
      <c r="K22">
        <f>IF(COUNTA(https___leetcode_com_problemse__1122[[#This Row],[Passed1]:[Passed3]])=0, "", IF(SUM(https___leetcode_com_problemse__1122[[#This Row],[Passed1]:[Passed3]])&gt;1, 1, 0))</f>
        <v>0</v>
      </c>
      <c r="M22" t="s">
        <v>3364</v>
      </c>
      <c r="N22" t="s">
        <v>3364</v>
      </c>
      <c r="O22" s="7" cm="1">
        <f t="array" ref="O22">SUM((https___leetcode_com_problemse__1122[[#This Row],[Passed1]:[Passed3]])/3)</f>
        <v>0.33333333333333331</v>
      </c>
    </row>
    <row r="23" spans="1:15" ht="15" customHeight="1">
      <c r="A23">
        <v>3449</v>
      </c>
      <c r="B23" s="6" t="str">
        <f>HYPERLINK(https___leetcode_com_problemse__11[[#This Row],[Column2]],https___leetcode_com_problemse__11[[#This Row],[Problem Link]])</f>
        <v xml:space="preserve"> Count Substrings Divisible By Last Digit</v>
      </c>
      <c r="C23" s="7">
        <v>0.24399999999999999</v>
      </c>
      <c r="E23" s="11">
        <v>45726.923807870371</v>
      </c>
      <c r="F23" s="11">
        <v>45726.924745370372</v>
      </c>
      <c r="G23" s="11">
        <v>45726.925439814811</v>
      </c>
      <c r="H23">
        <v>0</v>
      </c>
      <c r="I23">
        <v>0</v>
      </c>
      <c r="J23">
        <v>0</v>
      </c>
      <c r="K23">
        <f>IF(COUNTA(https___leetcode_com_problemse__1122[[#This Row],[Passed1]:[Passed3]])=0, "", IF(SUM(https___leetcode_com_problemse__1122[[#This Row],[Passed1]:[Passed3]])&gt;1, 1, 0))</f>
        <v>0</v>
      </c>
      <c r="L23" t="s">
        <v>3364</v>
      </c>
      <c r="M23" t="s">
        <v>3364</v>
      </c>
      <c r="N23" t="s">
        <v>3364</v>
      </c>
      <c r="O23" s="7" cm="1">
        <f t="array" ref="O23">SUM((https___leetcode_com_problemse__1122[[#This Row],[Passed1]:[Passed3]])/3)</f>
        <v>0</v>
      </c>
    </row>
    <row r="24" spans="1:15" ht="15" customHeight="1">
      <c r="A24">
        <v>3451</v>
      </c>
      <c r="B24" s="72" t="s">
        <v>3365</v>
      </c>
      <c r="C24" s="7">
        <v>0.63600000000000001</v>
      </c>
      <c r="E24" s="11">
        <v>45726.945717592593</v>
      </c>
      <c r="F24" s="11">
        <v>45726.94636574074</v>
      </c>
      <c r="G24" s="11">
        <v>45726.946689814817</v>
      </c>
      <c r="H24">
        <v>1</v>
      </c>
      <c r="I24">
        <v>1</v>
      </c>
      <c r="J24">
        <v>1</v>
      </c>
      <c r="K24">
        <f>IF(COUNTA(https___leetcode_com_problemse__1122[[#This Row],[Passed1]:[Passed3]])=0, "", IF(SUM(https___leetcode_com_problemse__1122[[#This Row],[Passed1]:[Passed3]])&gt;1, 1, 0))</f>
        <v>1</v>
      </c>
      <c r="O24" s="7" cm="1">
        <f t="array" ref="O24">SUM((https___leetcode_com_problemse__1122[[#This Row],[Passed1]:[Passed3]])/3)</f>
        <v>1</v>
      </c>
    </row>
    <row r="25" spans="1:15" ht="15" customHeight="1">
      <c r="A25">
        <v>3454</v>
      </c>
      <c r="B25" s="6" t="str">
        <f>HYPERLINK(https___leetcode_com_problemse__11[[#This Row],[Column2]],https___leetcode_com_problemse__11[[#This Row],[Problem Link]])</f>
        <v xml:space="preserve"> Separate Squares II</v>
      </c>
      <c r="C25" s="7">
        <v>0.182</v>
      </c>
      <c r="E25" s="11">
        <v>45726.943240740744</v>
      </c>
      <c r="F25" s="11">
        <v>45726.94394675926</v>
      </c>
      <c r="G25" s="11">
        <v>45726.944988425923</v>
      </c>
      <c r="H25">
        <v>1</v>
      </c>
      <c r="I25">
        <v>1</v>
      </c>
      <c r="J25">
        <v>0</v>
      </c>
      <c r="K25">
        <f>IF(COUNTA(https___leetcode_com_problemse__1122[[#This Row],[Passed1]:[Passed3]])=0, "", IF(SUM(https___leetcode_com_problemse__1122[[#This Row],[Passed1]:[Passed3]])&gt;1, 1, 0))</f>
        <v>1</v>
      </c>
      <c r="N25" t="s">
        <v>3364</v>
      </c>
      <c r="O25" s="7" cm="1">
        <f t="array" ref="O25">SUM((https___leetcode_com_problemse__1122[[#This Row],[Passed1]:[Passed3]])/3)</f>
        <v>0.66666666666666663</v>
      </c>
    </row>
    <row r="26" spans="1:15" ht="15" customHeight="1">
      <c r="A26" s="71">
        <v>3455</v>
      </c>
      <c r="B26" s="6" t="str">
        <f>HYPERLINK(https___leetcode_com_problemse__11[[#This Row],[Column2]],https___leetcode_com_problemse__11[[#This Row],[Problem Link]])</f>
        <v xml:space="preserve"> Shortest Matching Substring</v>
      </c>
      <c r="C26" s="7">
        <v>0.23800000000000002</v>
      </c>
      <c r="E26" s="11">
        <v>45727.395833333336</v>
      </c>
      <c r="F26" s="11">
        <v>45727.397222222222</v>
      </c>
      <c r="G26" s="11">
        <v>45727.398611111108</v>
      </c>
      <c r="H26">
        <v>0</v>
      </c>
      <c r="I26">
        <v>0</v>
      </c>
      <c r="J26">
        <v>0</v>
      </c>
      <c r="K26">
        <f>IF(COUNTA(https___leetcode_com_problemse__1122[[#This Row],[Passed1]:[Passed3]])=0, "", IF(SUM(https___leetcode_com_problemse__1122[[#This Row],[Passed1]:[Passed3]])&gt;1, 1, 0))</f>
        <v>0</v>
      </c>
      <c r="L26" t="s">
        <v>3364</v>
      </c>
      <c r="M26" t="s">
        <v>3364</v>
      </c>
      <c r="N26" t="s">
        <v>3364</v>
      </c>
      <c r="O26" s="7" cm="1">
        <f t="array" ref="O26">SUM((https___leetcode_com_problemse__1122[[#This Row],[Passed1]:[Passed3]])/3)</f>
        <v>0</v>
      </c>
    </row>
    <row r="27" spans="1:15" ht="15" customHeight="1">
      <c r="A27" s="71">
        <v>3459</v>
      </c>
      <c r="B27" s="6" t="str">
        <f>HYPERLINK(https___leetcode_com_problemse__11[[#This Row],[Column2]],https___leetcode_com_problemse__11[[#This Row],[Problem Link]])</f>
        <v xml:space="preserve"> Length of Longest V-Shaped Diagonal Segment</v>
      </c>
      <c r="C27" s="7">
        <v>0.39200000000000002</v>
      </c>
      <c r="E27" s="11">
        <v>45727.4</v>
      </c>
      <c r="F27" s="11">
        <v>45727.401388888888</v>
      </c>
      <c r="G27" s="11">
        <v>45727.402083333334</v>
      </c>
      <c r="H27">
        <v>0</v>
      </c>
      <c r="I27">
        <v>0</v>
      </c>
      <c r="J27">
        <v>0</v>
      </c>
      <c r="K27">
        <f>IF(COUNTA(https___leetcode_com_problemse__1122[[#This Row],[Passed1]:[Passed3]])=0, "", IF(SUM(https___leetcode_com_problemse__1122[[#This Row],[Passed1]:[Passed3]])&gt;1, 1, 0))</f>
        <v>0</v>
      </c>
      <c r="L27" t="s">
        <v>3369</v>
      </c>
      <c r="M27" t="s">
        <v>3364</v>
      </c>
      <c r="N27" t="s">
        <v>3364</v>
      </c>
      <c r="O27" s="7" cm="1">
        <f t="array" ref="O27">SUM((https___leetcode_com_problemse__1122[[#This Row],[Passed1]:[Passed3]])/3)</f>
        <v>0</v>
      </c>
    </row>
    <row r="28" spans="1:15" ht="15" customHeight="1">
      <c r="A28" s="71">
        <v>3463</v>
      </c>
      <c r="B28" s="6" t="str">
        <f>HYPERLINK(https___leetcode_com_problemse__11[[#This Row],[Column2]],https___leetcode_com_problemse__11[[#This Row],[Problem Link]])</f>
        <v xml:space="preserve"> Check If Digits Are Equal in String After Operations II</v>
      </c>
      <c r="C28" s="7">
        <v>9.0999999999999998E-2</v>
      </c>
      <c r="E28" s="11">
        <v>45727.404166666667</v>
      </c>
      <c r="F28" s="11">
        <v>45727.404861111114</v>
      </c>
      <c r="G28" s="11">
        <v>45727.405555555553</v>
      </c>
      <c r="H28">
        <v>1</v>
      </c>
      <c r="I28">
        <v>1</v>
      </c>
      <c r="J28">
        <v>1</v>
      </c>
      <c r="K28">
        <f>IF(COUNTA(https___leetcode_com_problemse__1122[[#This Row],[Passed1]:[Passed3]])=0, "", IF(SUM(https___leetcode_com_problemse__1122[[#This Row],[Passed1]:[Passed3]])&gt;1, 1, 0))</f>
        <v>1</v>
      </c>
      <c r="O28" s="7" cm="1">
        <f t="array" ref="O28">SUM((https___leetcode_com_problemse__1122[[#This Row],[Passed1]:[Passed3]])/3)</f>
        <v>1</v>
      </c>
    </row>
    <row r="29" spans="1:15" ht="15" customHeight="1">
      <c r="A29" s="71">
        <v>3464</v>
      </c>
      <c r="B29" s="6" t="str">
        <f>HYPERLINK(https___leetcode_com_problemse__11[[#This Row],[Column2]],https___leetcode_com_problemse__11[[#This Row],[Problem Link]])</f>
        <v xml:space="preserve"> Maximize the Distance Between Points on a Square</v>
      </c>
      <c r="C29" s="7">
        <v>0.19</v>
      </c>
      <c r="E29" s="11">
        <v>45727.40625</v>
      </c>
      <c r="F29" s="11">
        <v>45727.406944444447</v>
      </c>
      <c r="G29" s="11">
        <v>45727.408333333333</v>
      </c>
      <c r="H29">
        <v>1</v>
      </c>
      <c r="I29">
        <v>1</v>
      </c>
      <c r="J29">
        <v>1</v>
      </c>
      <c r="K29">
        <f>IF(COUNTA(https___leetcode_com_problemse__1122[[#This Row],[Passed1]:[Passed3]])=0, "", IF(SUM(https___leetcode_com_problemse__1122[[#This Row],[Passed1]:[Passed3]])&gt;1, 1, 0))</f>
        <v>1</v>
      </c>
      <c r="O29" s="7" cm="1">
        <f t="array" ref="O29">SUM((https___leetcode_com_problemse__1122[[#This Row],[Passed1]:[Passed3]])/3)</f>
        <v>1</v>
      </c>
    </row>
    <row r="30" spans="1:15" ht="15" customHeight="1">
      <c r="A30" s="71">
        <v>3470</v>
      </c>
      <c r="B30" s="6" t="str">
        <f>HYPERLINK(https___leetcode_com_problemse__11[[#This Row],[Column2]],https___leetcode_com_problemse__11[[#This Row],[Problem Link]])</f>
        <v xml:space="preserve"> Permutations IV</v>
      </c>
      <c r="C30" s="7">
        <v>0.247</v>
      </c>
      <c r="E30" s="11">
        <v>45727.410416666666</v>
      </c>
      <c r="F30" s="11">
        <v>45727.411111111112</v>
      </c>
      <c r="G30" s="11">
        <v>45727.411805555559</v>
      </c>
      <c r="H30">
        <v>1</v>
      </c>
      <c r="I30">
        <v>1</v>
      </c>
      <c r="J30">
        <v>1</v>
      </c>
      <c r="K30">
        <f>IF(COUNTA(https___leetcode_com_problemse__1122[[#This Row],[Passed1]:[Passed3]])=0, "", IF(SUM(https___leetcode_com_problemse__1122[[#This Row],[Passed1]:[Passed3]])&gt;1, 1, 0))</f>
        <v>1</v>
      </c>
      <c r="O30" s="7" cm="1">
        <f t="array" ref="O30">SUM((https___leetcode_com_problemse__1122[[#This Row],[Passed1]:[Passed3]])/3)</f>
        <v>1</v>
      </c>
    </row>
    <row r="31" spans="1:15" ht="15" customHeight="1">
      <c r="A31" s="71">
        <v>3474</v>
      </c>
      <c r="B31" s="6" t="str">
        <f>HYPERLINK(https___leetcode_com_problemse__11[[#This Row],[Column2]],https___leetcode_com_problemse__11[[#This Row],[Problem Link]])</f>
        <v xml:space="preserve"> Lexicographically Smallest Generated String</v>
      </c>
      <c r="C31" s="7">
        <v>0.26200000000000001</v>
      </c>
      <c r="E31" s="11">
        <v>45727.413194444445</v>
      </c>
      <c r="F31" s="11">
        <v>45727.414583333331</v>
      </c>
      <c r="G31" s="11">
        <v>45727.415972222225</v>
      </c>
      <c r="H31">
        <v>0</v>
      </c>
      <c r="I31">
        <v>1</v>
      </c>
      <c r="J31">
        <v>1</v>
      </c>
      <c r="K31">
        <f>IF(COUNTA(https___leetcode_com_problemse__1122[[#This Row],[Passed1]:[Passed3]])=0, "", IF(SUM(https___leetcode_com_problemse__1122[[#This Row],[Passed1]:[Passed3]])&gt;1, 1, 0))</f>
        <v>1</v>
      </c>
      <c r="L31" t="s">
        <v>3364</v>
      </c>
      <c r="O31" s="7" cm="1">
        <f t="array" ref="O31">SUM((https___leetcode_com_problemse__1122[[#This Row],[Passed1]:[Passed3]])/3)</f>
        <v>0.66666666666666663</v>
      </c>
    </row>
    <row r="32" spans="1:15" ht="15" customHeight="1">
      <c r="A32" s="71">
        <v>3480</v>
      </c>
      <c r="B32" s="6" t="str">
        <f>HYPERLINK(https___leetcode_com_problemse__11[[#This Row],[Column2]],https___leetcode_com_problemse__11[[#This Row],[Problem Link]])</f>
        <v xml:space="preserve"> Maximize Subarrays After Removing One Conflicting Pair</v>
      </c>
      <c r="C32" s="7">
        <v>0.22600000000000001</v>
      </c>
      <c r="E32" s="11">
        <v>45727.418055555558</v>
      </c>
      <c r="F32" s="11">
        <v>45727.420138888891</v>
      </c>
      <c r="G32" s="11">
        <v>45727.421527777777</v>
      </c>
      <c r="H32">
        <v>0</v>
      </c>
      <c r="I32">
        <v>0</v>
      </c>
      <c r="J32">
        <v>0</v>
      </c>
      <c r="K32">
        <f>IF(COUNTA(https___leetcode_com_problemse__1122[[#This Row],[Passed1]:[Passed3]])=0, "", IF(SUM(https___leetcode_com_problemse__1122[[#This Row],[Passed1]:[Passed3]])&gt;1, 1, 0))</f>
        <v>0</v>
      </c>
      <c r="L32" t="s">
        <v>3364</v>
      </c>
      <c r="M32" t="s">
        <v>3364</v>
      </c>
      <c r="N32" t="s">
        <v>3364</v>
      </c>
      <c r="O32" s="7" cm="1">
        <f t="array" ref="O32">SUM((https___leetcode_com_problemse__1122[[#This Row],[Passed1]:[Passed3]])/3)</f>
        <v>0</v>
      </c>
    </row>
    <row r="33" spans="15:15">
      <c r="O33" s="1"/>
    </row>
  </sheetData>
  <mergeCells count="1">
    <mergeCell ref="A1:D1"/>
  </mergeCells>
  <conditionalFormatting sqref="B32">
    <cfRule type="duplicateValues" dxfId="4" priority="1"/>
  </conditionalFormatting>
  <hyperlinks>
    <hyperlink ref="B24" r:id="rId1" xr:uid="{2B5842A5-BB17-4D66-A5D7-147C5DA408AA}"/>
    <hyperlink ref="B3" r:id="rId2" xr:uid="{7974EE00-831D-456C-86A0-CC8976FC0C9D}"/>
  </hyperlinks>
  <pageMargins left="0.7" right="0.7" top="0.75" bottom="0.75" header="0.3" footer="0.3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405CF-0519-4391-A7D5-43A99DEAAAC1}">
  <sheetPr codeName="Sheet3"/>
  <dimension ref="A1:I101"/>
  <sheetViews>
    <sheetView workbookViewId="0">
      <selection activeCell="C6" sqref="C6"/>
    </sheetView>
  </sheetViews>
  <sheetFormatPr defaultRowHeight="14.5"/>
  <cols>
    <col min="1" max="1" width="48.453125" bestFit="1" customWidth="1"/>
    <col min="2" max="2" width="80.7265625" bestFit="1" customWidth="1"/>
    <col min="3" max="5" width="19.1796875" bestFit="1" customWidth="1"/>
    <col min="6" max="6" width="73.54296875" bestFit="1" customWidth="1"/>
    <col min="7" max="7" width="7.26953125" bestFit="1" customWidth="1"/>
    <col min="8" max="8" width="10.54296875" bestFit="1" customWidth="1"/>
    <col min="9" max="9" width="13" bestFit="1" customWidth="1"/>
  </cols>
  <sheetData>
    <row r="1" spans="1:9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1664</v>
      </c>
      <c r="H1" t="s">
        <v>109</v>
      </c>
      <c r="I1" t="s">
        <v>110</v>
      </c>
    </row>
    <row r="2" spans="1:9">
      <c r="A2" t="s">
        <v>1665</v>
      </c>
      <c r="B2" t="s">
        <v>970</v>
      </c>
      <c r="C2" t="s">
        <v>113</v>
      </c>
      <c r="D2" t="s">
        <v>154</v>
      </c>
      <c r="E2" t="s">
        <v>511</v>
      </c>
      <c r="F2" t="s">
        <v>971</v>
      </c>
      <c r="G2" t="s">
        <v>1666</v>
      </c>
      <c r="H2" t="s">
        <v>27</v>
      </c>
    </row>
    <row r="3" spans="1:9">
      <c r="A3" t="s">
        <v>1667</v>
      </c>
      <c r="B3" t="s">
        <v>1458</v>
      </c>
      <c r="C3" t="s">
        <v>117</v>
      </c>
      <c r="D3" t="s">
        <v>42</v>
      </c>
      <c r="E3" t="s">
        <v>84</v>
      </c>
      <c r="F3" t="s">
        <v>1459</v>
      </c>
      <c r="G3" t="s">
        <v>1668</v>
      </c>
      <c r="H3" t="s">
        <v>27</v>
      </c>
    </row>
    <row r="4" spans="1:9">
      <c r="A4" t="s">
        <v>1669</v>
      </c>
      <c r="B4" t="s">
        <v>510</v>
      </c>
      <c r="C4" t="s">
        <v>43</v>
      </c>
      <c r="D4" t="s">
        <v>511</v>
      </c>
      <c r="E4" t="s">
        <v>204</v>
      </c>
      <c r="F4" t="s">
        <v>512</v>
      </c>
      <c r="G4" t="s">
        <v>1670</v>
      </c>
      <c r="H4" t="s">
        <v>27</v>
      </c>
    </row>
    <row r="5" spans="1:9">
      <c r="A5" t="s">
        <v>1671</v>
      </c>
      <c r="B5" t="s">
        <v>334</v>
      </c>
      <c r="C5" t="s">
        <v>43</v>
      </c>
      <c r="D5" t="s">
        <v>84</v>
      </c>
      <c r="E5" t="s">
        <v>126</v>
      </c>
      <c r="F5" t="s">
        <v>335</v>
      </c>
      <c r="G5" t="s">
        <v>1672</v>
      </c>
      <c r="H5" t="s">
        <v>27</v>
      </c>
    </row>
    <row r="6" spans="1:9">
      <c r="A6" t="s">
        <v>1673</v>
      </c>
      <c r="B6" t="s">
        <v>1336</v>
      </c>
      <c r="C6" t="s">
        <v>139</v>
      </c>
      <c r="D6" t="s">
        <v>117</v>
      </c>
      <c r="E6" t="s">
        <v>209</v>
      </c>
      <c r="F6" t="s">
        <v>1337</v>
      </c>
      <c r="G6" t="s">
        <v>1674</v>
      </c>
      <c r="H6" t="s">
        <v>27</v>
      </c>
    </row>
    <row r="7" spans="1:9">
      <c r="A7" t="s">
        <v>1675</v>
      </c>
      <c r="B7" t="s">
        <v>1259</v>
      </c>
      <c r="C7" t="s">
        <v>117</v>
      </c>
      <c r="D7" t="s">
        <v>42</v>
      </c>
      <c r="E7" t="s">
        <v>160</v>
      </c>
      <c r="F7" t="s">
        <v>1260</v>
      </c>
      <c r="G7" t="s">
        <v>1676</v>
      </c>
      <c r="H7" t="s">
        <v>27</v>
      </c>
    </row>
    <row r="8" spans="1:9">
      <c r="A8" t="s">
        <v>1677</v>
      </c>
      <c r="B8" t="s">
        <v>285</v>
      </c>
      <c r="C8" t="s">
        <v>113</v>
      </c>
      <c r="D8" t="s">
        <v>139</v>
      </c>
      <c r="E8" t="s">
        <v>44</v>
      </c>
      <c r="F8" t="s">
        <v>286</v>
      </c>
      <c r="G8" t="s">
        <v>1678</v>
      </c>
      <c r="H8" t="s">
        <v>27</v>
      </c>
      <c r="I8">
        <v>1</v>
      </c>
    </row>
    <row r="9" spans="1:9">
      <c r="A9" t="s">
        <v>1679</v>
      </c>
      <c r="B9" t="s">
        <v>1056</v>
      </c>
      <c r="C9" t="s">
        <v>113</v>
      </c>
      <c r="D9" t="s">
        <v>139</v>
      </c>
      <c r="E9" t="s">
        <v>126</v>
      </c>
      <c r="F9" t="s">
        <v>1057</v>
      </c>
      <c r="G9" t="s">
        <v>1680</v>
      </c>
      <c r="H9" t="s">
        <v>27</v>
      </c>
    </row>
    <row r="10" spans="1:9">
      <c r="A10" t="s">
        <v>1681</v>
      </c>
      <c r="B10" t="s">
        <v>275</v>
      </c>
      <c r="C10" t="s">
        <v>113</v>
      </c>
      <c r="D10" t="s">
        <v>272</v>
      </c>
      <c r="E10" t="s">
        <v>217</v>
      </c>
      <c r="F10" t="s">
        <v>276</v>
      </c>
      <c r="G10" t="s">
        <v>1682</v>
      </c>
      <c r="H10" t="s">
        <v>27</v>
      </c>
    </row>
    <row r="11" spans="1:9">
      <c r="A11" t="s">
        <v>1683</v>
      </c>
      <c r="B11" t="s">
        <v>1453</v>
      </c>
      <c r="C11" t="s">
        <v>117</v>
      </c>
      <c r="D11" t="s">
        <v>42</v>
      </c>
      <c r="E11" t="s">
        <v>63</v>
      </c>
      <c r="F11" t="s">
        <v>1454</v>
      </c>
      <c r="G11" t="s">
        <v>1684</v>
      </c>
      <c r="H11" t="s">
        <v>27</v>
      </c>
      <c r="I11">
        <v>1</v>
      </c>
    </row>
    <row r="12" spans="1:9">
      <c r="A12" t="s">
        <v>1685</v>
      </c>
      <c r="B12" t="s">
        <v>168</v>
      </c>
      <c r="C12" t="s">
        <v>113</v>
      </c>
      <c r="D12" t="s">
        <v>44</v>
      </c>
      <c r="E12" t="s">
        <v>126</v>
      </c>
      <c r="F12" t="s">
        <v>169</v>
      </c>
      <c r="G12" t="s">
        <v>1686</v>
      </c>
      <c r="H12" t="s">
        <v>27</v>
      </c>
    </row>
    <row r="13" spans="1:9">
      <c r="A13" t="s">
        <v>1687</v>
      </c>
      <c r="B13" t="s">
        <v>131</v>
      </c>
      <c r="C13" t="s">
        <v>44</v>
      </c>
      <c r="D13" t="s">
        <v>126</v>
      </c>
      <c r="E13" t="s">
        <v>126</v>
      </c>
      <c r="F13" t="s">
        <v>132</v>
      </c>
      <c r="G13" t="s">
        <v>1688</v>
      </c>
      <c r="H13" t="s">
        <v>27</v>
      </c>
    </row>
    <row r="14" spans="1:9">
      <c r="A14" t="s">
        <v>1689</v>
      </c>
      <c r="B14" t="s">
        <v>727</v>
      </c>
      <c r="C14" t="s">
        <v>233</v>
      </c>
      <c r="D14" t="s">
        <v>84</v>
      </c>
      <c r="E14" t="s">
        <v>126</v>
      </c>
      <c r="F14" t="s">
        <v>728</v>
      </c>
      <c r="G14" t="s">
        <v>1690</v>
      </c>
      <c r="H14" t="s">
        <v>27</v>
      </c>
    </row>
    <row r="15" spans="1:9">
      <c r="A15" t="s">
        <v>1691</v>
      </c>
      <c r="B15" t="s">
        <v>1584</v>
      </c>
      <c r="C15" t="s">
        <v>117</v>
      </c>
      <c r="D15" t="s">
        <v>126</v>
      </c>
      <c r="E15" t="s">
        <v>126</v>
      </c>
      <c r="F15" t="s">
        <v>1585</v>
      </c>
      <c r="G15" t="s">
        <v>1692</v>
      </c>
      <c r="H15" t="s">
        <v>27</v>
      </c>
    </row>
    <row r="16" spans="1:9">
      <c r="A16" t="s">
        <v>1693</v>
      </c>
      <c r="B16" t="s">
        <v>796</v>
      </c>
      <c r="C16" t="s">
        <v>113</v>
      </c>
      <c r="D16" t="s">
        <v>117</v>
      </c>
      <c r="E16" t="s">
        <v>797</v>
      </c>
      <c r="F16" t="s">
        <v>798</v>
      </c>
      <c r="G16" t="s">
        <v>1694</v>
      </c>
      <c r="H16" t="s">
        <v>27</v>
      </c>
    </row>
    <row r="17" spans="1:9">
      <c r="A17" t="s">
        <v>1695</v>
      </c>
      <c r="B17" t="s">
        <v>884</v>
      </c>
      <c r="C17" t="s">
        <v>139</v>
      </c>
      <c r="D17" t="s">
        <v>117</v>
      </c>
      <c r="E17" t="s">
        <v>209</v>
      </c>
      <c r="F17" t="s">
        <v>885</v>
      </c>
      <c r="G17" t="s">
        <v>1696</v>
      </c>
      <c r="H17" t="s">
        <v>27</v>
      </c>
    </row>
    <row r="18" spans="1:9">
      <c r="A18" t="s">
        <v>1697</v>
      </c>
      <c r="B18" t="s">
        <v>802</v>
      </c>
      <c r="C18" t="s">
        <v>113</v>
      </c>
      <c r="D18" t="s">
        <v>160</v>
      </c>
      <c r="E18" t="s">
        <v>191</v>
      </c>
      <c r="F18" t="s">
        <v>803</v>
      </c>
      <c r="G18" t="s">
        <v>1698</v>
      </c>
      <c r="H18" t="s">
        <v>27</v>
      </c>
    </row>
    <row r="19" spans="1:9">
      <c r="A19" t="s">
        <v>1699</v>
      </c>
      <c r="B19" t="s">
        <v>598</v>
      </c>
      <c r="C19" t="s">
        <v>113</v>
      </c>
      <c r="D19" t="s">
        <v>42</v>
      </c>
      <c r="E19" t="s">
        <v>160</v>
      </c>
      <c r="F19" t="s">
        <v>599</v>
      </c>
      <c r="G19" t="s">
        <v>1700</v>
      </c>
      <c r="H19" t="s">
        <v>27</v>
      </c>
      <c r="I19">
        <v>2</v>
      </c>
    </row>
    <row r="20" spans="1:9">
      <c r="A20" t="s">
        <v>1701</v>
      </c>
      <c r="B20" t="s">
        <v>1021</v>
      </c>
      <c r="C20" t="s">
        <v>117</v>
      </c>
      <c r="D20" t="s">
        <v>42</v>
      </c>
      <c r="E20" t="s">
        <v>126</v>
      </c>
      <c r="F20" t="s">
        <v>1022</v>
      </c>
      <c r="G20" t="s">
        <v>1702</v>
      </c>
      <c r="H20" t="s">
        <v>27</v>
      </c>
    </row>
    <row r="21" spans="1:9">
      <c r="A21" t="s">
        <v>1703</v>
      </c>
      <c r="B21" t="s">
        <v>716</v>
      </c>
      <c r="C21" t="s">
        <v>117</v>
      </c>
      <c r="D21" t="s">
        <v>42</v>
      </c>
      <c r="E21" t="s">
        <v>126</v>
      </c>
      <c r="F21" t="s">
        <v>717</v>
      </c>
      <c r="G21" t="s">
        <v>1704</v>
      </c>
      <c r="H21" t="s">
        <v>27</v>
      </c>
    </row>
    <row r="22" spans="1:9">
      <c r="A22" t="s">
        <v>1705</v>
      </c>
      <c r="B22" t="s">
        <v>682</v>
      </c>
      <c r="C22" t="s">
        <v>113</v>
      </c>
      <c r="D22" t="s">
        <v>42</v>
      </c>
      <c r="E22" t="s">
        <v>126</v>
      </c>
      <c r="F22" t="s">
        <v>683</v>
      </c>
      <c r="G22" t="s">
        <v>1706</v>
      </c>
      <c r="H22" t="s">
        <v>27</v>
      </c>
    </row>
    <row r="23" spans="1:9">
      <c r="A23" t="s">
        <v>1707</v>
      </c>
      <c r="B23" t="s">
        <v>1049</v>
      </c>
      <c r="C23" t="s">
        <v>42</v>
      </c>
      <c r="D23" t="s">
        <v>135</v>
      </c>
      <c r="E23" t="s">
        <v>204</v>
      </c>
      <c r="F23" t="s">
        <v>1050</v>
      </c>
      <c r="G23" t="s">
        <v>1708</v>
      </c>
      <c r="H23" t="s">
        <v>27</v>
      </c>
    </row>
    <row r="24" spans="1:9">
      <c r="A24" t="s">
        <v>1709</v>
      </c>
      <c r="B24" t="s">
        <v>1496</v>
      </c>
      <c r="C24" t="s">
        <v>139</v>
      </c>
      <c r="D24" t="s">
        <v>117</v>
      </c>
      <c r="E24" t="s">
        <v>44</v>
      </c>
      <c r="F24" t="s">
        <v>1497</v>
      </c>
      <c r="G24" t="s">
        <v>1710</v>
      </c>
      <c r="H24" t="s">
        <v>27</v>
      </c>
      <c r="I24">
        <v>1</v>
      </c>
    </row>
    <row r="25" spans="1:9">
      <c r="A25" t="s">
        <v>1711</v>
      </c>
      <c r="B25" t="s">
        <v>1012</v>
      </c>
      <c r="C25" t="s">
        <v>139</v>
      </c>
      <c r="D25" t="s">
        <v>117</v>
      </c>
      <c r="E25" t="s">
        <v>176</v>
      </c>
      <c r="F25" t="s">
        <v>1013</v>
      </c>
      <c r="G25" t="s">
        <v>1712</v>
      </c>
      <c r="H25" t="s">
        <v>27</v>
      </c>
    </row>
    <row r="26" spans="1:9">
      <c r="A26" t="s">
        <v>1713</v>
      </c>
      <c r="B26" t="s">
        <v>1287</v>
      </c>
      <c r="C26" t="s">
        <v>117</v>
      </c>
      <c r="D26" t="s">
        <v>42</v>
      </c>
      <c r="E26" t="s">
        <v>126</v>
      </c>
      <c r="F26" t="s">
        <v>1288</v>
      </c>
      <c r="G26" t="s">
        <v>1714</v>
      </c>
      <c r="H26" t="s">
        <v>27</v>
      </c>
    </row>
    <row r="27" spans="1:9">
      <c r="A27" t="s">
        <v>1715</v>
      </c>
      <c r="B27" t="s">
        <v>903</v>
      </c>
      <c r="C27" t="s">
        <v>113</v>
      </c>
      <c r="D27" t="s">
        <v>63</v>
      </c>
      <c r="E27" t="s">
        <v>126</v>
      </c>
      <c r="F27" t="s">
        <v>904</v>
      </c>
      <c r="G27" t="s">
        <v>1716</v>
      </c>
      <c r="H27" t="s">
        <v>27</v>
      </c>
    </row>
    <row r="28" spans="1:9">
      <c r="A28" t="s">
        <v>1717</v>
      </c>
      <c r="B28" t="s">
        <v>601</v>
      </c>
      <c r="C28" t="s">
        <v>113</v>
      </c>
      <c r="D28" t="s">
        <v>139</v>
      </c>
      <c r="E28" t="s">
        <v>117</v>
      </c>
      <c r="F28" t="s">
        <v>602</v>
      </c>
      <c r="G28" t="s">
        <v>1700</v>
      </c>
      <c r="H28" t="s">
        <v>27</v>
      </c>
      <c r="I28">
        <v>4</v>
      </c>
    </row>
    <row r="29" spans="1:9">
      <c r="A29" t="s">
        <v>1718</v>
      </c>
      <c r="B29" t="s">
        <v>1474</v>
      </c>
      <c r="C29" t="s">
        <v>113</v>
      </c>
      <c r="D29" t="s">
        <v>139</v>
      </c>
      <c r="E29" t="s">
        <v>233</v>
      </c>
      <c r="F29" t="s">
        <v>1475</v>
      </c>
      <c r="G29" t="s">
        <v>1719</v>
      </c>
      <c r="H29" t="s">
        <v>27</v>
      </c>
      <c r="I29">
        <v>1</v>
      </c>
    </row>
    <row r="30" spans="1:9">
      <c r="A30" t="s">
        <v>1720</v>
      </c>
      <c r="B30" t="s">
        <v>912</v>
      </c>
      <c r="C30" t="s">
        <v>113</v>
      </c>
      <c r="D30" t="s">
        <v>154</v>
      </c>
      <c r="E30" t="s">
        <v>126</v>
      </c>
      <c r="F30" t="s">
        <v>913</v>
      </c>
      <c r="G30" t="s">
        <v>1721</v>
      </c>
      <c r="H30" t="s">
        <v>27</v>
      </c>
    </row>
    <row r="31" spans="1:9">
      <c r="A31" t="s">
        <v>1722</v>
      </c>
      <c r="B31" t="s">
        <v>1723</v>
      </c>
      <c r="C31" t="s">
        <v>113</v>
      </c>
      <c r="D31" t="s">
        <v>797</v>
      </c>
      <c r="E31" t="s">
        <v>1081</v>
      </c>
      <c r="F31" t="s">
        <v>126</v>
      </c>
      <c r="G31" t="s">
        <v>1666</v>
      </c>
      <c r="H31" t="s">
        <v>27</v>
      </c>
    </row>
    <row r="32" spans="1:9">
      <c r="A32" t="s">
        <v>1724</v>
      </c>
      <c r="B32" t="s">
        <v>1142</v>
      </c>
      <c r="C32" t="s">
        <v>113</v>
      </c>
      <c r="D32" t="s">
        <v>42</v>
      </c>
      <c r="E32" t="s">
        <v>65</v>
      </c>
      <c r="F32" t="s">
        <v>1143</v>
      </c>
      <c r="G32" t="s">
        <v>1725</v>
      </c>
      <c r="H32" t="s">
        <v>27</v>
      </c>
    </row>
    <row r="33" spans="1:9">
      <c r="A33" t="s">
        <v>1726</v>
      </c>
      <c r="B33" t="s">
        <v>488</v>
      </c>
      <c r="C33" t="s">
        <v>125</v>
      </c>
      <c r="D33" t="s">
        <v>126</v>
      </c>
      <c r="E33" t="s">
        <v>126</v>
      </c>
      <c r="F33" t="s">
        <v>489</v>
      </c>
      <c r="G33" t="s">
        <v>1727</v>
      </c>
      <c r="H33" t="s">
        <v>27</v>
      </c>
    </row>
    <row r="34" spans="1:9">
      <c r="A34" t="s">
        <v>1728</v>
      </c>
      <c r="B34" t="s">
        <v>835</v>
      </c>
      <c r="C34" t="s">
        <v>113</v>
      </c>
      <c r="D34" t="s">
        <v>42</v>
      </c>
      <c r="E34" t="s">
        <v>126</v>
      </c>
      <c r="F34" t="s">
        <v>836</v>
      </c>
      <c r="G34" t="s">
        <v>1729</v>
      </c>
      <c r="H34" t="s">
        <v>27</v>
      </c>
    </row>
    <row r="35" spans="1:9">
      <c r="A35" t="s">
        <v>1730</v>
      </c>
      <c r="B35" t="s">
        <v>1203</v>
      </c>
      <c r="C35" t="s">
        <v>113</v>
      </c>
      <c r="D35" t="s">
        <v>117</v>
      </c>
      <c r="E35" t="s">
        <v>44</v>
      </c>
      <c r="F35" t="s">
        <v>1204</v>
      </c>
      <c r="G35" t="s">
        <v>1731</v>
      </c>
      <c r="H35" t="s">
        <v>27</v>
      </c>
      <c r="I35">
        <v>2</v>
      </c>
    </row>
    <row r="36" spans="1:9">
      <c r="A36" t="s">
        <v>1732</v>
      </c>
      <c r="B36" t="s">
        <v>1077</v>
      </c>
      <c r="C36" t="s">
        <v>117</v>
      </c>
      <c r="D36" t="s">
        <v>647</v>
      </c>
      <c r="E36" t="s">
        <v>768</v>
      </c>
      <c r="F36" t="s">
        <v>1078</v>
      </c>
      <c r="G36" t="s">
        <v>1733</v>
      </c>
      <c r="H36" t="s">
        <v>27</v>
      </c>
      <c r="I36">
        <v>1</v>
      </c>
    </row>
    <row r="37" spans="1:9">
      <c r="A37" t="s">
        <v>1734</v>
      </c>
      <c r="B37" t="s">
        <v>937</v>
      </c>
      <c r="C37" t="s">
        <v>113</v>
      </c>
      <c r="D37" t="s">
        <v>511</v>
      </c>
      <c r="E37" t="s">
        <v>938</v>
      </c>
      <c r="F37" t="s">
        <v>939</v>
      </c>
      <c r="G37" t="s">
        <v>1735</v>
      </c>
      <c r="H37" t="s">
        <v>27</v>
      </c>
    </row>
    <row r="38" spans="1:9">
      <c r="A38" t="s">
        <v>1736</v>
      </c>
      <c r="B38" t="s">
        <v>1550</v>
      </c>
      <c r="C38" t="s">
        <v>113</v>
      </c>
      <c r="D38" t="s">
        <v>209</v>
      </c>
      <c r="E38" t="s">
        <v>172</v>
      </c>
      <c r="F38" t="s">
        <v>1551</v>
      </c>
      <c r="G38" t="s">
        <v>1737</v>
      </c>
      <c r="H38" t="s">
        <v>27</v>
      </c>
      <c r="I38">
        <v>2</v>
      </c>
    </row>
    <row r="39" spans="1:9">
      <c r="A39" t="s">
        <v>1738</v>
      </c>
      <c r="B39" t="s">
        <v>878</v>
      </c>
      <c r="C39" t="s">
        <v>233</v>
      </c>
      <c r="D39" t="s">
        <v>117</v>
      </c>
      <c r="E39" t="s">
        <v>160</v>
      </c>
      <c r="F39" t="s">
        <v>879</v>
      </c>
      <c r="G39" t="s">
        <v>1739</v>
      </c>
      <c r="H39" t="s">
        <v>27</v>
      </c>
      <c r="I39">
        <v>1</v>
      </c>
    </row>
    <row r="40" spans="1:9">
      <c r="A40" t="s">
        <v>1740</v>
      </c>
      <c r="B40" t="s">
        <v>1262</v>
      </c>
      <c r="C40" t="s">
        <v>233</v>
      </c>
      <c r="D40" t="s">
        <v>42</v>
      </c>
      <c r="E40" t="s">
        <v>84</v>
      </c>
      <c r="F40" t="s">
        <v>1263</v>
      </c>
      <c r="G40" t="s">
        <v>1676</v>
      </c>
      <c r="H40" t="s">
        <v>27</v>
      </c>
    </row>
    <row r="41" spans="1:9">
      <c r="A41" t="s">
        <v>1741</v>
      </c>
      <c r="B41" t="s">
        <v>779</v>
      </c>
      <c r="C41" t="s">
        <v>113</v>
      </c>
      <c r="D41" t="s">
        <v>208</v>
      </c>
      <c r="E41" t="s">
        <v>209</v>
      </c>
      <c r="F41" t="s">
        <v>780</v>
      </c>
      <c r="G41" t="s">
        <v>1742</v>
      </c>
      <c r="H41" t="s">
        <v>27</v>
      </c>
      <c r="I41">
        <v>2</v>
      </c>
    </row>
    <row r="42" spans="1:9">
      <c r="A42" t="s">
        <v>1743</v>
      </c>
      <c r="B42" t="s">
        <v>1744</v>
      </c>
      <c r="C42" t="s">
        <v>113</v>
      </c>
      <c r="D42" t="s">
        <v>117</v>
      </c>
      <c r="E42" t="s">
        <v>84</v>
      </c>
      <c r="F42" t="s">
        <v>126</v>
      </c>
      <c r="G42" t="s">
        <v>1745</v>
      </c>
      <c r="H42" t="s">
        <v>27</v>
      </c>
    </row>
    <row r="43" spans="1:9">
      <c r="A43" t="s">
        <v>1746</v>
      </c>
      <c r="B43" t="s">
        <v>1208</v>
      </c>
      <c r="C43" t="s">
        <v>125</v>
      </c>
      <c r="D43" t="s">
        <v>126</v>
      </c>
      <c r="E43" t="s">
        <v>126</v>
      </c>
      <c r="F43" t="s">
        <v>1209</v>
      </c>
      <c r="G43" t="s">
        <v>1747</v>
      </c>
      <c r="H43" t="s">
        <v>27</v>
      </c>
    </row>
    <row r="44" spans="1:9">
      <c r="A44" t="s">
        <v>1748</v>
      </c>
      <c r="B44" t="s">
        <v>1749</v>
      </c>
      <c r="C44" t="s">
        <v>113</v>
      </c>
      <c r="D44" t="s">
        <v>42</v>
      </c>
      <c r="E44" t="s">
        <v>126</v>
      </c>
      <c r="F44" t="s">
        <v>1750</v>
      </c>
      <c r="G44" t="s">
        <v>1751</v>
      </c>
      <c r="H44" t="s">
        <v>27</v>
      </c>
    </row>
    <row r="45" spans="1:9">
      <c r="A45" t="s">
        <v>1752</v>
      </c>
      <c r="B45" t="s">
        <v>1753</v>
      </c>
      <c r="C45" t="s">
        <v>113</v>
      </c>
      <c r="D45" t="s">
        <v>117</v>
      </c>
      <c r="E45" t="s">
        <v>136</v>
      </c>
      <c r="F45" t="s">
        <v>1754</v>
      </c>
      <c r="G45" t="s">
        <v>1755</v>
      </c>
      <c r="H45" t="s">
        <v>27</v>
      </c>
      <c r="I45">
        <v>3</v>
      </c>
    </row>
    <row r="46" spans="1:9">
      <c r="A46" t="s">
        <v>1756</v>
      </c>
      <c r="B46" t="s">
        <v>1757</v>
      </c>
      <c r="C46" t="s">
        <v>272</v>
      </c>
      <c r="D46" t="s">
        <v>160</v>
      </c>
      <c r="E46" t="s">
        <v>135</v>
      </c>
      <c r="F46" t="s">
        <v>1758</v>
      </c>
      <c r="G46" t="s">
        <v>1759</v>
      </c>
      <c r="H46" t="s">
        <v>27</v>
      </c>
      <c r="I46">
        <v>4</v>
      </c>
    </row>
    <row r="47" spans="1:9">
      <c r="A47" t="s">
        <v>1760</v>
      </c>
      <c r="B47" t="s">
        <v>1311</v>
      </c>
      <c r="C47" t="s">
        <v>233</v>
      </c>
      <c r="D47" t="s">
        <v>117</v>
      </c>
      <c r="E47" t="s">
        <v>84</v>
      </c>
      <c r="F47" t="s">
        <v>1312</v>
      </c>
      <c r="G47" t="s">
        <v>1761</v>
      </c>
      <c r="H47" t="s">
        <v>27</v>
      </c>
    </row>
    <row r="48" spans="1:9">
      <c r="A48" t="s">
        <v>1762</v>
      </c>
      <c r="B48" t="s">
        <v>1046</v>
      </c>
      <c r="C48" t="s">
        <v>233</v>
      </c>
      <c r="D48" t="s">
        <v>117</v>
      </c>
      <c r="E48" t="s">
        <v>44</v>
      </c>
      <c r="F48" t="s">
        <v>1047</v>
      </c>
      <c r="G48" t="s">
        <v>1763</v>
      </c>
      <c r="H48" t="s">
        <v>27</v>
      </c>
    </row>
    <row r="49" spans="1:9">
      <c r="A49" t="s">
        <v>1764</v>
      </c>
      <c r="B49" t="s">
        <v>588</v>
      </c>
      <c r="C49" t="s">
        <v>272</v>
      </c>
      <c r="D49" t="s">
        <v>155</v>
      </c>
      <c r="E49" t="s">
        <v>172</v>
      </c>
      <c r="F49" t="s">
        <v>589</v>
      </c>
      <c r="G49" t="s">
        <v>1765</v>
      </c>
      <c r="H49" t="s">
        <v>27</v>
      </c>
      <c r="I49">
        <v>2</v>
      </c>
    </row>
    <row r="50" spans="1:9">
      <c r="A50" t="s">
        <v>1766</v>
      </c>
      <c r="B50" t="s">
        <v>1767</v>
      </c>
      <c r="C50" t="s">
        <v>113</v>
      </c>
      <c r="D50" t="s">
        <v>233</v>
      </c>
      <c r="E50" t="s">
        <v>172</v>
      </c>
      <c r="F50" t="s">
        <v>1768</v>
      </c>
      <c r="G50" t="s">
        <v>1769</v>
      </c>
      <c r="H50" t="s">
        <v>27</v>
      </c>
      <c r="I50">
        <v>1</v>
      </c>
    </row>
    <row r="51" spans="1:9">
      <c r="A51" t="s">
        <v>1770</v>
      </c>
      <c r="B51" t="s">
        <v>428</v>
      </c>
      <c r="C51" t="s">
        <v>117</v>
      </c>
      <c r="D51" t="s">
        <v>135</v>
      </c>
      <c r="E51" t="s">
        <v>136</v>
      </c>
      <c r="F51" t="s">
        <v>429</v>
      </c>
      <c r="G51" t="s">
        <v>1771</v>
      </c>
      <c r="H51" t="s">
        <v>27</v>
      </c>
      <c r="I51">
        <v>3</v>
      </c>
    </row>
    <row r="52" spans="1:9">
      <c r="A52" t="s">
        <v>1772</v>
      </c>
      <c r="B52" t="s">
        <v>735</v>
      </c>
      <c r="C52" t="s">
        <v>117</v>
      </c>
      <c r="D52" t="s">
        <v>44</v>
      </c>
      <c r="E52" t="s">
        <v>176</v>
      </c>
      <c r="F52" t="s">
        <v>736</v>
      </c>
      <c r="G52" t="s">
        <v>1773</v>
      </c>
      <c r="H52" t="s">
        <v>27</v>
      </c>
    </row>
    <row r="53" spans="1:9">
      <c r="A53" t="s">
        <v>1774</v>
      </c>
      <c r="B53" t="s">
        <v>1775</v>
      </c>
      <c r="C53" t="s">
        <v>113</v>
      </c>
      <c r="D53" t="s">
        <v>154</v>
      </c>
      <c r="E53" t="s">
        <v>136</v>
      </c>
      <c r="F53" t="s">
        <v>1776</v>
      </c>
      <c r="G53" t="s">
        <v>1777</v>
      </c>
      <c r="H53" t="s">
        <v>27</v>
      </c>
      <c r="I53">
        <v>2</v>
      </c>
    </row>
    <row r="54" spans="1:9">
      <c r="A54" t="s">
        <v>1778</v>
      </c>
      <c r="B54" t="s">
        <v>1779</v>
      </c>
      <c r="C54" t="s">
        <v>113</v>
      </c>
      <c r="D54" t="s">
        <v>139</v>
      </c>
      <c r="E54" t="s">
        <v>180</v>
      </c>
      <c r="F54" t="s">
        <v>1780</v>
      </c>
      <c r="G54" t="s">
        <v>1781</v>
      </c>
      <c r="H54" t="s">
        <v>27</v>
      </c>
    </row>
    <row r="55" spans="1:9">
      <c r="A55" t="s">
        <v>1782</v>
      </c>
      <c r="B55" t="s">
        <v>368</v>
      </c>
      <c r="C55" t="s">
        <v>113</v>
      </c>
      <c r="D55" t="s">
        <v>42</v>
      </c>
      <c r="E55" t="s">
        <v>126</v>
      </c>
      <c r="F55" t="s">
        <v>369</v>
      </c>
      <c r="G55" t="s">
        <v>1783</v>
      </c>
      <c r="H55" t="s">
        <v>27</v>
      </c>
    </row>
    <row r="56" spans="1:9">
      <c r="A56" t="s">
        <v>1784</v>
      </c>
      <c r="B56" t="s">
        <v>973</v>
      </c>
      <c r="C56" t="s">
        <v>113</v>
      </c>
      <c r="D56" t="s">
        <v>154</v>
      </c>
      <c r="E56" t="s">
        <v>511</v>
      </c>
      <c r="F56" t="s">
        <v>974</v>
      </c>
      <c r="G56" t="s">
        <v>1666</v>
      </c>
      <c r="H56" t="s">
        <v>27</v>
      </c>
      <c r="I56">
        <v>4</v>
      </c>
    </row>
    <row r="57" spans="1:9">
      <c r="A57" t="s">
        <v>1785</v>
      </c>
      <c r="B57" t="s">
        <v>1786</v>
      </c>
      <c r="C57" t="s">
        <v>113</v>
      </c>
      <c r="D57" t="s">
        <v>176</v>
      </c>
      <c r="E57" t="s">
        <v>65</v>
      </c>
      <c r="F57" t="s">
        <v>1787</v>
      </c>
      <c r="G57" t="s">
        <v>1788</v>
      </c>
      <c r="H57" t="s">
        <v>27</v>
      </c>
    </row>
    <row r="58" spans="1:9">
      <c r="A58" t="s">
        <v>1789</v>
      </c>
      <c r="B58" t="s">
        <v>1388</v>
      </c>
      <c r="C58" t="s">
        <v>113</v>
      </c>
      <c r="D58" t="s">
        <v>272</v>
      </c>
      <c r="E58" t="s">
        <v>160</v>
      </c>
      <c r="F58" t="s">
        <v>126</v>
      </c>
      <c r="G58" t="s">
        <v>1790</v>
      </c>
      <c r="H58" t="s">
        <v>27</v>
      </c>
      <c r="I58">
        <v>2</v>
      </c>
    </row>
    <row r="59" spans="1:9">
      <c r="A59" t="s">
        <v>1791</v>
      </c>
      <c r="B59" t="s">
        <v>1221</v>
      </c>
      <c r="C59" t="s">
        <v>113</v>
      </c>
      <c r="D59" t="s">
        <v>154</v>
      </c>
      <c r="E59" t="s">
        <v>511</v>
      </c>
      <c r="F59" t="s">
        <v>126</v>
      </c>
      <c r="G59" t="s">
        <v>1792</v>
      </c>
      <c r="H59" t="s">
        <v>27</v>
      </c>
      <c r="I59">
        <v>4</v>
      </c>
    </row>
    <row r="60" spans="1:9">
      <c r="A60" t="s">
        <v>1793</v>
      </c>
      <c r="B60" t="s">
        <v>538</v>
      </c>
      <c r="C60" t="s">
        <v>113</v>
      </c>
      <c r="D60" t="s">
        <v>42</v>
      </c>
      <c r="E60" t="s">
        <v>451</v>
      </c>
      <c r="F60" t="s">
        <v>539</v>
      </c>
      <c r="G60" t="s">
        <v>1794</v>
      </c>
      <c r="H60" t="s">
        <v>27</v>
      </c>
    </row>
    <row r="61" spans="1:9">
      <c r="A61" t="s">
        <v>1795</v>
      </c>
      <c r="B61" t="s">
        <v>575</v>
      </c>
      <c r="C61" t="s">
        <v>113</v>
      </c>
      <c r="D61" t="s">
        <v>63</v>
      </c>
      <c r="E61" t="s">
        <v>126</v>
      </c>
      <c r="F61" t="s">
        <v>576</v>
      </c>
      <c r="G61" t="s">
        <v>1796</v>
      </c>
      <c r="H61" t="s">
        <v>27</v>
      </c>
    </row>
    <row r="62" spans="1:9">
      <c r="A62" t="s">
        <v>1797</v>
      </c>
      <c r="B62" t="s">
        <v>945</v>
      </c>
      <c r="C62" t="s">
        <v>136</v>
      </c>
      <c r="D62" t="s">
        <v>121</v>
      </c>
      <c r="E62" t="s">
        <v>229</v>
      </c>
      <c r="F62" t="s">
        <v>126</v>
      </c>
      <c r="G62" t="s">
        <v>1798</v>
      </c>
      <c r="H62" t="s">
        <v>27</v>
      </c>
    </row>
    <row r="63" spans="1:9">
      <c r="A63" t="s">
        <v>1799</v>
      </c>
      <c r="B63" t="s">
        <v>1396</v>
      </c>
      <c r="C63" t="s">
        <v>113</v>
      </c>
      <c r="D63" t="s">
        <v>233</v>
      </c>
      <c r="E63" t="s">
        <v>624</v>
      </c>
      <c r="F63" t="s">
        <v>126</v>
      </c>
      <c r="G63" t="s">
        <v>1800</v>
      </c>
      <c r="H63" t="s">
        <v>27</v>
      </c>
    </row>
    <row r="64" spans="1:9">
      <c r="A64" t="s">
        <v>1801</v>
      </c>
      <c r="B64" t="s">
        <v>1236</v>
      </c>
      <c r="C64" t="s">
        <v>113</v>
      </c>
      <c r="D64" t="s">
        <v>139</v>
      </c>
      <c r="E64" t="s">
        <v>117</v>
      </c>
      <c r="F64" t="s">
        <v>1237</v>
      </c>
      <c r="G64" t="s">
        <v>1802</v>
      </c>
      <c r="H64" t="s">
        <v>27</v>
      </c>
      <c r="I64">
        <v>1</v>
      </c>
    </row>
    <row r="65" spans="1:9">
      <c r="A65" t="s">
        <v>1803</v>
      </c>
      <c r="B65" t="s">
        <v>374</v>
      </c>
      <c r="C65" t="s">
        <v>154</v>
      </c>
      <c r="D65" t="s">
        <v>155</v>
      </c>
      <c r="E65" t="s">
        <v>86</v>
      </c>
      <c r="F65" t="s">
        <v>375</v>
      </c>
      <c r="G65" t="s">
        <v>1804</v>
      </c>
      <c r="H65" t="s">
        <v>27</v>
      </c>
    </row>
    <row r="66" spans="1:9">
      <c r="A66" t="s">
        <v>1805</v>
      </c>
      <c r="B66" t="s">
        <v>1196</v>
      </c>
      <c r="C66" t="s">
        <v>113</v>
      </c>
      <c r="D66" t="s">
        <v>154</v>
      </c>
      <c r="E66" t="s">
        <v>204</v>
      </c>
      <c r="F66" t="s">
        <v>1197</v>
      </c>
      <c r="G66" t="s">
        <v>1806</v>
      </c>
      <c r="H66" t="s">
        <v>27</v>
      </c>
    </row>
    <row r="67" spans="1:9">
      <c r="A67" t="s">
        <v>1807</v>
      </c>
      <c r="B67" t="s">
        <v>1808</v>
      </c>
      <c r="C67" t="s">
        <v>139</v>
      </c>
      <c r="D67" t="s">
        <v>117</v>
      </c>
      <c r="E67" t="s">
        <v>63</v>
      </c>
      <c r="F67" t="s">
        <v>1809</v>
      </c>
      <c r="G67" t="s">
        <v>1810</v>
      </c>
      <c r="H67" t="s">
        <v>27</v>
      </c>
      <c r="I67">
        <v>3</v>
      </c>
    </row>
    <row r="68" spans="1:9">
      <c r="A68" t="s">
        <v>1811</v>
      </c>
      <c r="B68" t="s">
        <v>892</v>
      </c>
      <c r="C68" t="s">
        <v>113</v>
      </c>
      <c r="D68" t="s">
        <v>154</v>
      </c>
      <c r="E68" t="s">
        <v>65</v>
      </c>
      <c r="F68" t="s">
        <v>893</v>
      </c>
      <c r="G68" t="s">
        <v>1812</v>
      </c>
      <c r="H68" t="s">
        <v>27</v>
      </c>
      <c r="I68">
        <v>2</v>
      </c>
    </row>
    <row r="69" spans="1:9">
      <c r="A69" t="s">
        <v>1813</v>
      </c>
      <c r="B69" t="s">
        <v>1245</v>
      </c>
      <c r="C69" t="s">
        <v>113</v>
      </c>
      <c r="D69" t="s">
        <v>139</v>
      </c>
      <c r="E69" t="s">
        <v>233</v>
      </c>
      <c r="F69" t="s">
        <v>1246</v>
      </c>
      <c r="G69" t="s">
        <v>1814</v>
      </c>
      <c r="H69" t="s">
        <v>27</v>
      </c>
      <c r="I69">
        <v>2</v>
      </c>
    </row>
    <row r="70" spans="1:9">
      <c r="A70" t="s">
        <v>1815</v>
      </c>
      <c r="B70" t="s">
        <v>1293</v>
      </c>
      <c r="C70" t="s">
        <v>113</v>
      </c>
      <c r="D70" t="s">
        <v>550</v>
      </c>
      <c r="E70" t="s">
        <v>126</v>
      </c>
      <c r="F70" t="s">
        <v>126</v>
      </c>
      <c r="G70" t="s">
        <v>1816</v>
      </c>
      <c r="H70" t="s">
        <v>27</v>
      </c>
    </row>
    <row r="71" spans="1:9">
      <c r="A71" t="s">
        <v>1817</v>
      </c>
      <c r="B71" t="s">
        <v>805</v>
      </c>
      <c r="C71" t="s">
        <v>113</v>
      </c>
      <c r="D71" t="s">
        <v>42</v>
      </c>
      <c r="E71" t="s">
        <v>126</v>
      </c>
      <c r="F71" t="s">
        <v>806</v>
      </c>
      <c r="G71" t="s">
        <v>1698</v>
      </c>
      <c r="H71" t="s">
        <v>27</v>
      </c>
    </row>
    <row r="72" spans="1:9">
      <c r="A72" t="s">
        <v>1818</v>
      </c>
      <c r="B72" t="s">
        <v>420</v>
      </c>
      <c r="C72" t="s">
        <v>113</v>
      </c>
      <c r="D72" t="s">
        <v>176</v>
      </c>
      <c r="E72" t="s">
        <v>204</v>
      </c>
      <c r="F72" t="s">
        <v>421</v>
      </c>
      <c r="G72" t="s">
        <v>1819</v>
      </c>
      <c r="H72" t="s">
        <v>27</v>
      </c>
    </row>
    <row r="73" spans="1:9">
      <c r="A73" t="s">
        <v>1820</v>
      </c>
      <c r="B73" t="s">
        <v>467</v>
      </c>
      <c r="C73" t="s">
        <v>113</v>
      </c>
      <c r="D73" t="s">
        <v>154</v>
      </c>
      <c r="E73" t="s">
        <v>217</v>
      </c>
      <c r="F73" t="s">
        <v>468</v>
      </c>
      <c r="G73" t="s">
        <v>1821</v>
      </c>
      <c r="H73" t="s">
        <v>27</v>
      </c>
    </row>
    <row r="74" spans="1:9">
      <c r="A74" t="s">
        <v>1822</v>
      </c>
      <c r="B74" t="s">
        <v>1823</v>
      </c>
      <c r="C74" t="s">
        <v>113</v>
      </c>
      <c r="D74" t="s">
        <v>117</v>
      </c>
      <c r="E74" t="s">
        <v>44</v>
      </c>
      <c r="F74" t="s">
        <v>126</v>
      </c>
      <c r="G74" t="s">
        <v>1781</v>
      </c>
      <c r="H74" t="s">
        <v>27</v>
      </c>
      <c r="I74">
        <v>1</v>
      </c>
    </row>
    <row r="75" spans="1:9">
      <c r="A75" t="s">
        <v>1824</v>
      </c>
      <c r="B75" t="s">
        <v>1655</v>
      </c>
      <c r="C75" t="s">
        <v>117</v>
      </c>
      <c r="D75" t="s">
        <v>63</v>
      </c>
      <c r="E75" t="s">
        <v>184</v>
      </c>
      <c r="F75" t="s">
        <v>126</v>
      </c>
      <c r="G75" t="s">
        <v>1825</v>
      </c>
      <c r="H75" t="s">
        <v>27</v>
      </c>
    </row>
    <row r="76" spans="1:9">
      <c r="A76" t="s">
        <v>1826</v>
      </c>
      <c r="B76" t="s">
        <v>1827</v>
      </c>
      <c r="C76" t="s">
        <v>113</v>
      </c>
      <c r="D76" t="s">
        <v>117</v>
      </c>
      <c r="E76" t="s">
        <v>44</v>
      </c>
      <c r="F76" t="s">
        <v>1828</v>
      </c>
      <c r="G76" t="s">
        <v>1829</v>
      </c>
      <c r="H76" t="s">
        <v>27</v>
      </c>
      <c r="I76">
        <v>1</v>
      </c>
    </row>
    <row r="77" spans="1:9">
      <c r="A77" t="s">
        <v>1830</v>
      </c>
      <c r="B77" t="s">
        <v>1831</v>
      </c>
      <c r="C77" t="s">
        <v>117</v>
      </c>
      <c r="D77" t="s">
        <v>135</v>
      </c>
      <c r="E77" t="s">
        <v>136</v>
      </c>
      <c r="F77" t="s">
        <v>1832</v>
      </c>
      <c r="G77" t="s">
        <v>1833</v>
      </c>
      <c r="H77" t="s">
        <v>27</v>
      </c>
      <c r="I77">
        <v>1</v>
      </c>
    </row>
    <row r="78" spans="1:9">
      <c r="A78" t="s">
        <v>1834</v>
      </c>
      <c r="B78" t="s">
        <v>1835</v>
      </c>
      <c r="C78" t="s">
        <v>135</v>
      </c>
      <c r="D78" t="s">
        <v>136</v>
      </c>
      <c r="E78" t="s">
        <v>217</v>
      </c>
      <c r="F78" t="s">
        <v>1836</v>
      </c>
      <c r="G78" t="s">
        <v>1837</v>
      </c>
      <c r="H78" t="s">
        <v>27</v>
      </c>
    </row>
    <row r="79" spans="1:9">
      <c r="A79" t="s">
        <v>1838</v>
      </c>
      <c r="B79" t="s">
        <v>866</v>
      </c>
      <c r="C79" t="s">
        <v>139</v>
      </c>
      <c r="D79" t="s">
        <v>43</v>
      </c>
      <c r="E79" t="s">
        <v>155</v>
      </c>
      <c r="F79" t="s">
        <v>867</v>
      </c>
      <c r="G79" t="s">
        <v>1839</v>
      </c>
      <c r="H79" t="s">
        <v>27</v>
      </c>
      <c r="I79">
        <v>1</v>
      </c>
    </row>
    <row r="80" spans="1:9">
      <c r="A80" t="s">
        <v>1840</v>
      </c>
      <c r="B80" t="s">
        <v>992</v>
      </c>
      <c r="C80" t="s">
        <v>67</v>
      </c>
      <c r="D80" t="s">
        <v>126</v>
      </c>
      <c r="E80" t="s">
        <v>126</v>
      </c>
      <c r="F80" t="s">
        <v>993</v>
      </c>
      <c r="G80" t="s">
        <v>1841</v>
      </c>
      <c r="H80" t="s">
        <v>27</v>
      </c>
    </row>
    <row r="81" spans="1:9">
      <c r="A81" t="s">
        <v>1842</v>
      </c>
      <c r="B81" t="s">
        <v>543</v>
      </c>
      <c r="C81" t="s">
        <v>113</v>
      </c>
      <c r="D81" t="s">
        <v>42</v>
      </c>
      <c r="E81" t="s">
        <v>126</v>
      </c>
      <c r="F81" t="s">
        <v>544</v>
      </c>
      <c r="G81" t="s">
        <v>1843</v>
      </c>
      <c r="H81" t="s">
        <v>27</v>
      </c>
    </row>
    <row r="82" spans="1:9">
      <c r="A82" t="s">
        <v>1844</v>
      </c>
      <c r="B82" t="s">
        <v>401</v>
      </c>
      <c r="C82" t="s">
        <v>233</v>
      </c>
      <c r="D82" t="s">
        <v>42</v>
      </c>
      <c r="E82" t="s">
        <v>263</v>
      </c>
      <c r="F82" t="s">
        <v>402</v>
      </c>
      <c r="G82" t="s">
        <v>1845</v>
      </c>
      <c r="H82" t="s">
        <v>27</v>
      </c>
    </row>
    <row r="83" spans="1:9">
      <c r="A83" t="s">
        <v>1846</v>
      </c>
      <c r="B83" t="s">
        <v>841</v>
      </c>
      <c r="C83" t="s">
        <v>139</v>
      </c>
      <c r="D83" t="s">
        <v>43</v>
      </c>
      <c r="E83" t="s">
        <v>155</v>
      </c>
      <c r="F83" t="s">
        <v>842</v>
      </c>
      <c r="G83" t="s">
        <v>1847</v>
      </c>
      <c r="H83" t="s">
        <v>27</v>
      </c>
      <c r="I83">
        <v>1</v>
      </c>
    </row>
    <row r="84" spans="1:9">
      <c r="A84" t="s">
        <v>1848</v>
      </c>
      <c r="B84" t="s">
        <v>1849</v>
      </c>
      <c r="C84" t="s">
        <v>113</v>
      </c>
      <c r="D84" t="s">
        <v>42</v>
      </c>
      <c r="E84" t="s">
        <v>217</v>
      </c>
      <c r="F84" t="s">
        <v>1850</v>
      </c>
      <c r="G84" t="s">
        <v>1851</v>
      </c>
      <c r="H84" t="s">
        <v>27</v>
      </c>
    </row>
    <row r="85" spans="1:9">
      <c r="A85" t="s">
        <v>1852</v>
      </c>
      <c r="B85" t="s">
        <v>1400</v>
      </c>
      <c r="C85" t="s">
        <v>117</v>
      </c>
      <c r="D85" t="s">
        <v>42</v>
      </c>
      <c r="E85" t="s">
        <v>126</v>
      </c>
      <c r="F85" t="s">
        <v>1401</v>
      </c>
      <c r="G85" t="s">
        <v>1853</v>
      </c>
      <c r="H85" t="s">
        <v>27</v>
      </c>
    </row>
    <row r="86" spans="1:9">
      <c r="A86" t="s">
        <v>1854</v>
      </c>
      <c r="B86" t="s">
        <v>1855</v>
      </c>
      <c r="C86" t="s">
        <v>117</v>
      </c>
      <c r="D86" t="s">
        <v>42</v>
      </c>
      <c r="E86" t="s">
        <v>126</v>
      </c>
      <c r="F86" t="s">
        <v>126</v>
      </c>
      <c r="G86" t="s">
        <v>1856</v>
      </c>
      <c r="H86" t="s">
        <v>27</v>
      </c>
    </row>
    <row r="87" spans="1:9">
      <c r="A87" t="s">
        <v>1857</v>
      </c>
      <c r="B87" t="s">
        <v>719</v>
      </c>
      <c r="C87" t="s">
        <v>113</v>
      </c>
      <c r="D87" t="s">
        <v>117</v>
      </c>
      <c r="E87" t="s">
        <v>42</v>
      </c>
      <c r="F87" t="s">
        <v>720</v>
      </c>
      <c r="G87" t="s">
        <v>1704</v>
      </c>
      <c r="H87" t="s">
        <v>27</v>
      </c>
      <c r="I87">
        <v>2</v>
      </c>
    </row>
    <row r="88" spans="1:9">
      <c r="A88" t="s">
        <v>1858</v>
      </c>
      <c r="B88" t="s">
        <v>1303</v>
      </c>
      <c r="C88" t="s">
        <v>233</v>
      </c>
      <c r="D88" t="s">
        <v>959</v>
      </c>
      <c r="E88" t="s">
        <v>126</v>
      </c>
      <c r="F88" t="s">
        <v>126</v>
      </c>
      <c r="G88" t="s">
        <v>1859</v>
      </c>
      <c r="H88" t="s">
        <v>27</v>
      </c>
    </row>
    <row r="89" spans="1:9">
      <c r="A89" t="s">
        <v>1860</v>
      </c>
      <c r="B89" t="s">
        <v>1149</v>
      </c>
      <c r="C89" t="s">
        <v>113</v>
      </c>
      <c r="D89" t="s">
        <v>139</v>
      </c>
      <c r="E89" t="s">
        <v>209</v>
      </c>
      <c r="F89" t="s">
        <v>1150</v>
      </c>
      <c r="G89" t="s">
        <v>1861</v>
      </c>
      <c r="H89" t="s">
        <v>27</v>
      </c>
      <c r="I89">
        <v>1</v>
      </c>
    </row>
    <row r="90" spans="1:9">
      <c r="A90" t="s">
        <v>1862</v>
      </c>
      <c r="B90" t="s">
        <v>976</v>
      </c>
      <c r="C90" t="s">
        <v>233</v>
      </c>
      <c r="D90" t="s">
        <v>154</v>
      </c>
      <c r="E90" t="s">
        <v>126</v>
      </c>
      <c r="F90" t="s">
        <v>126</v>
      </c>
      <c r="G90" t="s">
        <v>1863</v>
      </c>
      <c r="H90" t="s">
        <v>27</v>
      </c>
    </row>
    <row r="91" spans="1:9">
      <c r="A91" t="s">
        <v>1864</v>
      </c>
      <c r="B91" t="s">
        <v>1376</v>
      </c>
      <c r="C91" t="s">
        <v>117</v>
      </c>
      <c r="D91" t="s">
        <v>42</v>
      </c>
      <c r="E91" t="s">
        <v>160</v>
      </c>
      <c r="F91" t="s">
        <v>126</v>
      </c>
      <c r="G91" t="s">
        <v>1865</v>
      </c>
      <c r="H91" t="s">
        <v>27</v>
      </c>
      <c r="I91">
        <v>2</v>
      </c>
    </row>
    <row r="92" spans="1:9">
      <c r="A92" t="s">
        <v>1866</v>
      </c>
      <c r="B92" t="s">
        <v>1867</v>
      </c>
      <c r="C92" t="s">
        <v>44</v>
      </c>
      <c r="D92" t="s">
        <v>1081</v>
      </c>
      <c r="E92" t="s">
        <v>126</v>
      </c>
      <c r="F92" t="s">
        <v>1868</v>
      </c>
      <c r="G92" t="s">
        <v>1869</v>
      </c>
      <c r="H92" t="s">
        <v>27</v>
      </c>
    </row>
    <row r="93" spans="1:9">
      <c r="A93" t="s">
        <v>1870</v>
      </c>
      <c r="B93" t="s">
        <v>1390</v>
      </c>
      <c r="C93" t="s">
        <v>113</v>
      </c>
      <c r="D93" t="s">
        <v>154</v>
      </c>
      <c r="E93" t="s">
        <v>511</v>
      </c>
      <c r="F93" t="s">
        <v>1391</v>
      </c>
      <c r="G93" t="s">
        <v>1871</v>
      </c>
      <c r="H93" t="s">
        <v>27</v>
      </c>
      <c r="I93">
        <v>4</v>
      </c>
    </row>
    <row r="94" spans="1:9">
      <c r="A94" t="s">
        <v>1872</v>
      </c>
      <c r="B94" t="s">
        <v>1873</v>
      </c>
      <c r="C94" t="s">
        <v>113</v>
      </c>
      <c r="D94" t="s">
        <v>117</v>
      </c>
      <c r="E94" t="s">
        <v>136</v>
      </c>
      <c r="F94" t="s">
        <v>1874</v>
      </c>
      <c r="G94" t="s">
        <v>1875</v>
      </c>
      <c r="H94" t="s">
        <v>27</v>
      </c>
      <c r="I94">
        <v>5</v>
      </c>
    </row>
    <row r="95" spans="1:9">
      <c r="A95" t="s">
        <v>1876</v>
      </c>
      <c r="B95" t="s">
        <v>585</v>
      </c>
      <c r="C95" t="s">
        <v>113</v>
      </c>
      <c r="D95" t="s">
        <v>63</v>
      </c>
      <c r="E95" t="s">
        <v>172</v>
      </c>
      <c r="F95" t="s">
        <v>586</v>
      </c>
      <c r="G95" t="s">
        <v>1877</v>
      </c>
      <c r="H95" t="s">
        <v>27</v>
      </c>
      <c r="I95">
        <v>1</v>
      </c>
    </row>
    <row r="96" spans="1:9">
      <c r="A96" t="s">
        <v>1878</v>
      </c>
      <c r="B96" t="s">
        <v>413</v>
      </c>
      <c r="C96" t="s">
        <v>117</v>
      </c>
      <c r="D96" t="s">
        <v>42</v>
      </c>
      <c r="E96" t="s">
        <v>204</v>
      </c>
      <c r="F96" t="s">
        <v>414</v>
      </c>
      <c r="G96" t="s">
        <v>1879</v>
      </c>
      <c r="H96" t="s">
        <v>27</v>
      </c>
    </row>
    <row r="97" spans="1:9">
      <c r="A97" t="s">
        <v>1880</v>
      </c>
      <c r="B97" t="s">
        <v>995</v>
      </c>
      <c r="C97" t="s">
        <v>113</v>
      </c>
      <c r="D97" t="s">
        <v>63</v>
      </c>
      <c r="E97" t="s">
        <v>126</v>
      </c>
      <c r="F97" t="s">
        <v>996</v>
      </c>
      <c r="G97" t="s">
        <v>1841</v>
      </c>
      <c r="H97" t="s">
        <v>27</v>
      </c>
    </row>
    <row r="98" spans="1:9">
      <c r="A98" t="s">
        <v>1881</v>
      </c>
      <c r="B98" t="s">
        <v>1882</v>
      </c>
      <c r="C98" t="s">
        <v>113</v>
      </c>
      <c r="D98" t="s">
        <v>117</v>
      </c>
      <c r="E98" t="s">
        <v>63</v>
      </c>
      <c r="F98" t="s">
        <v>1883</v>
      </c>
      <c r="G98" t="s">
        <v>1884</v>
      </c>
      <c r="H98" t="s">
        <v>27</v>
      </c>
      <c r="I98">
        <v>2</v>
      </c>
    </row>
    <row r="99" spans="1:9">
      <c r="A99" t="s">
        <v>1885</v>
      </c>
      <c r="B99" t="s">
        <v>753</v>
      </c>
      <c r="C99" t="s">
        <v>113</v>
      </c>
      <c r="D99" t="s">
        <v>42</v>
      </c>
      <c r="E99" t="s">
        <v>256</v>
      </c>
      <c r="F99" t="s">
        <v>754</v>
      </c>
      <c r="G99" t="s">
        <v>1886</v>
      </c>
      <c r="H99" t="s">
        <v>27</v>
      </c>
    </row>
    <row r="100" spans="1:9">
      <c r="A100" t="s">
        <v>1887</v>
      </c>
      <c r="B100" t="s">
        <v>1888</v>
      </c>
      <c r="C100" t="s">
        <v>113</v>
      </c>
      <c r="D100" t="s">
        <v>139</v>
      </c>
      <c r="E100" t="s">
        <v>213</v>
      </c>
      <c r="F100" t="s">
        <v>1889</v>
      </c>
      <c r="G100" t="s">
        <v>1890</v>
      </c>
      <c r="H100" t="s">
        <v>27</v>
      </c>
    </row>
    <row r="101" spans="1:9">
      <c r="A101" t="s">
        <v>1891</v>
      </c>
      <c r="B101" t="s">
        <v>514</v>
      </c>
      <c r="C101" t="s">
        <v>42</v>
      </c>
      <c r="D101" t="s">
        <v>126</v>
      </c>
      <c r="E101" t="s">
        <v>126</v>
      </c>
      <c r="F101" t="s">
        <v>515</v>
      </c>
      <c r="G101" t="s">
        <v>1670</v>
      </c>
      <c r="H101" t="s">
        <v>27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BB0F-D905-4ED4-8A30-9246C1118E42}">
  <sheetPr codeName="Sheet4"/>
  <dimension ref="A1:H101"/>
  <sheetViews>
    <sheetView workbookViewId="0">
      <selection activeCell="C6" sqref="C6"/>
    </sheetView>
  </sheetViews>
  <sheetFormatPr defaultRowHeight="14.5"/>
  <cols>
    <col min="1" max="1" width="52.453125" bestFit="1" customWidth="1"/>
    <col min="2" max="2" width="76" bestFit="1" customWidth="1"/>
    <col min="3" max="4" width="19.1796875" bestFit="1" customWidth="1"/>
    <col min="5" max="5" width="80.7265625" bestFit="1" customWidth="1"/>
    <col min="6" max="6" width="7.26953125" bestFit="1" customWidth="1"/>
    <col min="7" max="7" width="19.1796875" bestFit="1" customWidth="1"/>
    <col min="8" max="8" width="13" bestFit="1" customWidth="1"/>
  </cols>
  <sheetData>
    <row r="1" spans="1:8">
      <c r="A1" t="s">
        <v>101</v>
      </c>
      <c r="B1" t="s">
        <v>103</v>
      </c>
      <c r="C1" t="s">
        <v>104</v>
      </c>
      <c r="D1" t="s">
        <v>105</v>
      </c>
      <c r="E1" t="s">
        <v>107</v>
      </c>
      <c r="F1" t="s">
        <v>1664</v>
      </c>
      <c r="G1" t="s">
        <v>106</v>
      </c>
      <c r="H1" t="s">
        <v>110</v>
      </c>
    </row>
    <row r="2" spans="1:8">
      <c r="A2" t="s">
        <v>1892</v>
      </c>
      <c r="B2" t="s">
        <v>1393</v>
      </c>
      <c r="C2" t="s">
        <v>233</v>
      </c>
      <c r="D2" t="s">
        <v>117</v>
      </c>
      <c r="E2" t="s">
        <v>1394</v>
      </c>
      <c r="F2" t="s">
        <v>1871</v>
      </c>
      <c r="G2" t="s">
        <v>126</v>
      </c>
    </row>
    <row r="3" spans="1:8">
      <c r="A3" t="s">
        <v>1893</v>
      </c>
      <c r="B3" t="s">
        <v>1894</v>
      </c>
      <c r="C3" t="s">
        <v>113</v>
      </c>
      <c r="D3" t="s">
        <v>42</v>
      </c>
      <c r="E3" t="s">
        <v>1895</v>
      </c>
      <c r="F3" t="s">
        <v>1896</v>
      </c>
      <c r="G3" t="s">
        <v>65</v>
      </c>
    </row>
    <row r="4" spans="1:8">
      <c r="A4" t="s">
        <v>1897</v>
      </c>
      <c r="B4" t="s">
        <v>1898</v>
      </c>
      <c r="C4" t="s">
        <v>125</v>
      </c>
      <c r="D4" t="s">
        <v>126</v>
      </c>
      <c r="E4" t="s">
        <v>1899</v>
      </c>
      <c r="F4" t="s">
        <v>1900</v>
      </c>
      <c r="G4" t="s">
        <v>126</v>
      </c>
    </row>
    <row r="5" spans="1:8">
      <c r="A5" t="s">
        <v>1901</v>
      </c>
      <c r="B5" t="s">
        <v>1902</v>
      </c>
      <c r="C5" t="s">
        <v>125</v>
      </c>
      <c r="D5" t="s">
        <v>126</v>
      </c>
      <c r="E5" t="s">
        <v>126</v>
      </c>
      <c r="F5" t="s">
        <v>1903</v>
      </c>
      <c r="G5" t="s">
        <v>126</v>
      </c>
    </row>
    <row r="6" spans="1:8">
      <c r="A6" t="s">
        <v>1904</v>
      </c>
      <c r="B6" t="s">
        <v>1905</v>
      </c>
      <c r="C6" t="s">
        <v>125</v>
      </c>
      <c r="D6" t="s">
        <v>126</v>
      </c>
      <c r="E6" t="s">
        <v>1906</v>
      </c>
      <c r="F6" t="s">
        <v>1886</v>
      </c>
      <c r="G6" t="s">
        <v>126</v>
      </c>
    </row>
    <row r="7" spans="1:8">
      <c r="A7" t="s">
        <v>1907</v>
      </c>
      <c r="B7" t="s">
        <v>623</v>
      </c>
      <c r="C7" t="s">
        <v>113</v>
      </c>
      <c r="D7" t="s">
        <v>233</v>
      </c>
      <c r="E7" t="s">
        <v>625</v>
      </c>
      <c r="F7" t="s">
        <v>1908</v>
      </c>
      <c r="G7" t="s">
        <v>624</v>
      </c>
    </row>
    <row r="8" spans="1:8">
      <c r="A8" t="s">
        <v>1909</v>
      </c>
      <c r="B8" t="s">
        <v>1910</v>
      </c>
      <c r="C8" t="s">
        <v>139</v>
      </c>
      <c r="D8" t="s">
        <v>117</v>
      </c>
      <c r="E8" t="s">
        <v>1911</v>
      </c>
      <c r="F8" t="s">
        <v>1912</v>
      </c>
      <c r="G8" t="s">
        <v>155</v>
      </c>
      <c r="H8">
        <v>2</v>
      </c>
    </row>
    <row r="9" spans="1:8">
      <c r="A9" t="s">
        <v>1913</v>
      </c>
      <c r="B9" t="s">
        <v>1135</v>
      </c>
      <c r="C9" t="s">
        <v>117</v>
      </c>
      <c r="D9" t="s">
        <v>160</v>
      </c>
      <c r="E9" t="s">
        <v>1136</v>
      </c>
      <c r="F9" t="s">
        <v>1914</v>
      </c>
      <c r="G9" t="s">
        <v>126</v>
      </c>
    </row>
    <row r="10" spans="1:8">
      <c r="A10" t="s">
        <v>1915</v>
      </c>
      <c r="B10" t="s">
        <v>1088</v>
      </c>
      <c r="C10" t="s">
        <v>42</v>
      </c>
      <c r="D10" t="s">
        <v>126</v>
      </c>
      <c r="E10" t="s">
        <v>1089</v>
      </c>
      <c r="F10" t="s">
        <v>1916</v>
      </c>
      <c r="G10" t="s">
        <v>126</v>
      </c>
    </row>
    <row r="11" spans="1:8">
      <c r="A11" t="s">
        <v>1917</v>
      </c>
      <c r="B11" t="s">
        <v>713</v>
      </c>
      <c r="C11" t="s">
        <v>125</v>
      </c>
      <c r="D11" t="s">
        <v>126</v>
      </c>
      <c r="E11" t="s">
        <v>714</v>
      </c>
      <c r="F11" t="s">
        <v>1918</v>
      </c>
      <c r="G11" t="s">
        <v>126</v>
      </c>
    </row>
    <row r="12" spans="1:8">
      <c r="A12" t="s">
        <v>1919</v>
      </c>
      <c r="B12" t="s">
        <v>1920</v>
      </c>
      <c r="C12" t="s">
        <v>125</v>
      </c>
      <c r="D12" t="s">
        <v>126</v>
      </c>
      <c r="E12" t="s">
        <v>1921</v>
      </c>
      <c r="F12" t="s">
        <v>1922</v>
      </c>
      <c r="G12" t="s">
        <v>126</v>
      </c>
    </row>
    <row r="13" spans="1:8">
      <c r="A13" t="s">
        <v>1923</v>
      </c>
      <c r="B13" t="s">
        <v>1924</v>
      </c>
      <c r="C13" t="s">
        <v>125</v>
      </c>
      <c r="D13" t="s">
        <v>126</v>
      </c>
      <c r="E13" t="s">
        <v>1925</v>
      </c>
      <c r="F13" t="s">
        <v>1678</v>
      </c>
      <c r="G13" t="s">
        <v>126</v>
      </c>
    </row>
    <row r="14" spans="1:8">
      <c r="A14" t="s">
        <v>1926</v>
      </c>
      <c r="B14" t="s">
        <v>724</v>
      </c>
      <c r="C14" t="s">
        <v>42</v>
      </c>
      <c r="D14" t="s">
        <v>126</v>
      </c>
      <c r="E14" t="s">
        <v>725</v>
      </c>
      <c r="F14" t="s">
        <v>1927</v>
      </c>
      <c r="G14" t="s">
        <v>126</v>
      </c>
    </row>
    <row r="15" spans="1:8">
      <c r="A15" t="s">
        <v>1928</v>
      </c>
      <c r="B15" t="s">
        <v>1065</v>
      </c>
      <c r="C15" t="s">
        <v>113</v>
      </c>
      <c r="D15" t="s">
        <v>63</v>
      </c>
      <c r="E15" t="s">
        <v>1066</v>
      </c>
      <c r="F15" t="s">
        <v>1929</v>
      </c>
      <c r="G15" t="s">
        <v>172</v>
      </c>
      <c r="H15">
        <v>1</v>
      </c>
    </row>
    <row r="16" spans="1:8">
      <c r="A16" t="s">
        <v>1930</v>
      </c>
      <c r="B16" t="s">
        <v>1931</v>
      </c>
      <c r="C16" t="s">
        <v>113</v>
      </c>
      <c r="D16" t="s">
        <v>121</v>
      </c>
      <c r="E16" t="s">
        <v>1932</v>
      </c>
      <c r="F16" t="s">
        <v>1721</v>
      </c>
      <c r="G16" t="s">
        <v>155</v>
      </c>
      <c r="H16">
        <v>2</v>
      </c>
    </row>
    <row r="17" spans="1:8">
      <c r="A17" t="s">
        <v>1933</v>
      </c>
      <c r="B17" t="s">
        <v>198</v>
      </c>
      <c r="C17" t="s">
        <v>113</v>
      </c>
      <c r="D17" t="s">
        <v>139</v>
      </c>
      <c r="E17" t="s">
        <v>199</v>
      </c>
      <c r="F17" t="s">
        <v>1934</v>
      </c>
      <c r="G17" t="s">
        <v>63</v>
      </c>
      <c r="H17">
        <v>3</v>
      </c>
    </row>
    <row r="18" spans="1:8">
      <c r="A18" t="s">
        <v>1935</v>
      </c>
      <c r="B18" t="s">
        <v>1403</v>
      </c>
      <c r="C18" t="s">
        <v>117</v>
      </c>
      <c r="D18" t="s">
        <v>42</v>
      </c>
      <c r="E18" t="s">
        <v>1404</v>
      </c>
      <c r="F18" t="s">
        <v>1936</v>
      </c>
      <c r="G18" t="s">
        <v>126</v>
      </c>
    </row>
    <row r="19" spans="1:8">
      <c r="A19" t="s">
        <v>1937</v>
      </c>
      <c r="B19" t="s">
        <v>1938</v>
      </c>
      <c r="C19" t="s">
        <v>117</v>
      </c>
      <c r="D19" t="s">
        <v>136</v>
      </c>
      <c r="E19" t="s">
        <v>1939</v>
      </c>
      <c r="F19" t="s">
        <v>1940</v>
      </c>
      <c r="G19" t="s">
        <v>155</v>
      </c>
      <c r="H19">
        <v>4</v>
      </c>
    </row>
    <row r="20" spans="1:8">
      <c r="A20" t="s">
        <v>1941</v>
      </c>
      <c r="B20" t="s">
        <v>1942</v>
      </c>
      <c r="C20" t="s">
        <v>113</v>
      </c>
      <c r="D20" t="s">
        <v>154</v>
      </c>
      <c r="E20" t="s">
        <v>1943</v>
      </c>
      <c r="F20" t="s">
        <v>1806</v>
      </c>
      <c r="G20" t="s">
        <v>213</v>
      </c>
    </row>
    <row r="21" spans="1:8">
      <c r="A21" t="s">
        <v>1944</v>
      </c>
      <c r="B21" t="s">
        <v>1945</v>
      </c>
      <c r="C21" t="s">
        <v>113</v>
      </c>
      <c r="D21" t="s">
        <v>42</v>
      </c>
      <c r="E21" t="s">
        <v>1946</v>
      </c>
      <c r="F21" t="s">
        <v>1947</v>
      </c>
      <c r="G21" t="s">
        <v>126</v>
      </c>
    </row>
    <row r="22" spans="1:8">
      <c r="A22" t="s">
        <v>1948</v>
      </c>
      <c r="B22" t="s">
        <v>1949</v>
      </c>
      <c r="C22" t="s">
        <v>233</v>
      </c>
      <c r="D22" t="s">
        <v>126</v>
      </c>
      <c r="E22" t="s">
        <v>1950</v>
      </c>
      <c r="F22" t="s">
        <v>1951</v>
      </c>
      <c r="G22" t="s">
        <v>126</v>
      </c>
    </row>
    <row r="23" spans="1:8">
      <c r="A23" t="s">
        <v>1952</v>
      </c>
      <c r="B23" t="s">
        <v>360</v>
      </c>
      <c r="C23" t="s">
        <v>117</v>
      </c>
      <c r="D23" t="s">
        <v>42</v>
      </c>
      <c r="E23" t="s">
        <v>361</v>
      </c>
      <c r="F23" t="s">
        <v>1953</v>
      </c>
      <c r="G23" t="s">
        <v>126</v>
      </c>
    </row>
    <row r="24" spans="1:8">
      <c r="A24" t="s">
        <v>1954</v>
      </c>
      <c r="B24" t="s">
        <v>604</v>
      </c>
      <c r="C24" t="s">
        <v>233</v>
      </c>
      <c r="D24" t="s">
        <v>154</v>
      </c>
      <c r="E24" t="s">
        <v>605</v>
      </c>
      <c r="F24" t="s">
        <v>1955</v>
      </c>
      <c r="G24" t="s">
        <v>126</v>
      </c>
    </row>
    <row r="25" spans="1:8">
      <c r="A25" t="s">
        <v>1956</v>
      </c>
      <c r="B25" t="s">
        <v>1282</v>
      </c>
      <c r="C25" t="s">
        <v>113</v>
      </c>
      <c r="D25" t="s">
        <v>176</v>
      </c>
      <c r="E25" t="s">
        <v>1283</v>
      </c>
      <c r="F25" t="s">
        <v>1957</v>
      </c>
      <c r="G25" t="s">
        <v>204</v>
      </c>
    </row>
    <row r="26" spans="1:8">
      <c r="A26" t="s">
        <v>1958</v>
      </c>
      <c r="B26" t="s">
        <v>698</v>
      </c>
      <c r="C26" t="s">
        <v>113</v>
      </c>
      <c r="D26" t="s">
        <v>233</v>
      </c>
      <c r="E26" t="s">
        <v>699</v>
      </c>
      <c r="F26" t="s">
        <v>1959</v>
      </c>
      <c r="G26" t="s">
        <v>44</v>
      </c>
    </row>
    <row r="27" spans="1:8">
      <c r="A27" t="s">
        <v>1960</v>
      </c>
      <c r="B27" t="s">
        <v>1961</v>
      </c>
      <c r="C27" t="s">
        <v>113</v>
      </c>
      <c r="D27" t="s">
        <v>300</v>
      </c>
      <c r="E27" t="s">
        <v>1962</v>
      </c>
      <c r="F27" t="s">
        <v>1806</v>
      </c>
      <c r="G27" t="s">
        <v>156</v>
      </c>
      <c r="H27">
        <v>5</v>
      </c>
    </row>
    <row r="28" spans="1:8">
      <c r="A28" t="s">
        <v>1963</v>
      </c>
      <c r="B28" t="s">
        <v>1290</v>
      </c>
      <c r="C28" t="s">
        <v>136</v>
      </c>
      <c r="D28" t="s">
        <v>176</v>
      </c>
      <c r="E28" t="s">
        <v>1291</v>
      </c>
      <c r="F28" t="s">
        <v>1714</v>
      </c>
      <c r="G28" t="s">
        <v>204</v>
      </c>
    </row>
    <row r="29" spans="1:8">
      <c r="A29" t="s">
        <v>1964</v>
      </c>
      <c r="B29" t="s">
        <v>398</v>
      </c>
      <c r="C29" t="s">
        <v>113</v>
      </c>
      <c r="D29" t="s">
        <v>42</v>
      </c>
      <c r="E29" t="s">
        <v>399</v>
      </c>
      <c r="F29" t="s">
        <v>1777</v>
      </c>
      <c r="G29" t="s">
        <v>126</v>
      </c>
    </row>
    <row r="30" spans="1:8">
      <c r="A30" t="s">
        <v>1965</v>
      </c>
      <c r="B30" t="s">
        <v>690</v>
      </c>
      <c r="C30" t="s">
        <v>113</v>
      </c>
      <c r="D30" t="s">
        <v>139</v>
      </c>
      <c r="E30" t="s">
        <v>691</v>
      </c>
      <c r="F30" t="s">
        <v>1966</v>
      </c>
      <c r="G30" t="s">
        <v>117</v>
      </c>
      <c r="H30">
        <v>5</v>
      </c>
    </row>
    <row r="31" spans="1:8">
      <c r="A31" t="s">
        <v>1967</v>
      </c>
      <c r="B31" t="s">
        <v>838</v>
      </c>
      <c r="C31" t="s">
        <v>113</v>
      </c>
      <c r="D31" t="s">
        <v>156</v>
      </c>
      <c r="E31" t="s">
        <v>839</v>
      </c>
      <c r="F31" t="s">
        <v>1729</v>
      </c>
      <c r="G31" t="s">
        <v>86</v>
      </c>
    </row>
    <row r="32" spans="1:8">
      <c r="A32" t="s">
        <v>1968</v>
      </c>
      <c r="B32" t="s">
        <v>1321</v>
      </c>
      <c r="C32" t="s">
        <v>113</v>
      </c>
      <c r="D32" t="s">
        <v>139</v>
      </c>
      <c r="E32" t="s">
        <v>126</v>
      </c>
      <c r="F32" t="s">
        <v>1969</v>
      </c>
      <c r="G32" t="s">
        <v>233</v>
      </c>
      <c r="H32">
        <v>3</v>
      </c>
    </row>
    <row r="33" spans="1:8">
      <c r="A33" t="s">
        <v>1970</v>
      </c>
      <c r="B33" t="s">
        <v>1971</v>
      </c>
      <c r="C33" t="s">
        <v>139</v>
      </c>
      <c r="D33" t="s">
        <v>136</v>
      </c>
      <c r="E33" t="s">
        <v>1972</v>
      </c>
      <c r="F33" t="s">
        <v>1973</v>
      </c>
      <c r="G33" t="s">
        <v>217</v>
      </c>
    </row>
    <row r="34" spans="1:8">
      <c r="A34" t="s">
        <v>1974</v>
      </c>
      <c r="B34" t="s">
        <v>915</v>
      </c>
      <c r="C34" t="s">
        <v>155</v>
      </c>
      <c r="D34" t="s">
        <v>156</v>
      </c>
      <c r="E34" t="s">
        <v>916</v>
      </c>
      <c r="F34" t="s">
        <v>1721</v>
      </c>
      <c r="G34" t="s">
        <v>86</v>
      </c>
    </row>
    <row r="35" spans="1:8">
      <c r="A35" t="s">
        <v>1975</v>
      </c>
      <c r="B35" t="s">
        <v>1976</v>
      </c>
      <c r="C35" t="s">
        <v>43</v>
      </c>
      <c r="D35" t="s">
        <v>160</v>
      </c>
      <c r="E35" t="s">
        <v>1977</v>
      </c>
      <c r="F35" t="s">
        <v>1978</v>
      </c>
      <c r="G35" t="s">
        <v>155</v>
      </c>
      <c r="H35">
        <v>2</v>
      </c>
    </row>
    <row r="36" spans="1:8">
      <c r="A36" t="s">
        <v>1979</v>
      </c>
      <c r="B36" t="s">
        <v>844</v>
      </c>
      <c r="C36" t="s">
        <v>113</v>
      </c>
      <c r="D36" t="s">
        <v>272</v>
      </c>
      <c r="E36" t="s">
        <v>845</v>
      </c>
      <c r="F36" t="s">
        <v>1980</v>
      </c>
      <c r="G36" t="s">
        <v>154</v>
      </c>
      <c r="H36">
        <v>1</v>
      </c>
    </row>
    <row r="37" spans="1:8">
      <c r="A37" t="s">
        <v>1981</v>
      </c>
      <c r="B37" t="s">
        <v>252</v>
      </c>
      <c r="C37" t="s">
        <v>139</v>
      </c>
      <c r="D37" t="s">
        <v>117</v>
      </c>
      <c r="E37" t="s">
        <v>253</v>
      </c>
      <c r="F37" t="s">
        <v>1982</v>
      </c>
      <c r="G37" t="s">
        <v>160</v>
      </c>
      <c r="H37">
        <v>1</v>
      </c>
    </row>
    <row r="38" spans="1:8">
      <c r="A38" t="s">
        <v>1983</v>
      </c>
      <c r="B38" t="s">
        <v>1984</v>
      </c>
      <c r="C38" t="s">
        <v>117</v>
      </c>
      <c r="D38" t="s">
        <v>42</v>
      </c>
      <c r="E38" t="s">
        <v>1985</v>
      </c>
      <c r="F38" t="s">
        <v>1986</v>
      </c>
      <c r="G38" t="s">
        <v>209</v>
      </c>
    </row>
    <row r="39" spans="1:8">
      <c r="A39" t="s">
        <v>1987</v>
      </c>
      <c r="B39" t="s">
        <v>817</v>
      </c>
      <c r="C39" t="s">
        <v>117</v>
      </c>
      <c r="D39" t="s">
        <v>42</v>
      </c>
      <c r="E39" t="s">
        <v>818</v>
      </c>
      <c r="F39" t="s">
        <v>1988</v>
      </c>
      <c r="G39" t="s">
        <v>126</v>
      </c>
    </row>
    <row r="40" spans="1:8">
      <c r="A40" t="s">
        <v>1989</v>
      </c>
      <c r="B40" t="s">
        <v>153</v>
      </c>
      <c r="C40" t="s">
        <v>154</v>
      </c>
      <c r="D40" t="s">
        <v>155</v>
      </c>
      <c r="E40" t="s">
        <v>157</v>
      </c>
      <c r="F40" t="s">
        <v>1990</v>
      </c>
      <c r="G40" t="s">
        <v>156</v>
      </c>
      <c r="H40">
        <v>2</v>
      </c>
    </row>
    <row r="41" spans="1:8">
      <c r="A41" t="s">
        <v>1991</v>
      </c>
      <c r="B41" t="s">
        <v>612</v>
      </c>
      <c r="C41" t="s">
        <v>139</v>
      </c>
      <c r="D41" t="s">
        <v>117</v>
      </c>
      <c r="E41" t="s">
        <v>613</v>
      </c>
      <c r="F41" t="s">
        <v>1992</v>
      </c>
      <c r="G41" t="s">
        <v>160</v>
      </c>
      <c r="H41">
        <v>1</v>
      </c>
    </row>
    <row r="42" spans="1:8">
      <c r="A42" t="s">
        <v>1993</v>
      </c>
      <c r="B42" t="s">
        <v>1183</v>
      </c>
      <c r="C42" t="s">
        <v>113</v>
      </c>
      <c r="D42" t="s">
        <v>42</v>
      </c>
      <c r="E42" t="s">
        <v>1184</v>
      </c>
      <c r="F42" t="s">
        <v>1994</v>
      </c>
      <c r="G42" t="s">
        <v>65</v>
      </c>
    </row>
    <row r="43" spans="1:8">
      <c r="A43" t="s">
        <v>1995</v>
      </c>
      <c r="B43" t="s">
        <v>1029</v>
      </c>
      <c r="C43" t="s">
        <v>113</v>
      </c>
      <c r="D43" t="s">
        <v>139</v>
      </c>
      <c r="E43" t="s">
        <v>1030</v>
      </c>
      <c r="F43" t="s">
        <v>1996</v>
      </c>
      <c r="G43" t="s">
        <v>117</v>
      </c>
      <c r="H43">
        <v>2</v>
      </c>
    </row>
    <row r="44" spans="1:8">
      <c r="A44" t="s">
        <v>1997</v>
      </c>
      <c r="B44" t="s">
        <v>631</v>
      </c>
      <c r="C44" t="s">
        <v>113</v>
      </c>
      <c r="D44" t="s">
        <v>136</v>
      </c>
      <c r="E44" t="s">
        <v>632</v>
      </c>
      <c r="F44" t="s">
        <v>1998</v>
      </c>
      <c r="G44" t="s">
        <v>217</v>
      </c>
    </row>
    <row r="45" spans="1:8">
      <c r="A45" t="s">
        <v>1999</v>
      </c>
      <c r="B45" t="s">
        <v>456</v>
      </c>
      <c r="C45" t="s">
        <v>136</v>
      </c>
      <c r="D45" t="s">
        <v>121</v>
      </c>
      <c r="E45" t="s">
        <v>457</v>
      </c>
      <c r="F45" t="s">
        <v>2000</v>
      </c>
      <c r="G45" t="s">
        <v>229</v>
      </c>
    </row>
    <row r="46" spans="1:8">
      <c r="A46" t="s">
        <v>2001</v>
      </c>
      <c r="B46" t="s">
        <v>871</v>
      </c>
      <c r="C46" t="s">
        <v>113</v>
      </c>
      <c r="D46" t="s">
        <v>63</v>
      </c>
      <c r="E46" t="s">
        <v>872</v>
      </c>
      <c r="F46" t="s">
        <v>2002</v>
      </c>
      <c r="G46" t="s">
        <v>172</v>
      </c>
    </row>
    <row r="47" spans="1:8">
      <c r="A47" t="s">
        <v>2003</v>
      </c>
      <c r="B47" t="s">
        <v>2004</v>
      </c>
      <c r="C47" t="s">
        <v>113</v>
      </c>
      <c r="D47" t="s">
        <v>172</v>
      </c>
      <c r="E47" t="s">
        <v>2005</v>
      </c>
      <c r="F47" t="s">
        <v>2006</v>
      </c>
      <c r="G47" t="s">
        <v>184</v>
      </c>
    </row>
    <row r="48" spans="1:8">
      <c r="A48" t="s">
        <v>2007</v>
      </c>
      <c r="B48" t="s">
        <v>296</v>
      </c>
      <c r="C48" t="s">
        <v>117</v>
      </c>
      <c r="D48" t="s">
        <v>84</v>
      </c>
      <c r="E48" t="s">
        <v>297</v>
      </c>
      <c r="F48" t="s">
        <v>2008</v>
      </c>
      <c r="G48" t="s">
        <v>126</v>
      </c>
    </row>
    <row r="49" spans="1:8">
      <c r="A49" t="s">
        <v>2009</v>
      </c>
      <c r="B49" t="s">
        <v>431</v>
      </c>
      <c r="C49" t="s">
        <v>63</v>
      </c>
      <c r="D49" t="s">
        <v>136</v>
      </c>
      <c r="E49" t="s">
        <v>432</v>
      </c>
      <c r="F49" t="s">
        <v>2010</v>
      </c>
      <c r="G49" t="s">
        <v>217</v>
      </c>
    </row>
    <row r="50" spans="1:8">
      <c r="A50" t="s">
        <v>2011</v>
      </c>
      <c r="B50" t="s">
        <v>564</v>
      </c>
      <c r="C50" t="s">
        <v>113</v>
      </c>
      <c r="D50" t="s">
        <v>160</v>
      </c>
      <c r="E50" t="s">
        <v>565</v>
      </c>
      <c r="F50" t="s">
        <v>2012</v>
      </c>
      <c r="G50" t="s">
        <v>63</v>
      </c>
      <c r="H50">
        <v>2</v>
      </c>
    </row>
    <row r="51" spans="1:8">
      <c r="A51" t="s">
        <v>2013</v>
      </c>
      <c r="B51" t="s">
        <v>533</v>
      </c>
      <c r="C51" t="s">
        <v>139</v>
      </c>
      <c r="D51" t="s">
        <v>233</v>
      </c>
      <c r="E51" t="s">
        <v>534</v>
      </c>
      <c r="F51" t="s">
        <v>2014</v>
      </c>
      <c r="G51" t="s">
        <v>117</v>
      </c>
      <c r="H51">
        <v>2</v>
      </c>
    </row>
    <row r="52" spans="1:8">
      <c r="A52" t="s">
        <v>2015</v>
      </c>
      <c r="B52" t="s">
        <v>2016</v>
      </c>
      <c r="C52" t="s">
        <v>233</v>
      </c>
      <c r="D52" t="s">
        <v>117</v>
      </c>
      <c r="E52" t="s">
        <v>2017</v>
      </c>
      <c r="F52" t="s">
        <v>2018</v>
      </c>
      <c r="G52" t="s">
        <v>160</v>
      </c>
      <c r="H52">
        <v>1</v>
      </c>
    </row>
    <row r="53" spans="1:8">
      <c r="A53" t="s">
        <v>2019</v>
      </c>
      <c r="B53" t="s">
        <v>146</v>
      </c>
      <c r="C53" t="s">
        <v>113</v>
      </c>
      <c r="D53" t="s">
        <v>42</v>
      </c>
      <c r="E53" t="s">
        <v>148</v>
      </c>
      <c r="F53" t="s">
        <v>2020</v>
      </c>
      <c r="G53" t="s">
        <v>147</v>
      </c>
    </row>
    <row r="54" spans="1:8">
      <c r="A54" t="s">
        <v>2021</v>
      </c>
      <c r="B54" t="s">
        <v>2022</v>
      </c>
      <c r="C54" t="s">
        <v>113</v>
      </c>
      <c r="D54" t="s">
        <v>154</v>
      </c>
      <c r="E54" t="s">
        <v>2023</v>
      </c>
      <c r="F54" t="s">
        <v>1700</v>
      </c>
      <c r="G54" t="s">
        <v>126</v>
      </c>
    </row>
    <row r="55" spans="1:8">
      <c r="A55" t="s">
        <v>2024</v>
      </c>
      <c r="B55" t="s">
        <v>321</v>
      </c>
      <c r="C55" t="s">
        <v>113</v>
      </c>
      <c r="D55" t="s">
        <v>154</v>
      </c>
      <c r="E55" t="s">
        <v>322</v>
      </c>
      <c r="F55" t="s">
        <v>2025</v>
      </c>
      <c r="G55" t="s">
        <v>136</v>
      </c>
      <c r="H55">
        <v>4</v>
      </c>
    </row>
    <row r="56" spans="1:8">
      <c r="A56" t="s">
        <v>2026</v>
      </c>
      <c r="B56" t="s">
        <v>1327</v>
      </c>
      <c r="C56" t="s">
        <v>233</v>
      </c>
      <c r="D56" t="s">
        <v>126</v>
      </c>
      <c r="E56" t="s">
        <v>1328</v>
      </c>
      <c r="F56" t="s">
        <v>2027</v>
      </c>
      <c r="G56" t="s">
        <v>126</v>
      </c>
    </row>
    <row r="57" spans="1:8">
      <c r="A57" t="s">
        <v>2028</v>
      </c>
      <c r="B57" t="s">
        <v>669</v>
      </c>
      <c r="C57" t="s">
        <v>113</v>
      </c>
      <c r="D57" t="s">
        <v>233</v>
      </c>
      <c r="E57" t="s">
        <v>670</v>
      </c>
      <c r="F57" t="s">
        <v>2029</v>
      </c>
      <c r="G57" t="s">
        <v>82</v>
      </c>
      <c r="H57">
        <v>1</v>
      </c>
    </row>
    <row r="58" spans="1:8">
      <c r="A58" t="s">
        <v>2030</v>
      </c>
      <c r="B58" t="s">
        <v>849</v>
      </c>
      <c r="C58" t="s">
        <v>233</v>
      </c>
      <c r="D58" t="s">
        <v>154</v>
      </c>
      <c r="E58" t="s">
        <v>850</v>
      </c>
      <c r="F58" t="s">
        <v>2031</v>
      </c>
      <c r="G58" t="s">
        <v>126</v>
      </c>
    </row>
    <row r="59" spans="1:8">
      <c r="A59" t="s">
        <v>2032</v>
      </c>
      <c r="B59" t="s">
        <v>637</v>
      </c>
      <c r="C59" t="s">
        <v>113</v>
      </c>
      <c r="D59" t="s">
        <v>213</v>
      </c>
      <c r="E59" t="s">
        <v>638</v>
      </c>
      <c r="F59" t="s">
        <v>2018</v>
      </c>
      <c r="G59" t="s">
        <v>126</v>
      </c>
    </row>
    <row r="60" spans="1:8">
      <c r="A60" t="s">
        <v>2033</v>
      </c>
      <c r="B60" t="s">
        <v>1059</v>
      </c>
      <c r="C60" t="s">
        <v>113</v>
      </c>
      <c r="D60" t="s">
        <v>42</v>
      </c>
      <c r="E60" t="s">
        <v>1060</v>
      </c>
      <c r="F60" t="s">
        <v>1680</v>
      </c>
      <c r="G60" t="s">
        <v>126</v>
      </c>
    </row>
    <row r="61" spans="1:8">
      <c r="A61" t="s">
        <v>2034</v>
      </c>
      <c r="B61" t="s">
        <v>1273</v>
      </c>
      <c r="C61" t="s">
        <v>113</v>
      </c>
      <c r="D61" t="s">
        <v>180</v>
      </c>
      <c r="E61" t="s">
        <v>1274</v>
      </c>
      <c r="F61" t="s">
        <v>2035</v>
      </c>
      <c r="G61" t="s">
        <v>65</v>
      </c>
    </row>
    <row r="62" spans="1:8">
      <c r="A62" t="s">
        <v>2036</v>
      </c>
      <c r="B62" t="s">
        <v>1521</v>
      </c>
      <c r="C62" t="s">
        <v>113</v>
      </c>
      <c r="D62" t="s">
        <v>233</v>
      </c>
      <c r="E62" t="s">
        <v>1522</v>
      </c>
      <c r="F62" t="s">
        <v>2037</v>
      </c>
      <c r="G62" t="s">
        <v>42</v>
      </c>
      <c r="H62">
        <v>2</v>
      </c>
    </row>
    <row r="63" spans="1:8">
      <c r="A63" t="s">
        <v>2038</v>
      </c>
      <c r="B63" t="s">
        <v>327</v>
      </c>
      <c r="C63" t="s">
        <v>113</v>
      </c>
      <c r="D63" t="s">
        <v>233</v>
      </c>
      <c r="E63" t="s">
        <v>328</v>
      </c>
      <c r="F63" t="s">
        <v>2039</v>
      </c>
      <c r="G63" t="s">
        <v>82</v>
      </c>
      <c r="H63">
        <v>2</v>
      </c>
    </row>
    <row r="64" spans="1:8">
      <c r="A64" t="s">
        <v>2040</v>
      </c>
      <c r="B64" t="s">
        <v>782</v>
      </c>
      <c r="C64" t="s">
        <v>113</v>
      </c>
      <c r="D64" t="s">
        <v>139</v>
      </c>
      <c r="E64" t="s">
        <v>783</v>
      </c>
      <c r="F64" t="s">
        <v>2041</v>
      </c>
      <c r="G64" t="s">
        <v>176</v>
      </c>
    </row>
    <row r="65" spans="1:8">
      <c r="A65" t="s">
        <v>2042</v>
      </c>
      <c r="B65" t="s">
        <v>918</v>
      </c>
      <c r="C65" t="s">
        <v>42</v>
      </c>
      <c r="D65" t="s">
        <v>126</v>
      </c>
      <c r="E65" t="s">
        <v>919</v>
      </c>
      <c r="F65" t="s">
        <v>1721</v>
      </c>
      <c r="G65" t="s">
        <v>126</v>
      </c>
    </row>
    <row r="66" spans="1:8">
      <c r="A66" t="s">
        <v>2043</v>
      </c>
      <c r="B66" t="s">
        <v>555</v>
      </c>
      <c r="C66" t="s">
        <v>113</v>
      </c>
      <c r="D66" t="s">
        <v>136</v>
      </c>
      <c r="E66" t="s">
        <v>556</v>
      </c>
      <c r="F66" t="s">
        <v>2044</v>
      </c>
      <c r="G66" t="s">
        <v>217</v>
      </c>
    </row>
    <row r="67" spans="1:8">
      <c r="A67" t="s">
        <v>2045</v>
      </c>
      <c r="B67" t="s">
        <v>595</v>
      </c>
      <c r="C67" t="s">
        <v>139</v>
      </c>
      <c r="D67" t="s">
        <v>117</v>
      </c>
      <c r="E67" t="s">
        <v>596</v>
      </c>
      <c r="F67" t="s">
        <v>2046</v>
      </c>
      <c r="G67" t="s">
        <v>42</v>
      </c>
    </row>
    <row r="68" spans="1:8">
      <c r="A68" t="s">
        <v>2047</v>
      </c>
      <c r="B68" t="s">
        <v>998</v>
      </c>
      <c r="C68" t="s">
        <v>233</v>
      </c>
      <c r="D68" t="s">
        <v>959</v>
      </c>
      <c r="E68" t="s">
        <v>999</v>
      </c>
      <c r="F68" t="s">
        <v>1841</v>
      </c>
      <c r="G68" t="s">
        <v>126</v>
      </c>
    </row>
    <row r="69" spans="1:8">
      <c r="A69" t="s">
        <v>2048</v>
      </c>
      <c r="B69" t="s">
        <v>247</v>
      </c>
      <c r="C69" t="s">
        <v>42</v>
      </c>
      <c r="D69" t="s">
        <v>135</v>
      </c>
      <c r="E69" t="s">
        <v>248</v>
      </c>
      <c r="F69" t="s">
        <v>2049</v>
      </c>
      <c r="G69" t="s">
        <v>204</v>
      </c>
    </row>
    <row r="70" spans="1:8">
      <c r="A70" t="s">
        <v>2050</v>
      </c>
      <c r="B70" t="s">
        <v>519</v>
      </c>
      <c r="C70" t="s">
        <v>113</v>
      </c>
      <c r="D70" t="s">
        <v>139</v>
      </c>
      <c r="E70" t="s">
        <v>520</v>
      </c>
      <c r="F70" t="s">
        <v>2051</v>
      </c>
      <c r="G70" t="s">
        <v>117</v>
      </c>
      <c r="H70">
        <v>3</v>
      </c>
    </row>
    <row r="71" spans="1:8">
      <c r="A71" t="s">
        <v>2052</v>
      </c>
      <c r="B71" t="s">
        <v>1171</v>
      </c>
      <c r="C71" t="s">
        <v>113</v>
      </c>
      <c r="D71" t="s">
        <v>233</v>
      </c>
      <c r="E71" t="s">
        <v>126</v>
      </c>
      <c r="F71" t="s">
        <v>2053</v>
      </c>
      <c r="G71" t="s">
        <v>117</v>
      </c>
      <c r="H71">
        <v>2</v>
      </c>
    </row>
    <row r="72" spans="1:8">
      <c r="A72" t="s">
        <v>2054</v>
      </c>
      <c r="B72" t="s">
        <v>244</v>
      </c>
      <c r="C72" t="s">
        <v>42</v>
      </c>
      <c r="D72" t="s">
        <v>82</v>
      </c>
      <c r="E72" t="s">
        <v>245</v>
      </c>
      <c r="F72" t="s">
        <v>2055</v>
      </c>
      <c r="G72" t="s">
        <v>217</v>
      </c>
    </row>
    <row r="73" spans="1:8">
      <c r="A73" t="s">
        <v>2056</v>
      </c>
      <c r="B73" t="s">
        <v>549</v>
      </c>
      <c r="C73" t="s">
        <v>113</v>
      </c>
      <c r="D73" t="s">
        <v>156</v>
      </c>
      <c r="E73" t="s">
        <v>551</v>
      </c>
      <c r="F73" t="s">
        <v>1973</v>
      </c>
      <c r="G73" t="s">
        <v>550</v>
      </c>
      <c r="H73">
        <v>1</v>
      </c>
    </row>
    <row r="74" spans="1:8">
      <c r="A74" t="s">
        <v>2057</v>
      </c>
      <c r="B74" t="s">
        <v>1098</v>
      </c>
      <c r="C74" t="s">
        <v>117</v>
      </c>
      <c r="D74" t="s">
        <v>176</v>
      </c>
      <c r="E74" t="s">
        <v>1099</v>
      </c>
      <c r="F74" t="s">
        <v>1781</v>
      </c>
      <c r="G74" t="s">
        <v>126</v>
      </c>
    </row>
    <row r="75" spans="1:8">
      <c r="A75" t="s">
        <v>2058</v>
      </c>
      <c r="B75" t="s">
        <v>288</v>
      </c>
      <c r="C75" t="s">
        <v>113</v>
      </c>
      <c r="D75" t="s">
        <v>63</v>
      </c>
      <c r="E75" t="s">
        <v>289</v>
      </c>
      <c r="F75" t="s">
        <v>2059</v>
      </c>
      <c r="G75" t="s">
        <v>172</v>
      </c>
      <c r="H75">
        <v>1</v>
      </c>
    </row>
    <row r="76" spans="1:8">
      <c r="A76" t="s">
        <v>2060</v>
      </c>
      <c r="B76" t="s">
        <v>1359</v>
      </c>
      <c r="C76" t="s">
        <v>113</v>
      </c>
      <c r="D76" t="s">
        <v>154</v>
      </c>
      <c r="E76" t="s">
        <v>1360</v>
      </c>
      <c r="F76" t="s">
        <v>2061</v>
      </c>
      <c r="G76" t="s">
        <v>208</v>
      </c>
      <c r="H76">
        <v>4</v>
      </c>
    </row>
    <row r="77" spans="1:8">
      <c r="A77" t="s">
        <v>2062</v>
      </c>
      <c r="B77" t="s">
        <v>567</v>
      </c>
      <c r="C77" t="s">
        <v>113</v>
      </c>
      <c r="D77" t="s">
        <v>82</v>
      </c>
      <c r="E77" t="s">
        <v>568</v>
      </c>
      <c r="F77" t="s">
        <v>2063</v>
      </c>
      <c r="G77" t="s">
        <v>204</v>
      </c>
    </row>
    <row r="78" spans="1:8">
      <c r="A78" t="s">
        <v>2064</v>
      </c>
      <c r="B78" t="s">
        <v>1068</v>
      </c>
      <c r="C78" t="s">
        <v>113</v>
      </c>
      <c r="D78" t="s">
        <v>42</v>
      </c>
      <c r="E78" t="s">
        <v>1069</v>
      </c>
      <c r="F78" t="s">
        <v>1929</v>
      </c>
      <c r="G78" t="s">
        <v>63</v>
      </c>
      <c r="H78">
        <v>1</v>
      </c>
    </row>
    <row r="79" spans="1:8">
      <c r="A79" t="s">
        <v>2065</v>
      </c>
      <c r="B79" t="s">
        <v>1252</v>
      </c>
      <c r="C79" t="s">
        <v>233</v>
      </c>
      <c r="D79" t="s">
        <v>154</v>
      </c>
      <c r="E79" t="s">
        <v>1253</v>
      </c>
      <c r="F79" t="s">
        <v>2066</v>
      </c>
      <c r="G79" t="s">
        <v>126</v>
      </c>
    </row>
    <row r="80" spans="1:8">
      <c r="A80" t="s">
        <v>2067</v>
      </c>
      <c r="B80" t="s">
        <v>758</v>
      </c>
      <c r="C80" t="s">
        <v>113</v>
      </c>
      <c r="D80" t="s">
        <v>42</v>
      </c>
      <c r="E80" t="s">
        <v>759</v>
      </c>
      <c r="F80" t="s">
        <v>1912</v>
      </c>
      <c r="G80" t="s">
        <v>126</v>
      </c>
    </row>
    <row r="81" spans="1:8">
      <c r="A81" t="s">
        <v>2068</v>
      </c>
      <c r="B81" t="s">
        <v>661</v>
      </c>
      <c r="C81" t="s">
        <v>121</v>
      </c>
      <c r="D81" t="s">
        <v>184</v>
      </c>
      <c r="E81" t="s">
        <v>662</v>
      </c>
      <c r="F81" t="s">
        <v>2069</v>
      </c>
      <c r="G81" t="s">
        <v>83</v>
      </c>
    </row>
    <row r="82" spans="1:8">
      <c r="A82" t="s">
        <v>2070</v>
      </c>
      <c r="B82" t="s">
        <v>1471</v>
      </c>
      <c r="C82" t="s">
        <v>233</v>
      </c>
      <c r="D82" t="s">
        <v>154</v>
      </c>
      <c r="E82" t="s">
        <v>1472</v>
      </c>
      <c r="F82" t="s">
        <v>2071</v>
      </c>
      <c r="G82" t="s">
        <v>42</v>
      </c>
    </row>
    <row r="83" spans="1:8">
      <c r="A83" t="s">
        <v>2072</v>
      </c>
      <c r="B83" t="s">
        <v>1160</v>
      </c>
      <c r="C83" t="s">
        <v>113</v>
      </c>
      <c r="D83" t="s">
        <v>233</v>
      </c>
      <c r="E83" t="s">
        <v>1161</v>
      </c>
      <c r="F83" t="s">
        <v>2073</v>
      </c>
      <c r="G83" t="s">
        <v>172</v>
      </c>
    </row>
    <row r="84" spans="1:8">
      <c r="A84" t="s">
        <v>2074</v>
      </c>
      <c r="B84" t="s">
        <v>225</v>
      </c>
      <c r="C84" t="s">
        <v>139</v>
      </c>
      <c r="D84" t="s">
        <v>160</v>
      </c>
      <c r="E84" t="s">
        <v>226</v>
      </c>
      <c r="F84" t="s">
        <v>2075</v>
      </c>
      <c r="G84" t="s">
        <v>155</v>
      </c>
      <c r="H84">
        <v>1</v>
      </c>
    </row>
    <row r="85" spans="1:8">
      <c r="A85" t="s">
        <v>2076</v>
      </c>
      <c r="B85" t="s">
        <v>232</v>
      </c>
      <c r="C85" t="s">
        <v>233</v>
      </c>
      <c r="D85" t="s">
        <v>117</v>
      </c>
      <c r="E85" t="s">
        <v>234</v>
      </c>
      <c r="F85" t="s">
        <v>1900</v>
      </c>
      <c r="G85" t="s">
        <v>172</v>
      </c>
    </row>
    <row r="86" spans="1:8">
      <c r="A86" t="s">
        <v>2077</v>
      </c>
      <c r="B86" t="s">
        <v>961</v>
      </c>
      <c r="C86" t="s">
        <v>113</v>
      </c>
      <c r="D86" t="s">
        <v>233</v>
      </c>
      <c r="E86" t="s">
        <v>962</v>
      </c>
      <c r="F86" t="s">
        <v>2078</v>
      </c>
      <c r="G86" t="s">
        <v>117</v>
      </c>
      <c r="H86">
        <v>2</v>
      </c>
    </row>
    <row r="87" spans="1:8">
      <c r="A87" t="s">
        <v>2079</v>
      </c>
      <c r="B87" t="s">
        <v>480</v>
      </c>
      <c r="C87" t="s">
        <v>117</v>
      </c>
      <c r="D87" t="s">
        <v>42</v>
      </c>
      <c r="E87" t="s">
        <v>481</v>
      </c>
      <c r="F87" t="s">
        <v>2080</v>
      </c>
      <c r="G87" t="s">
        <v>213</v>
      </c>
    </row>
    <row r="88" spans="1:8">
      <c r="A88" t="s">
        <v>2081</v>
      </c>
      <c r="B88" t="s">
        <v>1126</v>
      </c>
      <c r="C88" t="s">
        <v>233</v>
      </c>
      <c r="D88" t="s">
        <v>117</v>
      </c>
      <c r="E88" t="s">
        <v>1127</v>
      </c>
      <c r="F88" t="s">
        <v>2082</v>
      </c>
      <c r="G88" t="s">
        <v>959</v>
      </c>
    </row>
    <row r="89" spans="1:8">
      <c r="A89" t="s">
        <v>2083</v>
      </c>
      <c r="B89" t="s">
        <v>1318</v>
      </c>
      <c r="C89" t="s">
        <v>233</v>
      </c>
      <c r="D89" t="s">
        <v>42</v>
      </c>
      <c r="E89" t="s">
        <v>1319</v>
      </c>
      <c r="F89" t="s">
        <v>2084</v>
      </c>
      <c r="G89" t="s">
        <v>121</v>
      </c>
      <c r="H89">
        <v>3</v>
      </c>
    </row>
    <row r="90" spans="1:8">
      <c r="A90" t="s">
        <v>2085</v>
      </c>
      <c r="B90" t="s">
        <v>379</v>
      </c>
      <c r="C90" t="s">
        <v>233</v>
      </c>
      <c r="D90" t="s">
        <v>42</v>
      </c>
      <c r="E90" t="s">
        <v>380</v>
      </c>
      <c r="F90" t="s">
        <v>2086</v>
      </c>
      <c r="G90" t="s">
        <v>263</v>
      </c>
    </row>
    <row r="91" spans="1:8">
      <c r="A91" t="s">
        <v>2087</v>
      </c>
      <c r="B91" t="s">
        <v>986</v>
      </c>
      <c r="C91" t="s">
        <v>113</v>
      </c>
      <c r="D91" t="s">
        <v>139</v>
      </c>
      <c r="E91" t="s">
        <v>987</v>
      </c>
      <c r="F91" t="s">
        <v>2088</v>
      </c>
      <c r="G91" t="s">
        <v>136</v>
      </c>
      <c r="H91">
        <v>3</v>
      </c>
    </row>
    <row r="92" spans="1:8">
      <c r="A92" t="s">
        <v>2089</v>
      </c>
      <c r="B92" t="s">
        <v>1091</v>
      </c>
      <c r="C92" t="s">
        <v>113</v>
      </c>
      <c r="D92" t="s">
        <v>233</v>
      </c>
      <c r="E92" t="s">
        <v>1092</v>
      </c>
      <c r="F92" t="s">
        <v>1916</v>
      </c>
      <c r="G92" t="s">
        <v>126</v>
      </c>
    </row>
    <row r="93" spans="1:8">
      <c r="A93" t="s">
        <v>2090</v>
      </c>
      <c r="B93" t="s">
        <v>895</v>
      </c>
      <c r="C93" t="s">
        <v>113</v>
      </c>
      <c r="D93" t="s">
        <v>139</v>
      </c>
      <c r="E93" t="s">
        <v>896</v>
      </c>
      <c r="F93" t="s">
        <v>1812</v>
      </c>
      <c r="G93" t="s">
        <v>136</v>
      </c>
      <c r="H93">
        <v>3</v>
      </c>
    </row>
    <row r="94" spans="1:8">
      <c r="A94" t="s">
        <v>2091</v>
      </c>
      <c r="B94" t="s">
        <v>315</v>
      </c>
      <c r="C94" t="s">
        <v>117</v>
      </c>
      <c r="D94" t="s">
        <v>160</v>
      </c>
      <c r="E94" t="s">
        <v>316</v>
      </c>
      <c r="F94" t="s">
        <v>2092</v>
      </c>
      <c r="G94" t="s">
        <v>63</v>
      </c>
      <c r="H94">
        <v>1</v>
      </c>
    </row>
    <row r="95" spans="1:8">
      <c r="A95" t="s">
        <v>2093</v>
      </c>
      <c r="B95" t="s">
        <v>947</v>
      </c>
      <c r="C95" t="s">
        <v>117</v>
      </c>
      <c r="D95" t="s">
        <v>42</v>
      </c>
      <c r="E95" t="s">
        <v>948</v>
      </c>
      <c r="F95" t="s">
        <v>1798</v>
      </c>
      <c r="G95" t="s">
        <v>126</v>
      </c>
    </row>
    <row r="96" spans="1:8">
      <c r="A96" t="s">
        <v>2094</v>
      </c>
      <c r="B96" t="s">
        <v>898</v>
      </c>
      <c r="C96" t="s">
        <v>113</v>
      </c>
      <c r="D96" t="s">
        <v>117</v>
      </c>
      <c r="E96" t="s">
        <v>899</v>
      </c>
      <c r="F96" t="s">
        <v>1812</v>
      </c>
      <c r="G96" t="s">
        <v>42</v>
      </c>
      <c r="H96">
        <v>2</v>
      </c>
    </row>
    <row r="97" spans="1:8">
      <c r="A97" t="s">
        <v>2095</v>
      </c>
      <c r="B97" t="s">
        <v>1032</v>
      </c>
      <c r="C97" t="s">
        <v>113</v>
      </c>
      <c r="D97" t="s">
        <v>139</v>
      </c>
      <c r="E97" t="s">
        <v>1033</v>
      </c>
      <c r="F97" t="s">
        <v>1996</v>
      </c>
      <c r="G97" t="s">
        <v>233</v>
      </c>
      <c r="H97">
        <v>2</v>
      </c>
    </row>
    <row r="98" spans="1:8">
      <c r="A98" t="s">
        <v>2096</v>
      </c>
      <c r="B98" t="s">
        <v>634</v>
      </c>
      <c r="C98" t="s">
        <v>113</v>
      </c>
      <c r="D98" t="s">
        <v>42</v>
      </c>
      <c r="E98" t="s">
        <v>635</v>
      </c>
      <c r="F98" t="s">
        <v>1998</v>
      </c>
      <c r="G98" t="s">
        <v>126</v>
      </c>
    </row>
    <row r="99" spans="1:8">
      <c r="A99" t="s">
        <v>2097</v>
      </c>
      <c r="B99" t="s">
        <v>423</v>
      </c>
      <c r="C99" t="s">
        <v>113</v>
      </c>
      <c r="D99" t="s">
        <v>117</v>
      </c>
      <c r="E99" t="s">
        <v>424</v>
      </c>
      <c r="F99" t="s">
        <v>2098</v>
      </c>
      <c r="G99" t="s">
        <v>42</v>
      </c>
    </row>
    <row r="100" spans="1:8">
      <c r="A100" t="s">
        <v>2099</v>
      </c>
      <c r="B100" t="s">
        <v>746</v>
      </c>
      <c r="C100" t="s">
        <v>233</v>
      </c>
      <c r="D100" t="s">
        <v>42</v>
      </c>
      <c r="E100" t="s">
        <v>747</v>
      </c>
      <c r="F100" t="s">
        <v>2100</v>
      </c>
      <c r="G100" t="s">
        <v>256</v>
      </c>
    </row>
    <row r="101" spans="1:8">
      <c r="A101" t="s">
        <v>2101</v>
      </c>
      <c r="B101" t="s">
        <v>790</v>
      </c>
      <c r="C101" t="s">
        <v>42</v>
      </c>
      <c r="D101" t="s">
        <v>135</v>
      </c>
      <c r="E101" t="s">
        <v>791</v>
      </c>
      <c r="F101" t="s">
        <v>2102</v>
      </c>
      <c r="G101" t="s">
        <v>204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82617-F3A0-4A7A-BB7E-D0E10A34D48B}">
  <sheetPr codeName="Sheet5"/>
  <dimension ref="A1:H101"/>
  <sheetViews>
    <sheetView workbookViewId="0">
      <selection activeCell="C6" sqref="C6"/>
    </sheetView>
  </sheetViews>
  <sheetFormatPr defaultRowHeight="14.5"/>
  <cols>
    <col min="1" max="1" width="61.81640625" bestFit="1" customWidth="1"/>
    <col min="2" max="2" width="80.7265625" bestFit="1" customWidth="1"/>
    <col min="3" max="4" width="19.1796875" bestFit="1" customWidth="1"/>
    <col min="5" max="5" width="80.7265625" bestFit="1" customWidth="1"/>
    <col min="6" max="6" width="7.26953125" bestFit="1" customWidth="1"/>
    <col min="7" max="7" width="19.1796875" bestFit="1" customWidth="1"/>
    <col min="8" max="8" width="13" bestFit="1" customWidth="1"/>
  </cols>
  <sheetData>
    <row r="1" spans="1:8">
      <c r="A1" t="s">
        <v>101</v>
      </c>
      <c r="B1" t="s">
        <v>103</v>
      </c>
      <c r="C1" t="s">
        <v>104</v>
      </c>
      <c r="D1" t="s">
        <v>105</v>
      </c>
      <c r="E1" t="s">
        <v>107</v>
      </c>
      <c r="F1" t="s">
        <v>1664</v>
      </c>
      <c r="G1" t="s">
        <v>106</v>
      </c>
      <c r="H1" t="s">
        <v>110</v>
      </c>
    </row>
    <row r="2" spans="1:8">
      <c r="A2" t="s">
        <v>2103</v>
      </c>
      <c r="B2" t="s">
        <v>887</v>
      </c>
      <c r="C2" t="s">
        <v>233</v>
      </c>
      <c r="D2" t="s">
        <v>117</v>
      </c>
      <c r="E2" t="s">
        <v>888</v>
      </c>
      <c r="F2" t="s">
        <v>1696</v>
      </c>
      <c r="G2" t="s">
        <v>126</v>
      </c>
    </row>
    <row r="3" spans="1:8">
      <c r="A3" t="s">
        <v>2104</v>
      </c>
      <c r="B3" t="s">
        <v>1062</v>
      </c>
      <c r="C3" t="s">
        <v>113</v>
      </c>
      <c r="D3" t="s">
        <v>42</v>
      </c>
      <c r="E3" t="s">
        <v>1063</v>
      </c>
      <c r="F3" t="s">
        <v>1680</v>
      </c>
      <c r="G3" t="s">
        <v>160</v>
      </c>
      <c r="H3">
        <v>2</v>
      </c>
    </row>
    <row r="4" spans="1:8">
      <c r="A4" t="s">
        <v>2105</v>
      </c>
      <c r="B4" t="s">
        <v>112</v>
      </c>
      <c r="C4" t="s">
        <v>113</v>
      </c>
      <c r="D4" t="s">
        <v>44</v>
      </c>
      <c r="E4" t="s">
        <v>114</v>
      </c>
      <c r="F4" t="s">
        <v>2106</v>
      </c>
      <c r="G4" t="s">
        <v>82</v>
      </c>
      <c r="H4">
        <v>1</v>
      </c>
    </row>
    <row r="5" spans="1:8">
      <c r="A5" t="s">
        <v>2107</v>
      </c>
      <c r="B5" t="s">
        <v>411</v>
      </c>
      <c r="C5" t="s">
        <v>113</v>
      </c>
      <c r="D5" t="s">
        <v>139</v>
      </c>
      <c r="E5" t="s">
        <v>126</v>
      </c>
      <c r="F5" t="s">
        <v>2108</v>
      </c>
      <c r="G5" t="s">
        <v>82</v>
      </c>
    </row>
    <row r="6" spans="1:8">
      <c r="A6" t="s">
        <v>2109</v>
      </c>
      <c r="B6" t="s">
        <v>685</v>
      </c>
      <c r="C6" t="s">
        <v>139</v>
      </c>
      <c r="D6" t="s">
        <v>135</v>
      </c>
      <c r="E6" t="s">
        <v>686</v>
      </c>
      <c r="F6" t="s">
        <v>1706</v>
      </c>
      <c r="G6" t="s">
        <v>136</v>
      </c>
      <c r="H6">
        <v>3</v>
      </c>
    </row>
    <row r="7" spans="1:8">
      <c r="A7" t="s">
        <v>2110</v>
      </c>
      <c r="B7" t="s">
        <v>259</v>
      </c>
      <c r="C7" t="s">
        <v>113</v>
      </c>
      <c r="D7" t="s">
        <v>139</v>
      </c>
      <c r="E7" t="s">
        <v>260</v>
      </c>
      <c r="F7" t="s">
        <v>2111</v>
      </c>
      <c r="G7" t="s">
        <v>209</v>
      </c>
      <c r="H7">
        <v>1</v>
      </c>
    </row>
    <row r="8" spans="1:8">
      <c r="A8" t="s">
        <v>2112</v>
      </c>
      <c r="B8" t="s">
        <v>306</v>
      </c>
      <c r="C8" t="s">
        <v>113</v>
      </c>
      <c r="D8" t="s">
        <v>82</v>
      </c>
      <c r="E8" t="s">
        <v>307</v>
      </c>
      <c r="F8" t="s">
        <v>2113</v>
      </c>
      <c r="G8" t="s">
        <v>208</v>
      </c>
      <c r="H8">
        <v>2</v>
      </c>
    </row>
    <row r="9" spans="1:8">
      <c r="A9" t="s">
        <v>2114</v>
      </c>
      <c r="B9" t="s">
        <v>672</v>
      </c>
      <c r="C9" t="s">
        <v>113</v>
      </c>
      <c r="D9" t="s">
        <v>139</v>
      </c>
      <c r="E9" t="s">
        <v>673</v>
      </c>
      <c r="F9" t="s">
        <v>2115</v>
      </c>
      <c r="G9" t="s">
        <v>233</v>
      </c>
      <c r="H9">
        <v>4</v>
      </c>
    </row>
    <row r="10" spans="1:8">
      <c r="A10" t="s">
        <v>2116</v>
      </c>
      <c r="B10" t="s">
        <v>924</v>
      </c>
      <c r="C10" t="s">
        <v>113</v>
      </c>
      <c r="D10" t="s">
        <v>42</v>
      </c>
      <c r="E10" t="s">
        <v>126</v>
      </c>
      <c r="F10" t="s">
        <v>2117</v>
      </c>
      <c r="G10" t="s">
        <v>213</v>
      </c>
    </row>
    <row r="11" spans="1:8">
      <c r="A11" t="s">
        <v>2118</v>
      </c>
      <c r="B11" t="s">
        <v>1181</v>
      </c>
      <c r="C11" t="s">
        <v>113</v>
      </c>
      <c r="D11" t="s">
        <v>139</v>
      </c>
      <c r="E11" t="s">
        <v>126</v>
      </c>
      <c r="F11" t="s">
        <v>2119</v>
      </c>
      <c r="G11" t="s">
        <v>126</v>
      </c>
    </row>
    <row r="12" spans="1:8">
      <c r="A12" t="s">
        <v>2120</v>
      </c>
      <c r="B12" t="s">
        <v>968</v>
      </c>
      <c r="C12" t="s">
        <v>233</v>
      </c>
      <c r="D12" t="s">
        <v>42</v>
      </c>
      <c r="E12" t="s">
        <v>126</v>
      </c>
      <c r="F12" t="s">
        <v>2121</v>
      </c>
      <c r="G12" t="s">
        <v>126</v>
      </c>
    </row>
    <row r="13" spans="1:8">
      <c r="A13" t="s">
        <v>2122</v>
      </c>
      <c r="B13" t="s">
        <v>134</v>
      </c>
      <c r="C13" t="s">
        <v>117</v>
      </c>
      <c r="D13" t="s">
        <v>135</v>
      </c>
      <c r="E13" t="s">
        <v>126</v>
      </c>
      <c r="F13" t="s">
        <v>2123</v>
      </c>
      <c r="G13" t="s">
        <v>136</v>
      </c>
      <c r="H13">
        <v>1</v>
      </c>
    </row>
    <row r="14" spans="1:8">
      <c r="A14" t="s">
        <v>2124</v>
      </c>
      <c r="B14" t="s">
        <v>615</v>
      </c>
      <c r="C14" t="s">
        <v>113</v>
      </c>
      <c r="D14" t="s">
        <v>117</v>
      </c>
      <c r="E14" t="s">
        <v>616</v>
      </c>
      <c r="F14" t="s">
        <v>1992</v>
      </c>
      <c r="G14" t="s">
        <v>155</v>
      </c>
      <c r="H14">
        <v>2</v>
      </c>
    </row>
    <row r="15" spans="1:8">
      <c r="A15" t="s">
        <v>2125</v>
      </c>
      <c r="B15" t="s">
        <v>1276</v>
      </c>
      <c r="C15" t="s">
        <v>113</v>
      </c>
      <c r="D15" t="s">
        <v>139</v>
      </c>
      <c r="E15" t="s">
        <v>126</v>
      </c>
      <c r="F15" t="s">
        <v>2035</v>
      </c>
      <c r="G15" t="s">
        <v>136</v>
      </c>
      <c r="H15">
        <v>1</v>
      </c>
    </row>
    <row r="16" spans="1:8">
      <c r="A16" t="s">
        <v>2126</v>
      </c>
      <c r="B16" t="s">
        <v>1418</v>
      </c>
      <c r="C16" t="s">
        <v>117</v>
      </c>
      <c r="D16" t="s">
        <v>154</v>
      </c>
      <c r="E16" t="s">
        <v>1419</v>
      </c>
      <c r="F16" t="s">
        <v>2127</v>
      </c>
      <c r="G16" t="s">
        <v>209</v>
      </c>
      <c r="H16">
        <v>3</v>
      </c>
    </row>
    <row r="17" spans="1:8">
      <c r="A17" t="s">
        <v>2128</v>
      </c>
      <c r="B17" t="s">
        <v>2129</v>
      </c>
      <c r="C17" t="s">
        <v>113</v>
      </c>
      <c r="D17" t="s">
        <v>160</v>
      </c>
      <c r="E17" t="s">
        <v>2130</v>
      </c>
      <c r="F17" t="s">
        <v>2131</v>
      </c>
      <c r="G17" t="s">
        <v>191</v>
      </c>
    </row>
    <row r="18" spans="1:8">
      <c r="A18" t="s">
        <v>2132</v>
      </c>
      <c r="B18" t="s">
        <v>2133</v>
      </c>
      <c r="C18" t="s">
        <v>233</v>
      </c>
      <c r="D18" t="s">
        <v>42</v>
      </c>
      <c r="E18" t="s">
        <v>126</v>
      </c>
      <c r="F18" t="s">
        <v>1698</v>
      </c>
      <c r="G18" t="s">
        <v>126</v>
      </c>
    </row>
    <row r="19" spans="1:8">
      <c r="A19" t="s">
        <v>2134</v>
      </c>
      <c r="B19" t="s">
        <v>138</v>
      </c>
      <c r="C19" t="s">
        <v>113</v>
      </c>
      <c r="D19" t="s">
        <v>139</v>
      </c>
      <c r="E19" t="s">
        <v>140</v>
      </c>
      <c r="F19" t="s">
        <v>2135</v>
      </c>
      <c r="G19" t="s">
        <v>65</v>
      </c>
      <c r="H19">
        <v>1</v>
      </c>
    </row>
    <row r="20" spans="1:8">
      <c r="A20" t="s">
        <v>2136</v>
      </c>
      <c r="B20" t="s">
        <v>2137</v>
      </c>
      <c r="C20" t="s">
        <v>233</v>
      </c>
      <c r="D20" t="s">
        <v>44</v>
      </c>
      <c r="E20" t="s">
        <v>2138</v>
      </c>
      <c r="F20" t="s">
        <v>2041</v>
      </c>
      <c r="G20" t="s">
        <v>126</v>
      </c>
    </row>
    <row r="21" spans="1:8">
      <c r="A21" t="s">
        <v>2139</v>
      </c>
      <c r="B21" t="s">
        <v>382</v>
      </c>
      <c r="C21" t="s">
        <v>117</v>
      </c>
      <c r="D21" t="s">
        <v>42</v>
      </c>
      <c r="E21" t="s">
        <v>126</v>
      </c>
      <c r="F21" t="s">
        <v>2140</v>
      </c>
      <c r="G21" t="s">
        <v>126</v>
      </c>
    </row>
    <row r="22" spans="1:8">
      <c r="A22" t="s">
        <v>2141</v>
      </c>
      <c r="B22" t="s">
        <v>1080</v>
      </c>
      <c r="C22" t="s">
        <v>113</v>
      </c>
      <c r="D22" t="s">
        <v>154</v>
      </c>
      <c r="E22" t="s">
        <v>1082</v>
      </c>
      <c r="F22" t="s">
        <v>1733</v>
      </c>
      <c r="G22" t="s">
        <v>1081</v>
      </c>
    </row>
    <row r="23" spans="1:8">
      <c r="A23" t="s">
        <v>2142</v>
      </c>
      <c r="B23" t="s">
        <v>291</v>
      </c>
      <c r="C23" t="s">
        <v>117</v>
      </c>
      <c r="D23" t="s">
        <v>44</v>
      </c>
      <c r="E23" t="s">
        <v>126</v>
      </c>
      <c r="F23" t="s">
        <v>2059</v>
      </c>
      <c r="G23" t="s">
        <v>160</v>
      </c>
      <c r="H23">
        <v>1</v>
      </c>
    </row>
    <row r="24" spans="1:8">
      <c r="A24" t="s">
        <v>2143</v>
      </c>
      <c r="B24" t="s">
        <v>2144</v>
      </c>
      <c r="C24" t="s">
        <v>125</v>
      </c>
      <c r="D24" t="s">
        <v>126</v>
      </c>
      <c r="E24" t="s">
        <v>2145</v>
      </c>
      <c r="F24" t="s">
        <v>2069</v>
      </c>
      <c r="G24" t="s">
        <v>126</v>
      </c>
    </row>
    <row r="25" spans="1:8">
      <c r="A25" t="s">
        <v>2146</v>
      </c>
      <c r="B25" t="s">
        <v>187</v>
      </c>
      <c r="C25" t="s">
        <v>117</v>
      </c>
      <c r="D25" t="s">
        <v>160</v>
      </c>
      <c r="E25" t="s">
        <v>188</v>
      </c>
      <c r="F25" t="s">
        <v>2147</v>
      </c>
      <c r="G25" t="s">
        <v>84</v>
      </c>
    </row>
    <row r="26" spans="1:8">
      <c r="A26" t="s">
        <v>2148</v>
      </c>
      <c r="B26" t="s">
        <v>2149</v>
      </c>
      <c r="C26" t="s">
        <v>113</v>
      </c>
      <c r="D26" t="s">
        <v>1027</v>
      </c>
      <c r="E26" t="s">
        <v>126</v>
      </c>
      <c r="F26" t="s">
        <v>2150</v>
      </c>
      <c r="G26" t="s">
        <v>126</v>
      </c>
    </row>
    <row r="27" spans="1:8">
      <c r="A27" t="s">
        <v>2151</v>
      </c>
      <c r="B27" t="s">
        <v>522</v>
      </c>
      <c r="C27" t="s">
        <v>113</v>
      </c>
      <c r="D27" t="s">
        <v>42</v>
      </c>
      <c r="E27" t="s">
        <v>523</v>
      </c>
      <c r="F27" t="s">
        <v>2051</v>
      </c>
      <c r="G27" t="s">
        <v>204</v>
      </c>
    </row>
    <row r="28" spans="1:8">
      <c r="A28" t="s">
        <v>2152</v>
      </c>
      <c r="B28" t="s">
        <v>2153</v>
      </c>
      <c r="C28" t="s">
        <v>125</v>
      </c>
      <c r="D28" t="s">
        <v>126</v>
      </c>
      <c r="E28" t="s">
        <v>126</v>
      </c>
      <c r="F28" t="s">
        <v>2041</v>
      </c>
      <c r="G28" t="s">
        <v>126</v>
      </c>
    </row>
    <row r="29" spans="1:8">
      <c r="A29" t="s">
        <v>2154</v>
      </c>
      <c r="B29" t="s">
        <v>416</v>
      </c>
      <c r="C29" t="s">
        <v>272</v>
      </c>
      <c r="D29" t="s">
        <v>117</v>
      </c>
      <c r="E29" t="s">
        <v>126</v>
      </c>
      <c r="F29" t="s">
        <v>2155</v>
      </c>
      <c r="G29" t="s">
        <v>147</v>
      </c>
    </row>
    <row r="30" spans="1:8">
      <c r="A30" t="s">
        <v>2156</v>
      </c>
      <c r="B30" t="s">
        <v>2157</v>
      </c>
      <c r="C30" t="s">
        <v>139</v>
      </c>
      <c r="D30" t="s">
        <v>117</v>
      </c>
      <c r="E30" t="s">
        <v>2158</v>
      </c>
      <c r="F30" t="s">
        <v>1714</v>
      </c>
      <c r="G30" t="s">
        <v>126</v>
      </c>
    </row>
    <row r="31" spans="1:8">
      <c r="A31" t="s">
        <v>2159</v>
      </c>
      <c r="B31" t="s">
        <v>982</v>
      </c>
      <c r="C31" t="s">
        <v>113</v>
      </c>
      <c r="D31" t="s">
        <v>154</v>
      </c>
      <c r="E31" t="s">
        <v>126</v>
      </c>
      <c r="F31" t="s">
        <v>2160</v>
      </c>
      <c r="G31" t="s">
        <v>155</v>
      </c>
      <c r="H31">
        <v>2</v>
      </c>
    </row>
    <row r="32" spans="1:8">
      <c r="A32" t="s">
        <v>2161</v>
      </c>
      <c r="B32" t="s">
        <v>2162</v>
      </c>
      <c r="C32" t="s">
        <v>125</v>
      </c>
      <c r="D32" t="s">
        <v>126</v>
      </c>
      <c r="E32" t="s">
        <v>2163</v>
      </c>
      <c r="F32" t="s">
        <v>2164</v>
      </c>
      <c r="G32" t="s">
        <v>126</v>
      </c>
    </row>
    <row r="33" spans="1:8">
      <c r="A33" t="s">
        <v>2165</v>
      </c>
      <c r="B33" t="s">
        <v>1305</v>
      </c>
      <c r="C33" t="s">
        <v>272</v>
      </c>
      <c r="D33" t="s">
        <v>117</v>
      </c>
      <c r="E33" t="s">
        <v>126</v>
      </c>
      <c r="F33" t="s">
        <v>1859</v>
      </c>
      <c r="G33" t="s">
        <v>126</v>
      </c>
    </row>
    <row r="34" spans="1:8">
      <c r="A34" t="s">
        <v>2166</v>
      </c>
      <c r="B34" t="s">
        <v>2167</v>
      </c>
      <c r="C34" t="s">
        <v>180</v>
      </c>
      <c r="D34" t="s">
        <v>121</v>
      </c>
      <c r="E34" t="s">
        <v>2168</v>
      </c>
      <c r="F34" t="s">
        <v>2111</v>
      </c>
      <c r="G34" t="s">
        <v>184</v>
      </c>
      <c r="H34">
        <v>1</v>
      </c>
    </row>
    <row r="35" spans="1:8">
      <c r="A35" t="s">
        <v>2169</v>
      </c>
      <c r="B35" t="s">
        <v>1339</v>
      </c>
      <c r="C35" t="s">
        <v>139</v>
      </c>
      <c r="D35" t="s">
        <v>160</v>
      </c>
      <c r="E35" t="s">
        <v>126</v>
      </c>
      <c r="F35" t="s">
        <v>1674</v>
      </c>
      <c r="G35" t="s">
        <v>155</v>
      </c>
      <c r="H35">
        <v>1</v>
      </c>
    </row>
    <row r="36" spans="1:8">
      <c r="A36" t="s">
        <v>2170</v>
      </c>
      <c r="B36" t="s">
        <v>793</v>
      </c>
      <c r="C36" t="s">
        <v>113</v>
      </c>
      <c r="D36" t="s">
        <v>139</v>
      </c>
      <c r="E36" t="s">
        <v>794</v>
      </c>
      <c r="F36" t="s">
        <v>2171</v>
      </c>
      <c r="G36" t="s">
        <v>117</v>
      </c>
      <c r="H36">
        <v>2</v>
      </c>
    </row>
    <row r="37" spans="1:8">
      <c r="A37" t="s">
        <v>2172</v>
      </c>
      <c r="B37" t="s">
        <v>2173</v>
      </c>
      <c r="C37" t="s">
        <v>233</v>
      </c>
      <c r="D37" t="s">
        <v>63</v>
      </c>
      <c r="E37" t="s">
        <v>2174</v>
      </c>
      <c r="F37" t="s">
        <v>2175</v>
      </c>
      <c r="G37" t="s">
        <v>172</v>
      </c>
      <c r="H37">
        <v>1</v>
      </c>
    </row>
    <row r="38" spans="1:8">
      <c r="A38" t="s">
        <v>2176</v>
      </c>
      <c r="B38" t="s">
        <v>442</v>
      </c>
      <c r="C38" t="s">
        <v>113</v>
      </c>
      <c r="D38" t="s">
        <v>154</v>
      </c>
      <c r="E38" t="s">
        <v>443</v>
      </c>
      <c r="F38" t="s">
        <v>2177</v>
      </c>
      <c r="G38" t="s">
        <v>204</v>
      </c>
    </row>
    <row r="39" spans="1:8">
      <c r="A39" t="s">
        <v>2178</v>
      </c>
      <c r="B39" t="s">
        <v>477</v>
      </c>
      <c r="C39" t="s">
        <v>136</v>
      </c>
      <c r="D39" t="s">
        <v>121</v>
      </c>
      <c r="E39" t="s">
        <v>478</v>
      </c>
      <c r="F39" t="s">
        <v>2179</v>
      </c>
      <c r="G39" t="s">
        <v>143</v>
      </c>
    </row>
    <row r="40" spans="1:8">
      <c r="A40" t="s">
        <v>2180</v>
      </c>
      <c r="B40" t="s">
        <v>2181</v>
      </c>
      <c r="C40" t="s">
        <v>125</v>
      </c>
      <c r="D40" t="s">
        <v>126</v>
      </c>
      <c r="E40" t="s">
        <v>2182</v>
      </c>
      <c r="F40" t="s">
        <v>2183</v>
      </c>
      <c r="G40" t="s">
        <v>126</v>
      </c>
    </row>
    <row r="41" spans="1:8">
      <c r="A41" t="s">
        <v>2184</v>
      </c>
      <c r="B41" t="s">
        <v>2185</v>
      </c>
      <c r="C41" t="s">
        <v>113</v>
      </c>
      <c r="D41" t="s">
        <v>233</v>
      </c>
      <c r="E41" t="s">
        <v>2186</v>
      </c>
      <c r="F41" t="s">
        <v>2187</v>
      </c>
      <c r="G41" t="s">
        <v>63</v>
      </c>
      <c r="H41">
        <v>1</v>
      </c>
    </row>
    <row r="42" spans="1:8">
      <c r="A42" t="s">
        <v>2188</v>
      </c>
      <c r="B42" t="s">
        <v>239</v>
      </c>
      <c r="C42" t="s">
        <v>136</v>
      </c>
      <c r="D42" t="s">
        <v>176</v>
      </c>
      <c r="E42" t="s">
        <v>240</v>
      </c>
      <c r="F42" t="s">
        <v>2189</v>
      </c>
      <c r="G42" t="s">
        <v>204</v>
      </c>
    </row>
    <row r="43" spans="1:8">
      <c r="A43" t="s">
        <v>2190</v>
      </c>
      <c r="B43" t="s">
        <v>332</v>
      </c>
      <c r="C43" t="s">
        <v>43</v>
      </c>
      <c r="D43" t="s">
        <v>155</v>
      </c>
      <c r="E43" t="s">
        <v>126</v>
      </c>
      <c r="F43" t="s">
        <v>2191</v>
      </c>
      <c r="G43" t="s">
        <v>126</v>
      </c>
    </row>
    <row r="44" spans="1:8">
      <c r="A44" t="s">
        <v>2192</v>
      </c>
      <c r="B44" t="s">
        <v>675</v>
      </c>
      <c r="C44" t="s">
        <v>113</v>
      </c>
      <c r="D44" t="s">
        <v>176</v>
      </c>
      <c r="E44" t="s">
        <v>126</v>
      </c>
      <c r="F44" t="s">
        <v>2115</v>
      </c>
      <c r="G44" t="s">
        <v>65</v>
      </c>
    </row>
    <row r="45" spans="1:8">
      <c r="A45" t="s">
        <v>2193</v>
      </c>
      <c r="B45" t="s">
        <v>2194</v>
      </c>
      <c r="C45" t="s">
        <v>117</v>
      </c>
      <c r="D45" t="s">
        <v>42</v>
      </c>
      <c r="E45" t="s">
        <v>2195</v>
      </c>
      <c r="F45" t="s">
        <v>1927</v>
      </c>
      <c r="G45" t="s">
        <v>126</v>
      </c>
    </row>
    <row r="46" spans="1:8">
      <c r="A46" t="s">
        <v>2196</v>
      </c>
      <c r="B46" t="s">
        <v>343</v>
      </c>
      <c r="C46" t="s">
        <v>42</v>
      </c>
      <c r="D46" t="s">
        <v>126</v>
      </c>
      <c r="E46" t="s">
        <v>344</v>
      </c>
      <c r="F46" t="s">
        <v>2197</v>
      </c>
      <c r="G46" t="s">
        <v>126</v>
      </c>
    </row>
    <row r="47" spans="1:8">
      <c r="A47" t="s">
        <v>2198</v>
      </c>
      <c r="B47" t="s">
        <v>701</v>
      </c>
      <c r="C47" t="s">
        <v>113</v>
      </c>
      <c r="D47" t="s">
        <v>42</v>
      </c>
      <c r="E47" t="s">
        <v>126</v>
      </c>
      <c r="F47" t="s">
        <v>1959</v>
      </c>
      <c r="G47" t="s">
        <v>126</v>
      </c>
    </row>
    <row r="48" spans="1:8">
      <c r="A48" t="s">
        <v>2199</v>
      </c>
      <c r="B48" t="s">
        <v>1194</v>
      </c>
      <c r="C48" t="s">
        <v>113</v>
      </c>
      <c r="D48" t="s">
        <v>139</v>
      </c>
      <c r="E48" t="s">
        <v>126</v>
      </c>
      <c r="F48" t="s">
        <v>2200</v>
      </c>
      <c r="G48" t="s">
        <v>126</v>
      </c>
    </row>
    <row r="49" spans="1:8">
      <c r="A49" t="s">
        <v>2201</v>
      </c>
      <c r="B49" t="s">
        <v>2202</v>
      </c>
      <c r="C49" t="s">
        <v>125</v>
      </c>
      <c r="D49" t="s">
        <v>126</v>
      </c>
      <c r="E49" t="s">
        <v>126</v>
      </c>
      <c r="F49" t="s">
        <v>1821</v>
      </c>
      <c r="G49" t="s">
        <v>126</v>
      </c>
    </row>
    <row r="50" spans="1:8">
      <c r="A50" t="s">
        <v>2203</v>
      </c>
      <c r="B50" t="s">
        <v>2204</v>
      </c>
      <c r="C50" t="s">
        <v>113</v>
      </c>
      <c r="D50" t="s">
        <v>154</v>
      </c>
      <c r="E50" t="s">
        <v>2205</v>
      </c>
      <c r="F50" t="s">
        <v>2206</v>
      </c>
      <c r="G50" t="s">
        <v>126</v>
      </c>
    </row>
    <row r="51" spans="1:8">
      <c r="A51" t="s">
        <v>2207</v>
      </c>
      <c r="B51" t="s">
        <v>546</v>
      </c>
      <c r="C51" t="s">
        <v>113</v>
      </c>
      <c r="D51" t="s">
        <v>154</v>
      </c>
      <c r="E51" t="s">
        <v>547</v>
      </c>
      <c r="F51" t="s">
        <v>2208</v>
      </c>
      <c r="G51" t="s">
        <v>204</v>
      </c>
    </row>
    <row r="52" spans="1:8">
      <c r="A52" t="s">
        <v>2209</v>
      </c>
      <c r="B52" t="s">
        <v>553</v>
      </c>
      <c r="C52" t="s">
        <v>44</v>
      </c>
      <c r="D52" t="s">
        <v>126</v>
      </c>
      <c r="E52" t="s">
        <v>126</v>
      </c>
      <c r="F52" t="s">
        <v>1973</v>
      </c>
      <c r="G52" t="s">
        <v>126</v>
      </c>
    </row>
    <row r="53" spans="1:8">
      <c r="A53" t="s">
        <v>2210</v>
      </c>
      <c r="B53" t="s">
        <v>2211</v>
      </c>
      <c r="C53" t="s">
        <v>113</v>
      </c>
      <c r="D53" t="s">
        <v>42</v>
      </c>
      <c r="E53" t="s">
        <v>126</v>
      </c>
      <c r="F53" t="s">
        <v>1698</v>
      </c>
      <c r="G53" t="s">
        <v>126</v>
      </c>
    </row>
    <row r="54" spans="1:8">
      <c r="A54" t="s">
        <v>2212</v>
      </c>
      <c r="B54" t="s">
        <v>363</v>
      </c>
      <c r="C54" t="s">
        <v>113</v>
      </c>
      <c r="D54" t="s">
        <v>233</v>
      </c>
      <c r="E54" t="s">
        <v>126</v>
      </c>
      <c r="F54" t="s">
        <v>2213</v>
      </c>
      <c r="G54" t="s">
        <v>58</v>
      </c>
    </row>
    <row r="55" spans="1:8">
      <c r="A55" t="s">
        <v>2214</v>
      </c>
      <c r="B55" t="s">
        <v>116</v>
      </c>
      <c r="C55" t="s">
        <v>113</v>
      </c>
      <c r="D55" t="s">
        <v>117</v>
      </c>
      <c r="E55" t="s">
        <v>118</v>
      </c>
      <c r="F55" t="s">
        <v>2215</v>
      </c>
      <c r="G55" t="s">
        <v>42</v>
      </c>
      <c r="H55">
        <v>3</v>
      </c>
    </row>
    <row r="56" spans="1:8">
      <c r="A56" t="s">
        <v>2216</v>
      </c>
      <c r="B56" t="s">
        <v>2217</v>
      </c>
      <c r="C56" t="s">
        <v>233</v>
      </c>
      <c r="D56" t="s">
        <v>42</v>
      </c>
      <c r="E56" t="s">
        <v>2218</v>
      </c>
      <c r="F56" t="s">
        <v>1759</v>
      </c>
      <c r="G56" t="s">
        <v>126</v>
      </c>
    </row>
    <row r="57" spans="1:8">
      <c r="A57" t="s">
        <v>2219</v>
      </c>
      <c r="B57" t="s">
        <v>722</v>
      </c>
      <c r="C57" t="s">
        <v>113</v>
      </c>
      <c r="D57" t="s">
        <v>176</v>
      </c>
      <c r="E57" t="s">
        <v>126</v>
      </c>
      <c r="F57" t="s">
        <v>1940</v>
      </c>
      <c r="G57" t="s">
        <v>204</v>
      </c>
    </row>
    <row r="58" spans="1:8">
      <c r="A58" t="s">
        <v>2220</v>
      </c>
      <c r="B58" t="s">
        <v>679</v>
      </c>
      <c r="C58" t="s">
        <v>42</v>
      </c>
      <c r="D58" t="s">
        <v>126</v>
      </c>
      <c r="E58" t="s">
        <v>680</v>
      </c>
      <c r="F58" t="s">
        <v>1890</v>
      </c>
      <c r="G58" t="s">
        <v>126</v>
      </c>
    </row>
    <row r="59" spans="1:8">
      <c r="A59" t="s">
        <v>2221</v>
      </c>
      <c r="B59" t="s">
        <v>2222</v>
      </c>
      <c r="C59" t="s">
        <v>113</v>
      </c>
      <c r="D59" t="s">
        <v>511</v>
      </c>
      <c r="E59" t="s">
        <v>2223</v>
      </c>
      <c r="F59" t="s">
        <v>2224</v>
      </c>
      <c r="G59" t="s">
        <v>1081</v>
      </c>
    </row>
    <row r="60" spans="1:8">
      <c r="A60" t="s">
        <v>2225</v>
      </c>
      <c r="B60" t="s">
        <v>346</v>
      </c>
      <c r="C60" t="s">
        <v>117</v>
      </c>
      <c r="D60" t="s">
        <v>42</v>
      </c>
      <c r="E60" t="s">
        <v>126</v>
      </c>
      <c r="F60" t="s">
        <v>2226</v>
      </c>
      <c r="G60" t="s">
        <v>126</v>
      </c>
    </row>
    <row r="61" spans="1:8">
      <c r="A61" t="s">
        <v>2227</v>
      </c>
      <c r="B61" t="s">
        <v>150</v>
      </c>
      <c r="C61" t="s">
        <v>113</v>
      </c>
      <c r="D61" t="s">
        <v>139</v>
      </c>
      <c r="E61" t="s">
        <v>151</v>
      </c>
      <c r="F61" t="s">
        <v>2006</v>
      </c>
      <c r="G61" t="s">
        <v>82</v>
      </c>
      <c r="H61">
        <v>2</v>
      </c>
    </row>
    <row r="62" spans="1:8">
      <c r="A62" t="s">
        <v>2228</v>
      </c>
      <c r="B62" t="s">
        <v>278</v>
      </c>
      <c r="C62" t="s">
        <v>113</v>
      </c>
      <c r="D62" t="s">
        <v>42</v>
      </c>
      <c r="E62" t="s">
        <v>279</v>
      </c>
      <c r="F62" t="s">
        <v>1682</v>
      </c>
      <c r="G62" t="s">
        <v>65</v>
      </c>
    </row>
    <row r="63" spans="1:8">
      <c r="A63" t="s">
        <v>2229</v>
      </c>
      <c r="B63" t="s">
        <v>852</v>
      </c>
      <c r="C63" t="s">
        <v>113</v>
      </c>
      <c r="D63" t="s">
        <v>176</v>
      </c>
      <c r="E63" t="s">
        <v>853</v>
      </c>
      <c r="F63" t="s">
        <v>2031</v>
      </c>
      <c r="G63" t="s">
        <v>65</v>
      </c>
    </row>
    <row r="64" spans="1:8">
      <c r="A64" t="s">
        <v>2230</v>
      </c>
      <c r="B64" t="s">
        <v>454</v>
      </c>
      <c r="C64" t="s">
        <v>113</v>
      </c>
      <c r="D64" t="s">
        <v>176</v>
      </c>
      <c r="E64" t="s">
        <v>126</v>
      </c>
      <c r="F64" t="s">
        <v>2164</v>
      </c>
      <c r="G64" t="s">
        <v>121</v>
      </c>
    </row>
    <row r="65" spans="1:8">
      <c r="A65" t="s">
        <v>2231</v>
      </c>
      <c r="B65" t="s">
        <v>1054</v>
      </c>
      <c r="C65" t="s">
        <v>113</v>
      </c>
      <c r="D65" t="s">
        <v>42</v>
      </c>
      <c r="E65" t="s">
        <v>126</v>
      </c>
      <c r="F65" t="s">
        <v>2232</v>
      </c>
      <c r="G65" t="s">
        <v>65</v>
      </c>
    </row>
    <row r="66" spans="1:8">
      <c r="A66" t="s">
        <v>2233</v>
      </c>
      <c r="B66" t="s">
        <v>1295</v>
      </c>
      <c r="C66" t="s">
        <v>113</v>
      </c>
      <c r="D66" t="s">
        <v>233</v>
      </c>
      <c r="E66" t="s">
        <v>126</v>
      </c>
      <c r="F66" t="s">
        <v>1816</v>
      </c>
      <c r="G66" t="s">
        <v>117</v>
      </c>
      <c r="H66">
        <v>1</v>
      </c>
    </row>
    <row r="67" spans="1:8">
      <c r="A67" t="s">
        <v>2234</v>
      </c>
      <c r="B67" t="s">
        <v>162</v>
      </c>
      <c r="C67" t="s">
        <v>117</v>
      </c>
      <c r="D67" t="s">
        <v>42</v>
      </c>
      <c r="E67" t="s">
        <v>163</v>
      </c>
      <c r="F67" t="s">
        <v>2235</v>
      </c>
      <c r="G67" t="s">
        <v>126</v>
      </c>
    </row>
    <row r="68" spans="1:8">
      <c r="A68" t="s">
        <v>2236</v>
      </c>
      <c r="B68" t="s">
        <v>646</v>
      </c>
      <c r="C68" t="s">
        <v>117</v>
      </c>
      <c r="D68" t="s">
        <v>67</v>
      </c>
      <c r="E68" t="s">
        <v>126</v>
      </c>
      <c r="F68" t="s">
        <v>2237</v>
      </c>
      <c r="G68" t="s">
        <v>647</v>
      </c>
      <c r="H68">
        <v>1</v>
      </c>
    </row>
    <row r="69" spans="1:8">
      <c r="A69" t="s">
        <v>2238</v>
      </c>
      <c r="B69" t="s">
        <v>406</v>
      </c>
      <c r="C69" t="s">
        <v>117</v>
      </c>
      <c r="D69" t="s">
        <v>42</v>
      </c>
      <c r="E69" t="s">
        <v>126</v>
      </c>
      <c r="F69" t="s">
        <v>2239</v>
      </c>
      <c r="G69" t="s">
        <v>126</v>
      </c>
    </row>
    <row r="70" spans="1:8">
      <c r="A70" t="s">
        <v>2240</v>
      </c>
      <c r="B70" t="s">
        <v>664</v>
      </c>
      <c r="C70" t="s">
        <v>113</v>
      </c>
      <c r="D70" t="s">
        <v>42</v>
      </c>
      <c r="E70" t="s">
        <v>665</v>
      </c>
      <c r="F70" t="s">
        <v>2069</v>
      </c>
      <c r="G70" t="s">
        <v>63</v>
      </c>
    </row>
    <row r="71" spans="1:8">
      <c r="A71" t="s">
        <v>2241</v>
      </c>
      <c r="B71" t="s">
        <v>980</v>
      </c>
      <c r="C71" t="s">
        <v>113</v>
      </c>
      <c r="D71" t="s">
        <v>233</v>
      </c>
      <c r="E71" t="s">
        <v>126</v>
      </c>
      <c r="F71" t="s">
        <v>1745</v>
      </c>
      <c r="G71" t="s">
        <v>63</v>
      </c>
    </row>
    <row r="72" spans="1:8">
      <c r="A72" t="s">
        <v>2242</v>
      </c>
      <c r="B72" t="s">
        <v>386</v>
      </c>
      <c r="C72" t="s">
        <v>113</v>
      </c>
      <c r="D72" t="s">
        <v>42</v>
      </c>
      <c r="E72" t="s">
        <v>387</v>
      </c>
      <c r="F72" t="s">
        <v>2243</v>
      </c>
      <c r="G72" t="s">
        <v>126</v>
      </c>
    </row>
    <row r="73" spans="1:8">
      <c r="A73" t="s">
        <v>2244</v>
      </c>
      <c r="B73" t="s">
        <v>2245</v>
      </c>
      <c r="C73" t="s">
        <v>125</v>
      </c>
      <c r="D73" t="s">
        <v>126</v>
      </c>
      <c r="E73" t="s">
        <v>126</v>
      </c>
      <c r="F73" t="s">
        <v>1912</v>
      </c>
      <c r="G73" t="s">
        <v>126</v>
      </c>
    </row>
    <row r="74" spans="1:8">
      <c r="A74" t="s">
        <v>2246</v>
      </c>
      <c r="B74" t="s">
        <v>283</v>
      </c>
      <c r="C74" t="s">
        <v>113</v>
      </c>
      <c r="D74" t="s">
        <v>42</v>
      </c>
      <c r="E74" t="s">
        <v>126</v>
      </c>
      <c r="F74" t="s">
        <v>2247</v>
      </c>
      <c r="G74" t="s">
        <v>172</v>
      </c>
    </row>
    <row r="75" spans="1:8">
      <c r="A75" t="s">
        <v>2248</v>
      </c>
      <c r="B75" t="s">
        <v>820</v>
      </c>
      <c r="C75" t="s">
        <v>113</v>
      </c>
      <c r="D75" t="s">
        <v>139</v>
      </c>
      <c r="E75" t="s">
        <v>821</v>
      </c>
      <c r="F75" t="s">
        <v>1896</v>
      </c>
      <c r="G75" t="s">
        <v>176</v>
      </c>
    </row>
    <row r="76" spans="1:8">
      <c r="A76" t="s">
        <v>2249</v>
      </c>
      <c r="B76" t="s">
        <v>640</v>
      </c>
      <c r="C76" t="s">
        <v>113</v>
      </c>
      <c r="D76" t="s">
        <v>42</v>
      </c>
      <c r="E76" t="s">
        <v>126</v>
      </c>
      <c r="F76" t="s">
        <v>2018</v>
      </c>
      <c r="G76" t="s">
        <v>217</v>
      </c>
    </row>
    <row r="77" spans="1:8">
      <c r="A77" t="s">
        <v>2250</v>
      </c>
      <c r="B77" t="s">
        <v>1227</v>
      </c>
      <c r="C77" t="s">
        <v>113</v>
      </c>
      <c r="D77" t="s">
        <v>184</v>
      </c>
      <c r="E77" t="s">
        <v>1228</v>
      </c>
      <c r="F77" t="s">
        <v>2251</v>
      </c>
      <c r="G77" t="s">
        <v>126</v>
      </c>
    </row>
    <row r="78" spans="1:8">
      <c r="A78" t="s">
        <v>2252</v>
      </c>
      <c r="B78" t="s">
        <v>262</v>
      </c>
      <c r="C78" t="s">
        <v>233</v>
      </c>
      <c r="D78" t="s">
        <v>42</v>
      </c>
      <c r="E78" t="s">
        <v>264</v>
      </c>
      <c r="F78" t="s">
        <v>2253</v>
      </c>
      <c r="G78" t="s">
        <v>263</v>
      </c>
    </row>
    <row r="79" spans="1:8">
      <c r="A79" t="s">
        <v>2254</v>
      </c>
      <c r="B79" t="s">
        <v>1347</v>
      </c>
      <c r="C79" t="s">
        <v>113</v>
      </c>
      <c r="D79" t="s">
        <v>42</v>
      </c>
      <c r="E79" t="s">
        <v>126</v>
      </c>
      <c r="F79" t="s">
        <v>2255</v>
      </c>
      <c r="G79" t="s">
        <v>63</v>
      </c>
    </row>
    <row r="80" spans="1:8">
      <c r="A80" t="s">
        <v>2256</v>
      </c>
      <c r="B80" t="s">
        <v>175</v>
      </c>
      <c r="C80" t="s">
        <v>113</v>
      </c>
      <c r="D80" t="s">
        <v>176</v>
      </c>
      <c r="E80" t="s">
        <v>177</v>
      </c>
      <c r="F80" t="s">
        <v>2257</v>
      </c>
      <c r="G80" t="s">
        <v>121</v>
      </c>
      <c r="H80">
        <v>3</v>
      </c>
    </row>
    <row r="81" spans="1:8">
      <c r="A81" t="s">
        <v>2258</v>
      </c>
      <c r="B81" t="s">
        <v>2259</v>
      </c>
      <c r="C81" t="s">
        <v>125</v>
      </c>
      <c r="D81" t="s">
        <v>126</v>
      </c>
      <c r="E81" t="s">
        <v>126</v>
      </c>
      <c r="F81" t="s">
        <v>2260</v>
      </c>
      <c r="G81" t="s">
        <v>126</v>
      </c>
    </row>
    <row r="82" spans="1:8">
      <c r="A82" t="s">
        <v>2261</v>
      </c>
      <c r="B82" t="s">
        <v>964</v>
      </c>
      <c r="C82" t="s">
        <v>42</v>
      </c>
      <c r="D82" t="s">
        <v>135</v>
      </c>
      <c r="E82" t="s">
        <v>126</v>
      </c>
      <c r="F82" t="s">
        <v>2078</v>
      </c>
      <c r="G82" t="s">
        <v>217</v>
      </c>
    </row>
    <row r="83" spans="1:8">
      <c r="A83" t="s">
        <v>2262</v>
      </c>
      <c r="B83" t="s">
        <v>1248</v>
      </c>
      <c r="C83" t="s">
        <v>135</v>
      </c>
      <c r="D83" t="s">
        <v>136</v>
      </c>
      <c r="E83" t="s">
        <v>126</v>
      </c>
      <c r="F83" t="s">
        <v>2263</v>
      </c>
      <c r="G83" t="s">
        <v>204</v>
      </c>
    </row>
    <row r="84" spans="1:8">
      <c r="A84" t="s">
        <v>2264</v>
      </c>
      <c r="B84" t="s">
        <v>772</v>
      </c>
      <c r="C84" t="s">
        <v>113</v>
      </c>
      <c r="D84" t="s">
        <v>63</v>
      </c>
      <c r="E84" t="s">
        <v>773</v>
      </c>
      <c r="F84" t="s">
        <v>2265</v>
      </c>
      <c r="G84" t="s">
        <v>172</v>
      </c>
      <c r="H84">
        <v>1</v>
      </c>
    </row>
    <row r="85" spans="1:8">
      <c r="A85" t="s">
        <v>2266</v>
      </c>
      <c r="B85" t="s">
        <v>2267</v>
      </c>
      <c r="C85" t="s">
        <v>125</v>
      </c>
      <c r="D85" t="s">
        <v>126</v>
      </c>
      <c r="E85" t="s">
        <v>126</v>
      </c>
      <c r="F85" t="s">
        <v>2268</v>
      </c>
      <c r="G85" t="s">
        <v>126</v>
      </c>
    </row>
    <row r="86" spans="1:8">
      <c r="A86" t="s">
        <v>2269</v>
      </c>
      <c r="B86" t="s">
        <v>607</v>
      </c>
      <c r="C86" t="s">
        <v>113</v>
      </c>
      <c r="D86" t="s">
        <v>42</v>
      </c>
      <c r="E86" t="s">
        <v>126</v>
      </c>
      <c r="F86" t="s">
        <v>1955</v>
      </c>
      <c r="G86" t="s">
        <v>63</v>
      </c>
      <c r="H86">
        <v>1</v>
      </c>
    </row>
    <row r="87" spans="1:8">
      <c r="A87" t="s">
        <v>2270</v>
      </c>
      <c r="B87" t="s">
        <v>767</v>
      </c>
      <c r="C87" t="s">
        <v>117</v>
      </c>
      <c r="D87" t="s">
        <v>647</v>
      </c>
      <c r="E87" t="s">
        <v>126</v>
      </c>
      <c r="F87" t="s">
        <v>2271</v>
      </c>
      <c r="G87" t="s">
        <v>768</v>
      </c>
      <c r="H87">
        <v>1</v>
      </c>
    </row>
    <row r="88" spans="1:8">
      <c r="A88" t="s">
        <v>2272</v>
      </c>
      <c r="B88" t="s">
        <v>952</v>
      </c>
      <c r="C88" t="s">
        <v>117</v>
      </c>
      <c r="D88" t="s">
        <v>42</v>
      </c>
      <c r="E88" t="s">
        <v>126</v>
      </c>
      <c r="F88" t="s">
        <v>2273</v>
      </c>
      <c r="G88" t="s">
        <v>768</v>
      </c>
    </row>
    <row r="89" spans="1:8">
      <c r="A89" t="s">
        <v>2274</v>
      </c>
      <c r="B89" t="s">
        <v>128</v>
      </c>
      <c r="C89" t="s">
        <v>113</v>
      </c>
      <c r="D89" t="s">
        <v>42</v>
      </c>
      <c r="E89" t="s">
        <v>129</v>
      </c>
      <c r="F89" t="s">
        <v>2275</v>
      </c>
      <c r="G89" t="s">
        <v>63</v>
      </c>
      <c r="H89">
        <v>1</v>
      </c>
    </row>
    <row r="90" spans="1:8">
      <c r="A90" t="s">
        <v>2276</v>
      </c>
      <c r="B90" t="s">
        <v>293</v>
      </c>
      <c r="C90" t="s">
        <v>113</v>
      </c>
      <c r="D90" t="s">
        <v>233</v>
      </c>
      <c r="E90" t="s">
        <v>294</v>
      </c>
      <c r="F90" t="s">
        <v>2277</v>
      </c>
      <c r="G90" t="s">
        <v>42</v>
      </c>
      <c r="H90">
        <v>1</v>
      </c>
    </row>
    <row r="91" spans="1:8">
      <c r="A91" t="s">
        <v>2278</v>
      </c>
      <c r="B91" t="s">
        <v>281</v>
      </c>
      <c r="C91" t="s">
        <v>42</v>
      </c>
      <c r="D91" t="s">
        <v>126</v>
      </c>
      <c r="E91" t="s">
        <v>126</v>
      </c>
      <c r="F91" t="s">
        <v>1682</v>
      </c>
      <c r="G91" t="s">
        <v>126</v>
      </c>
    </row>
    <row r="92" spans="1:8">
      <c r="A92" t="s">
        <v>2279</v>
      </c>
      <c r="B92" t="s">
        <v>2280</v>
      </c>
      <c r="C92" t="s">
        <v>125</v>
      </c>
      <c r="D92" t="s">
        <v>126</v>
      </c>
      <c r="E92" t="s">
        <v>126</v>
      </c>
      <c r="F92" t="s">
        <v>2155</v>
      </c>
      <c r="G92" t="s">
        <v>126</v>
      </c>
    </row>
    <row r="93" spans="1:8">
      <c r="A93" t="s">
        <v>2281</v>
      </c>
      <c r="B93" t="s">
        <v>785</v>
      </c>
      <c r="C93" t="s">
        <v>117</v>
      </c>
      <c r="D93" t="s">
        <v>42</v>
      </c>
      <c r="E93" t="s">
        <v>786</v>
      </c>
      <c r="F93" t="s">
        <v>2041</v>
      </c>
      <c r="G93" t="s">
        <v>126</v>
      </c>
    </row>
    <row r="94" spans="1:8">
      <c r="A94" t="s">
        <v>2282</v>
      </c>
      <c r="B94" t="s">
        <v>212</v>
      </c>
      <c r="C94" t="s">
        <v>42</v>
      </c>
      <c r="D94" t="s">
        <v>213</v>
      </c>
      <c r="E94" t="s">
        <v>214</v>
      </c>
      <c r="F94" t="s">
        <v>2283</v>
      </c>
      <c r="G94" t="s">
        <v>126</v>
      </c>
    </row>
    <row r="95" spans="1:8">
      <c r="A95" t="s">
        <v>2284</v>
      </c>
      <c r="B95" t="s">
        <v>494</v>
      </c>
      <c r="C95" t="s">
        <v>113</v>
      </c>
      <c r="D95" t="s">
        <v>42</v>
      </c>
      <c r="E95" t="s">
        <v>495</v>
      </c>
      <c r="F95" t="s">
        <v>1922</v>
      </c>
      <c r="G95" t="s">
        <v>208</v>
      </c>
      <c r="H95">
        <v>3</v>
      </c>
    </row>
    <row r="96" spans="1:8">
      <c r="A96" t="s">
        <v>2285</v>
      </c>
      <c r="B96" t="s">
        <v>881</v>
      </c>
      <c r="C96" t="s">
        <v>113</v>
      </c>
      <c r="D96" t="s">
        <v>42</v>
      </c>
      <c r="E96" t="s">
        <v>882</v>
      </c>
      <c r="F96" t="s">
        <v>1739</v>
      </c>
      <c r="G96" t="s">
        <v>204</v>
      </c>
    </row>
    <row r="97" spans="1:7">
      <c r="A97" t="s">
        <v>2286</v>
      </c>
      <c r="B97" t="s">
        <v>330</v>
      </c>
      <c r="C97" t="s">
        <v>113</v>
      </c>
      <c r="D97" t="s">
        <v>154</v>
      </c>
      <c r="E97" t="s">
        <v>126</v>
      </c>
      <c r="F97" t="s">
        <v>2039</v>
      </c>
      <c r="G97" t="s">
        <v>204</v>
      </c>
    </row>
    <row r="98" spans="1:7">
      <c r="A98" t="s">
        <v>2287</v>
      </c>
      <c r="B98" t="s">
        <v>337</v>
      </c>
      <c r="C98" t="s">
        <v>113</v>
      </c>
      <c r="D98" t="s">
        <v>42</v>
      </c>
      <c r="E98" t="s">
        <v>338</v>
      </c>
      <c r="F98" t="s">
        <v>1672</v>
      </c>
      <c r="G98" t="s">
        <v>217</v>
      </c>
    </row>
    <row r="99" spans="1:7">
      <c r="A99" t="s">
        <v>2288</v>
      </c>
      <c r="B99" t="s">
        <v>749</v>
      </c>
      <c r="C99" t="s">
        <v>113</v>
      </c>
      <c r="D99" t="s">
        <v>42</v>
      </c>
      <c r="E99" t="s">
        <v>126</v>
      </c>
      <c r="F99" t="s">
        <v>2100</v>
      </c>
      <c r="G99" t="s">
        <v>126</v>
      </c>
    </row>
    <row r="100" spans="1:7">
      <c r="A100" t="s">
        <v>2289</v>
      </c>
      <c r="B100" t="s">
        <v>1156</v>
      </c>
      <c r="C100" t="s">
        <v>113</v>
      </c>
      <c r="D100" t="s">
        <v>233</v>
      </c>
      <c r="E100" t="s">
        <v>126</v>
      </c>
      <c r="F100" t="s">
        <v>2290</v>
      </c>
      <c r="G100" t="s">
        <v>624</v>
      </c>
    </row>
    <row r="101" spans="1:7">
      <c r="A101" t="s">
        <v>2291</v>
      </c>
      <c r="B101" t="s">
        <v>318</v>
      </c>
      <c r="C101" t="s">
        <v>113</v>
      </c>
      <c r="D101" t="s">
        <v>42</v>
      </c>
      <c r="E101" t="s">
        <v>319</v>
      </c>
      <c r="F101" t="s">
        <v>2092</v>
      </c>
      <c r="G101" t="s">
        <v>126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414A-129A-48B2-BACC-4F5EAA412821}">
  <sheetPr codeName="Sheet6"/>
  <dimension ref="A1:H101"/>
  <sheetViews>
    <sheetView workbookViewId="0">
      <selection activeCell="C6" sqref="C6"/>
    </sheetView>
  </sheetViews>
  <sheetFormatPr defaultRowHeight="14.5"/>
  <cols>
    <col min="1" max="1" width="61.1796875" bestFit="1" customWidth="1"/>
    <col min="2" max="2" width="80.7265625" bestFit="1" customWidth="1"/>
    <col min="3" max="4" width="19.1796875" bestFit="1" customWidth="1"/>
    <col min="5" max="5" width="20.1796875" bestFit="1" customWidth="1"/>
    <col min="6" max="6" width="80.7265625" bestFit="1" customWidth="1"/>
    <col min="7" max="7" width="7.26953125" bestFit="1" customWidth="1"/>
    <col min="8" max="8" width="13" bestFit="1" customWidth="1"/>
  </cols>
  <sheetData>
    <row r="1" spans="1:8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1664</v>
      </c>
      <c r="H1" t="s">
        <v>110</v>
      </c>
    </row>
    <row r="2" spans="1:8">
      <c r="A2" t="s">
        <v>2292</v>
      </c>
      <c r="B2" t="s">
        <v>165</v>
      </c>
      <c r="C2" t="s">
        <v>113</v>
      </c>
      <c r="D2" t="s">
        <v>42</v>
      </c>
      <c r="E2" t="s">
        <v>65</v>
      </c>
      <c r="F2" t="s">
        <v>166</v>
      </c>
      <c r="G2" t="s">
        <v>2235</v>
      </c>
    </row>
    <row r="3" spans="1:8">
      <c r="A3" t="s">
        <v>2293</v>
      </c>
      <c r="B3" t="s">
        <v>377</v>
      </c>
      <c r="C3" t="s">
        <v>113</v>
      </c>
      <c r="D3" t="s">
        <v>233</v>
      </c>
      <c r="E3" t="s">
        <v>42</v>
      </c>
      <c r="F3" t="s">
        <v>126</v>
      </c>
      <c r="G3" t="s">
        <v>1804</v>
      </c>
      <c r="H3">
        <v>3</v>
      </c>
    </row>
    <row r="4" spans="1:8">
      <c r="A4" t="s">
        <v>2294</v>
      </c>
      <c r="B4" t="s">
        <v>357</v>
      </c>
      <c r="C4" t="s">
        <v>113</v>
      </c>
      <c r="D4" t="s">
        <v>42</v>
      </c>
      <c r="E4" t="s">
        <v>126</v>
      </c>
      <c r="F4" t="s">
        <v>358</v>
      </c>
      <c r="G4" t="s">
        <v>2295</v>
      </c>
    </row>
    <row r="5" spans="1:8">
      <c r="A5" t="s">
        <v>2296</v>
      </c>
      <c r="B5" t="s">
        <v>508</v>
      </c>
      <c r="C5" t="s">
        <v>113</v>
      </c>
      <c r="D5" t="s">
        <v>233</v>
      </c>
      <c r="E5" t="s">
        <v>42</v>
      </c>
      <c r="F5" t="s">
        <v>126</v>
      </c>
      <c r="G5" t="s">
        <v>2297</v>
      </c>
      <c r="H5">
        <v>1</v>
      </c>
    </row>
    <row r="6" spans="1:8">
      <c r="A6" t="s">
        <v>2298</v>
      </c>
      <c r="B6" t="s">
        <v>2299</v>
      </c>
      <c r="C6" t="s">
        <v>125</v>
      </c>
      <c r="D6" t="s">
        <v>126</v>
      </c>
      <c r="E6" t="s">
        <v>126</v>
      </c>
      <c r="F6" t="s">
        <v>2300</v>
      </c>
      <c r="G6" t="s">
        <v>2301</v>
      </c>
    </row>
    <row r="7" spans="1:8">
      <c r="A7" t="s">
        <v>2302</v>
      </c>
      <c r="B7" t="s">
        <v>1269</v>
      </c>
      <c r="C7" t="s">
        <v>154</v>
      </c>
      <c r="D7" t="s">
        <v>42</v>
      </c>
      <c r="E7" t="s">
        <v>147</v>
      </c>
      <c r="F7" t="s">
        <v>126</v>
      </c>
      <c r="G7" t="s">
        <v>2303</v>
      </c>
    </row>
    <row r="8" spans="1:8">
      <c r="A8" t="s">
        <v>2304</v>
      </c>
      <c r="B8" t="s">
        <v>222</v>
      </c>
      <c r="C8" t="s">
        <v>180</v>
      </c>
      <c r="D8" t="s">
        <v>121</v>
      </c>
      <c r="E8" t="s">
        <v>172</v>
      </c>
      <c r="F8" t="s">
        <v>223</v>
      </c>
      <c r="G8" t="s">
        <v>2305</v>
      </c>
      <c r="H8">
        <v>2</v>
      </c>
    </row>
    <row r="9" spans="1:8">
      <c r="A9" t="s">
        <v>2306</v>
      </c>
      <c r="B9" t="s">
        <v>1451</v>
      </c>
      <c r="C9" t="s">
        <v>42</v>
      </c>
      <c r="D9" t="s">
        <v>82</v>
      </c>
      <c r="E9" t="s">
        <v>204</v>
      </c>
      <c r="F9" t="s">
        <v>126</v>
      </c>
      <c r="G9" t="s">
        <v>2307</v>
      </c>
    </row>
    <row r="10" spans="1:8">
      <c r="A10" t="s">
        <v>2308</v>
      </c>
      <c r="B10" t="s">
        <v>906</v>
      </c>
      <c r="C10" t="s">
        <v>113</v>
      </c>
      <c r="D10" t="s">
        <v>208</v>
      </c>
      <c r="E10" t="s">
        <v>209</v>
      </c>
      <c r="F10" t="s">
        <v>126</v>
      </c>
      <c r="G10" t="s">
        <v>1716</v>
      </c>
      <c r="H10">
        <v>2</v>
      </c>
    </row>
    <row r="11" spans="1:8">
      <c r="A11" t="s">
        <v>2309</v>
      </c>
      <c r="B11" t="s">
        <v>1073</v>
      </c>
      <c r="C11" t="s">
        <v>117</v>
      </c>
      <c r="D11" t="s">
        <v>63</v>
      </c>
      <c r="E11" t="s">
        <v>300</v>
      </c>
      <c r="F11" t="s">
        <v>126</v>
      </c>
      <c r="G11" t="s">
        <v>2310</v>
      </c>
      <c r="H11">
        <v>1</v>
      </c>
    </row>
    <row r="12" spans="1:8">
      <c r="A12" t="s">
        <v>2311</v>
      </c>
      <c r="B12" t="s">
        <v>389</v>
      </c>
      <c r="C12" t="s">
        <v>233</v>
      </c>
      <c r="D12" t="s">
        <v>42</v>
      </c>
      <c r="E12" t="s">
        <v>390</v>
      </c>
      <c r="F12" t="s">
        <v>391</v>
      </c>
      <c r="G12" t="s">
        <v>2206</v>
      </c>
    </row>
    <row r="13" spans="1:8">
      <c r="A13" t="s">
        <v>2312</v>
      </c>
      <c r="B13" t="s">
        <v>1297</v>
      </c>
      <c r="C13" t="s">
        <v>113</v>
      </c>
      <c r="D13" t="s">
        <v>233</v>
      </c>
      <c r="E13" t="s">
        <v>624</v>
      </c>
      <c r="F13" t="s">
        <v>126</v>
      </c>
      <c r="G13" t="s">
        <v>1816</v>
      </c>
      <c r="H13">
        <v>1</v>
      </c>
    </row>
    <row r="14" spans="1:8">
      <c r="A14" t="s">
        <v>2313</v>
      </c>
      <c r="B14" t="s">
        <v>2314</v>
      </c>
      <c r="C14" t="s">
        <v>135</v>
      </c>
      <c r="D14" t="s">
        <v>136</v>
      </c>
      <c r="E14" t="s">
        <v>126</v>
      </c>
      <c r="F14" t="s">
        <v>126</v>
      </c>
      <c r="G14" t="s">
        <v>2315</v>
      </c>
    </row>
    <row r="15" spans="1:8">
      <c r="A15" t="s">
        <v>2316</v>
      </c>
      <c r="B15" t="s">
        <v>1101</v>
      </c>
      <c r="C15" t="s">
        <v>117</v>
      </c>
      <c r="D15" t="s">
        <v>63</v>
      </c>
      <c r="E15" t="s">
        <v>126</v>
      </c>
      <c r="F15" t="s">
        <v>126</v>
      </c>
      <c r="G15" t="s">
        <v>2317</v>
      </c>
    </row>
    <row r="16" spans="1:8">
      <c r="A16" t="s">
        <v>2318</v>
      </c>
      <c r="B16" t="s">
        <v>847</v>
      </c>
      <c r="C16" t="s">
        <v>113</v>
      </c>
      <c r="D16" t="s">
        <v>154</v>
      </c>
      <c r="E16" t="s">
        <v>82</v>
      </c>
      <c r="F16" t="s">
        <v>126</v>
      </c>
      <c r="G16" t="s">
        <v>1980</v>
      </c>
      <c r="H16">
        <v>1</v>
      </c>
    </row>
    <row r="17" spans="1:8">
      <c r="A17" t="s">
        <v>2319</v>
      </c>
      <c r="B17" t="s">
        <v>159</v>
      </c>
      <c r="C17" t="s">
        <v>113</v>
      </c>
      <c r="D17" t="s">
        <v>42</v>
      </c>
      <c r="E17" t="s">
        <v>160</v>
      </c>
      <c r="F17" t="s">
        <v>126</v>
      </c>
      <c r="G17" t="s">
        <v>1990</v>
      </c>
      <c r="H17">
        <v>2</v>
      </c>
    </row>
    <row r="18" spans="1:8">
      <c r="A18" t="s">
        <v>2320</v>
      </c>
      <c r="B18" t="s">
        <v>620</v>
      </c>
      <c r="C18" t="s">
        <v>117</v>
      </c>
      <c r="D18" t="s">
        <v>42</v>
      </c>
      <c r="E18" t="s">
        <v>126</v>
      </c>
      <c r="F18" t="s">
        <v>621</v>
      </c>
      <c r="G18" t="s">
        <v>2321</v>
      </c>
    </row>
    <row r="19" spans="1:8">
      <c r="A19" t="s">
        <v>2322</v>
      </c>
      <c r="B19" t="s">
        <v>1107</v>
      </c>
      <c r="C19" t="s">
        <v>113</v>
      </c>
      <c r="D19" t="s">
        <v>272</v>
      </c>
      <c r="E19" t="s">
        <v>204</v>
      </c>
      <c r="F19" t="s">
        <v>126</v>
      </c>
      <c r="G19" t="s">
        <v>2323</v>
      </c>
    </row>
    <row r="20" spans="1:8">
      <c r="A20" t="s">
        <v>2324</v>
      </c>
      <c r="B20" t="s">
        <v>869</v>
      </c>
      <c r="C20" t="s">
        <v>139</v>
      </c>
      <c r="D20" t="s">
        <v>117</v>
      </c>
      <c r="E20" t="s">
        <v>82</v>
      </c>
      <c r="F20" t="s">
        <v>126</v>
      </c>
      <c r="G20" t="s">
        <v>1839</v>
      </c>
    </row>
    <row r="21" spans="1:8">
      <c r="A21" t="s">
        <v>2325</v>
      </c>
      <c r="B21" t="s">
        <v>340</v>
      </c>
      <c r="C21" t="s">
        <v>113</v>
      </c>
      <c r="D21" t="s">
        <v>42</v>
      </c>
      <c r="E21" t="s">
        <v>172</v>
      </c>
      <c r="F21" t="s">
        <v>341</v>
      </c>
      <c r="G21" t="s">
        <v>1672</v>
      </c>
    </row>
    <row r="22" spans="1:8">
      <c r="A22" t="s">
        <v>2326</v>
      </c>
      <c r="B22" t="s">
        <v>2327</v>
      </c>
      <c r="C22" t="s">
        <v>42</v>
      </c>
      <c r="D22" t="s">
        <v>121</v>
      </c>
      <c r="E22" t="s">
        <v>126</v>
      </c>
      <c r="F22" t="s">
        <v>2328</v>
      </c>
      <c r="G22" t="s">
        <v>1845</v>
      </c>
    </row>
    <row r="23" spans="1:8">
      <c r="A23" t="s">
        <v>2329</v>
      </c>
      <c r="B23" t="s">
        <v>1265</v>
      </c>
      <c r="C23" t="s">
        <v>42</v>
      </c>
      <c r="D23" t="s">
        <v>256</v>
      </c>
      <c r="E23" t="s">
        <v>126</v>
      </c>
      <c r="F23" t="s">
        <v>126</v>
      </c>
      <c r="G23" t="s">
        <v>1676</v>
      </c>
    </row>
    <row r="24" spans="1:8">
      <c r="A24" t="s">
        <v>2330</v>
      </c>
      <c r="B24" t="s">
        <v>1042</v>
      </c>
      <c r="C24" t="s">
        <v>113</v>
      </c>
      <c r="D24" t="s">
        <v>233</v>
      </c>
      <c r="E24" t="s">
        <v>42</v>
      </c>
      <c r="F24" t="s">
        <v>126</v>
      </c>
      <c r="G24" t="s">
        <v>2331</v>
      </c>
      <c r="H24">
        <v>1</v>
      </c>
    </row>
    <row r="25" spans="1:8">
      <c r="A25" t="s">
        <v>2332</v>
      </c>
      <c r="B25" t="s">
        <v>393</v>
      </c>
      <c r="C25" t="s">
        <v>113</v>
      </c>
      <c r="D25" t="s">
        <v>136</v>
      </c>
      <c r="E25" t="s">
        <v>217</v>
      </c>
      <c r="F25" t="s">
        <v>394</v>
      </c>
      <c r="G25" t="s">
        <v>2206</v>
      </c>
    </row>
    <row r="26" spans="1:8">
      <c r="A26" t="s">
        <v>2333</v>
      </c>
      <c r="B26" t="s">
        <v>570</v>
      </c>
      <c r="C26" t="s">
        <v>113</v>
      </c>
      <c r="D26" t="s">
        <v>233</v>
      </c>
      <c r="E26" t="s">
        <v>511</v>
      </c>
      <c r="F26" t="s">
        <v>571</v>
      </c>
      <c r="G26" t="s">
        <v>2334</v>
      </c>
      <c r="H26">
        <v>7</v>
      </c>
    </row>
    <row r="27" spans="1:8">
      <c r="A27" t="s">
        <v>2335</v>
      </c>
      <c r="B27" t="s">
        <v>255</v>
      </c>
      <c r="C27" t="s">
        <v>113</v>
      </c>
      <c r="D27" t="s">
        <v>42</v>
      </c>
      <c r="E27" t="s">
        <v>256</v>
      </c>
      <c r="F27" t="s">
        <v>257</v>
      </c>
      <c r="G27" t="s">
        <v>1982</v>
      </c>
    </row>
    <row r="28" spans="1:8">
      <c r="A28" t="s">
        <v>2336</v>
      </c>
      <c r="B28" t="s">
        <v>179</v>
      </c>
      <c r="C28" t="s">
        <v>180</v>
      </c>
      <c r="D28" t="s">
        <v>121</v>
      </c>
      <c r="E28" t="s">
        <v>126</v>
      </c>
      <c r="F28" t="s">
        <v>181</v>
      </c>
      <c r="G28" t="s">
        <v>2337</v>
      </c>
    </row>
    <row r="29" spans="1:8">
      <c r="A29" t="s">
        <v>2338</v>
      </c>
      <c r="B29" t="s">
        <v>738</v>
      </c>
      <c r="C29" t="s">
        <v>117</v>
      </c>
      <c r="D29" t="s">
        <v>63</v>
      </c>
      <c r="E29" t="s">
        <v>172</v>
      </c>
      <c r="F29" t="s">
        <v>126</v>
      </c>
      <c r="G29" t="s">
        <v>1773</v>
      </c>
    </row>
    <row r="30" spans="1:8">
      <c r="A30" t="s">
        <v>2339</v>
      </c>
      <c r="B30" t="s">
        <v>384</v>
      </c>
      <c r="C30" t="s">
        <v>113</v>
      </c>
      <c r="D30" t="s">
        <v>121</v>
      </c>
      <c r="E30" t="s">
        <v>46</v>
      </c>
      <c r="F30" t="s">
        <v>126</v>
      </c>
      <c r="G30" t="s">
        <v>2140</v>
      </c>
      <c r="H30">
        <v>1</v>
      </c>
    </row>
    <row r="31" spans="1:8">
      <c r="A31" t="s">
        <v>2340</v>
      </c>
      <c r="B31" t="s">
        <v>730</v>
      </c>
      <c r="C31" t="s">
        <v>113</v>
      </c>
      <c r="D31" t="s">
        <v>42</v>
      </c>
      <c r="E31" t="s">
        <v>217</v>
      </c>
      <c r="F31" t="s">
        <v>126</v>
      </c>
      <c r="G31" t="s">
        <v>1690</v>
      </c>
    </row>
    <row r="32" spans="1:8">
      <c r="A32" t="s">
        <v>2341</v>
      </c>
      <c r="B32" t="s">
        <v>2342</v>
      </c>
      <c r="C32" t="s">
        <v>117</v>
      </c>
      <c r="D32" t="s">
        <v>160</v>
      </c>
      <c r="E32" t="s">
        <v>135</v>
      </c>
      <c r="F32" t="s">
        <v>126</v>
      </c>
      <c r="G32" t="s">
        <v>2343</v>
      </c>
      <c r="H32">
        <v>1</v>
      </c>
    </row>
    <row r="33" spans="1:8">
      <c r="A33" t="s">
        <v>2344</v>
      </c>
      <c r="B33" t="s">
        <v>268</v>
      </c>
      <c r="C33" t="s">
        <v>113</v>
      </c>
      <c r="D33" t="s">
        <v>44</v>
      </c>
      <c r="E33" t="s">
        <v>82</v>
      </c>
      <c r="F33" t="s">
        <v>269</v>
      </c>
      <c r="G33" t="s">
        <v>2345</v>
      </c>
      <c r="H33">
        <v>1</v>
      </c>
    </row>
    <row r="34" spans="1:8">
      <c r="A34" t="s">
        <v>2346</v>
      </c>
      <c r="B34" t="s">
        <v>928</v>
      </c>
      <c r="C34" t="s">
        <v>113</v>
      </c>
      <c r="D34" t="s">
        <v>63</v>
      </c>
      <c r="E34" t="s">
        <v>184</v>
      </c>
      <c r="F34" t="s">
        <v>929</v>
      </c>
      <c r="G34" t="s">
        <v>2347</v>
      </c>
      <c r="H34">
        <v>1</v>
      </c>
    </row>
    <row r="35" spans="1:8">
      <c r="A35" t="s">
        <v>2348</v>
      </c>
      <c r="B35" t="s">
        <v>1190</v>
      </c>
      <c r="C35" t="s">
        <v>113</v>
      </c>
      <c r="D35" t="s">
        <v>233</v>
      </c>
      <c r="E35" t="s">
        <v>624</v>
      </c>
      <c r="F35" t="s">
        <v>126</v>
      </c>
      <c r="G35" t="s">
        <v>2349</v>
      </c>
      <c r="H35">
        <v>2</v>
      </c>
    </row>
    <row r="36" spans="1:8">
      <c r="A36" t="s">
        <v>2350</v>
      </c>
      <c r="B36" t="s">
        <v>142</v>
      </c>
      <c r="C36" t="s">
        <v>42</v>
      </c>
      <c r="D36" t="s">
        <v>82</v>
      </c>
      <c r="E36" t="s">
        <v>143</v>
      </c>
      <c r="F36" t="s">
        <v>144</v>
      </c>
      <c r="G36" t="s">
        <v>2351</v>
      </c>
    </row>
    <row r="37" spans="1:8">
      <c r="A37" t="s">
        <v>2352</v>
      </c>
      <c r="B37" t="s">
        <v>216</v>
      </c>
      <c r="C37" t="s">
        <v>42</v>
      </c>
      <c r="D37" t="s">
        <v>82</v>
      </c>
      <c r="E37" t="s">
        <v>217</v>
      </c>
      <c r="F37" t="s">
        <v>126</v>
      </c>
      <c r="G37" t="s">
        <v>2353</v>
      </c>
    </row>
    <row r="38" spans="1:8">
      <c r="A38" t="s">
        <v>2354</v>
      </c>
      <c r="B38" t="s">
        <v>1615</v>
      </c>
      <c r="C38" t="s">
        <v>233</v>
      </c>
      <c r="D38" t="s">
        <v>155</v>
      </c>
      <c r="E38" t="s">
        <v>156</v>
      </c>
      <c r="F38" t="s">
        <v>126</v>
      </c>
      <c r="G38" t="s">
        <v>2355</v>
      </c>
    </row>
    <row r="39" spans="1:8">
      <c r="A39" t="s">
        <v>2356</v>
      </c>
      <c r="B39" t="s">
        <v>763</v>
      </c>
      <c r="C39" t="s">
        <v>113</v>
      </c>
      <c r="D39" t="s">
        <v>233</v>
      </c>
      <c r="E39" t="s">
        <v>180</v>
      </c>
      <c r="F39" t="s">
        <v>126</v>
      </c>
      <c r="G39" t="s">
        <v>2357</v>
      </c>
      <c r="H39">
        <v>1</v>
      </c>
    </row>
    <row r="40" spans="1:8">
      <c r="A40" t="s">
        <v>2358</v>
      </c>
      <c r="B40" t="s">
        <v>1035</v>
      </c>
      <c r="C40" t="s">
        <v>113</v>
      </c>
      <c r="D40" t="s">
        <v>180</v>
      </c>
      <c r="E40" t="s">
        <v>121</v>
      </c>
      <c r="F40" t="s">
        <v>1036</v>
      </c>
      <c r="G40" t="s">
        <v>1996</v>
      </c>
      <c r="H40">
        <v>3</v>
      </c>
    </row>
    <row r="41" spans="1:8">
      <c r="A41" t="s">
        <v>2359</v>
      </c>
      <c r="B41" t="s">
        <v>2360</v>
      </c>
      <c r="C41" t="s">
        <v>125</v>
      </c>
      <c r="D41" t="s">
        <v>126</v>
      </c>
      <c r="E41" t="s">
        <v>126</v>
      </c>
      <c r="F41" t="s">
        <v>2361</v>
      </c>
      <c r="G41" t="s">
        <v>1912</v>
      </c>
    </row>
    <row r="42" spans="1:8">
      <c r="A42" t="s">
        <v>2362</v>
      </c>
      <c r="B42" t="s">
        <v>464</v>
      </c>
      <c r="C42" t="s">
        <v>113</v>
      </c>
      <c r="D42" t="s">
        <v>117</v>
      </c>
      <c r="E42" t="s">
        <v>42</v>
      </c>
      <c r="F42" t="s">
        <v>465</v>
      </c>
      <c r="G42" t="s">
        <v>1951</v>
      </c>
    </row>
    <row r="43" spans="1:8">
      <c r="A43" t="s">
        <v>2363</v>
      </c>
      <c r="B43" t="s">
        <v>765</v>
      </c>
      <c r="C43" t="s">
        <v>113</v>
      </c>
      <c r="D43" t="s">
        <v>233</v>
      </c>
      <c r="E43" t="s">
        <v>42</v>
      </c>
      <c r="F43" t="s">
        <v>126</v>
      </c>
      <c r="G43" t="s">
        <v>2357</v>
      </c>
      <c r="H43">
        <v>1</v>
      </c>
    </row>
    <row r="44" spans="1:8">
      <c r="A44" t="s">
        <v>2364</v>
      </c>
      <c r="B44" t="s">
        <v>2365</v>
      </c>
      <c r="C44" t="s">
        <v>125</v>
      </c>
      <c r="D44" t="s">
        <v>126</v>
      </c>
      <c r="E44" t="s">
        <v>126</v>
      </c>
      <c r="F44" t="s">
        <v>126</v>
      </c>
      <c r="G44" t="s">
        <v>2366</v>
      </c>
    </row>
    <row r="45" spans="1:8">
      <c r="A45" t="s">
        <v>2367</v>
      </c>
      <c r="B45" t="s">
        <v>1117</v>
      </c>
      <c r="C45" t="s">
        <v>113</v>
      </c>
      <c r="D45" t="s">
        <v>154</v>
      </c>
      <c r="E45" t="s">
        <v>511</v>
      </c>
      <c r="F45" t="s">
        <v>1118</v>
      </c>
      <c r="G45" t="s">
        <v>2368</v>
      </c>
      <c r="H45">
        <v>4</v>
      </c>
    </row>
    <row r="46" spans="1:8">
      <c r="A46" t="s">
        <v>2369</v>
      </c>
      <c r="B46" t="s">
        <v>2370</v>
      </c>
      <c r="C46" t="s">
        <v>125</v>
      </c>
      <c r="D46" t="s">
        <v>126</v>
      </c>
      <c r="E46" t="s">
        <v>126</v>
      </c>
      <c r="F46" t="s">
        <v>126</v>
      </c>
      <c r="G46" t="s">
        <v>2371</v>
      </c>
    </row>
    <row r="47" spans="1:8">
      <c r="A47" t="s">
        <v>2372</v>
      </c>
      <c r="B47" t="s">
        <v>1109</v>
      </c>
      <c r="C47" t="s">
        <v>113</v>
      </c>
      <c r="D47" t="s">
        <v>42</v>
      </c>
      <c r="E47" t="s">
        <v>217</v>
      </c>
      <c r="F47" t="s">
        <v>126</v>
      </c>
      <c r="G47" t="s">
        <v>2323</v>
      </c>
    </row>
    <row r="48" spans="1:8">
      <c r="A48" t="s">
        <v>2373</v>
      </c>
      <c r="B48" t="s">
        <v>1084</v>
      </c>
      <c r="C48" t="s">
        <v>42</v>
      </c>
      <c r="D48" t="s">
        <v>82</v>
      </c>
      <c r="E48" t="s">
        <v>204</v>
      </c>
      <c r="F48" t="s">
        <v>126</v>
      </c>
      <c r="G48" t="s">
        <v>1733</v>
      </c>
    </row>
    <row r="49" spans="1:8">
      <c r="A49" t="s">
        <v>2374</v>
      </c>
      <c r="B49" t="s">
        <v>418</v>
      </c>
      <c r="C49" t="s">
        <v>113</v>
      </c>
      <c r="D49" t="s">
        <v>63</v>
      </c>
      <c r="E49" t="s">
        <v>172</v>
      </c>
      <c r="F49" t="s">
        <v>126</v>
      </c>
      <c r="G49" t="s">
        <v>2155</v>
      </c>
    </row>
    <row r="50" spans="1:8">
      <c r="A50" t="s">
        <v>2375</v>
      </c>
      <c r="B50" t="s">
        <v>527</v>
      </c>
      <c r="C50" t="s">
        <v>113</v>
      </c>
      <c r="D50" t="s">
        <v>154</v>
      </c>
      <c r="E50" t="s">
        <v>204</v>
      </c>
      <c r="F50" t="s">
        <v>528</v>
      </c>
      <c r="G50" t="s">
        <v>2376</v>
      </c>
    </row>
    <row r="51" spans="1:8">
      <c r="A51" t="s">
        <v>2377</v>
      </c>
      <c r="B51" t="s">
        <v>558</v>
      </c>
      <c r="C51" t="s">
        <v>113</v>
      </c>
      <c r="D51" t="s">
        <v>63</v>
      </c>
      <c r="E51" t="s">
        <v>184</v>
      </c>
      <c r="F51" t="s">
        <v>559</v>
      </c>
      <c r="G51" t="s">
        <v>2378</v>
      </c>
      <c r="H51">
        <v>1</v>
      </c>
    </row>
    <row r="52" spans="1:8">
      <c r="A52" t="s">
        <v>2379</v>
      </c>
      <c r="B52" t="s">
        <v>1111</v>
      </c>
      <c r="C52" t="s">
        <v>113</v>
      </c>
      <c r="D52" t="s">
        <v>42</v>
      </c>
      <c r="E52" t="s">
        <v>204</v>
      </c>
      <c r="F52" t="s">
        <v>126</v>
      </c>
      <c r="G52" t="s">
        <v>2380</v>
      </c>
    </row>
    <row r="53" spans="1:8">
      <c r="A53" t="s">
        <v>2381</v>
      </c>
      <c r="B53" t="s">
        <v>1138</v>
      </c>
      <c r="C53" t="s">
        <v>113</v>
      </c>
      <c r="D53" t="s">
        <v>42</v>
      </c>
      <c r="E53" t="s">
        <v>938</v>
      </c>
      <c r="F53" t="s">
        <v>126</v>
      </c>
      <c r="G53" t="s">
        <v>1914</v>
      </c>
    </row>
    <row r="54" spans="1:8">
      <c r="A54" t="s">
        <v>2382</v>
      </c>
      <c r="B54" t="s">
        <v>404</v>
      </c>
      <c r="C54" t="s">
        <v>113</v>
      </c>
      <c r="D54" t="s">
        <v>42</v>
      </c>
      <c r="E54" t="s">
        <v>172</v>
      </c>
      <c r="F54" t="s">
        <v>126</v>
      </c>
      <c r="G54" t="s">
        <v>1845</v>
      </c>
    </row>
    <row r="55" spans="1:8">
      <c r="A55" t="s">
        <v>2383</v>
      </c>
      <c r="B55" t="s">
        <v>2384</v>
      </c>
      <c r="C55" t="s">
        <v>42</v>
      </c>
      <c r="D55" t="s">
        <v>126</v>
      </c>
      <c r="E55" t="s">
        <v>126</v>
      </c>
      <c r="F55" t="s">
        <v>126</v>
      </c>
      <c r="G55" t="s">
        <v>2385</v>
      </c>
    </row>
    <row r="56" spans="1:8">
      <c r="A56" t="s">
        <v>2386</v>
      </c>
      <c r="B56" t="s">
        <v>309</v>
      </c>
      <c r="C56" t="s">
        <v>113</v>
      </c>
      <c r="D56" t="s">
        <v>272</v>
      </c>
      <c r="E56" t="s">
        <v>180</v>
      </c>
      <c r="F56" t="s">
        <v>310</v>
      </c>
      <c r="G56" t="s">
        <v>2113</v>
      </c>
      <c r="H56">
        <v>2</v>
      </c>
    </row>
    <row r="57" spans="1:8">
      <c r="A57" t="s">
        <v>2387</v>
      </c>
      <c r="B57" t="s">
        <v>984</v>
      </c>
      <c r="C57" t="s">
        <v>113</v>
      </c>
      <c r="D57" t="s">
        <v>63</v>
      </c>
      <c r="E57" t="s">
        <v>209</v>
      </c>
      <c r="F57" t="s">
        <v>126</v>
      </c>
      <c r="G57" t="s">
        <v>2160</v>
      </c>
      <c r="H57">
        <v>1</v>
      </c>
    </row>
    <row r="58" spans="1:8">
      <c r="A58" t="s">
        <v>2388</v>
      </c>
      <c r="B58" t="s">
        <v>578</v>
      </c>
      <c r="C58" t="s">
        <v>113</v>
      </c>
      <c r="D58" t="s">
        <v>82</v>
      </c>
      <c r="E58" t="s">
        <v>67</v>
      </c>
      <c r="F58" t="s">
        <v>126</v>
      </c>
      <c r="G58" t="s">
        <v>1796</v>
      </c>
    </row>
    <row r="59" spans="1:8">
      <c r="A59" t="s">
        <v>2389</v>
      </c>
      <c r="B59" t="s">
        <v>761</v>
      </c>
      <c r="C59" t="s">
        <v>113</v>
      </c>
      <c r="D59" t="s">
        <v>139</v>
      </c>
      <c r="E59" t="s">
        <v>154</v>
      </c>
      <c r="F59" t="s">
        <v>126</v>
      </c>
      <c r="G59" t="s">
        <v>1912</v>
      </c>
      <c r="H59">
        <v>1</v>
      </c>
    </row>
    <row r="60" spans="1:8">
      <c r="A60" t="s">
        <v>2390</v>
      </c>
      <c r="B60" t="s">
        <v>2391</v>
      </c>
      <c r="C60" t="s">
        <v>113</v>
      </c>
      <c r="D60" t="s">
        <v>42</v>
      </c>
      <c r="E60" t="s">
        <v>126</v>
      </c>
      <c r="F60" t="s">
        <v>126</v>
      </c>
      <c r="G60" t="s">
        <v>1940</v>
      </c>
    </row>
    <row r="61" spans="1:8">
      <c r="A61" t="s">
        <v>2392</v>
      </c>
      <c r="B61" t="s">
        <v>910</v>
      </c>
      <c r="C61" t="s">
        <v>135</v>
      </c>
      <c r="D61" t="s">
        <v>121</v>
      </c>
      <c r="E61" t="s">
        <v>126</v>
      </c>
      <c r="F61" t="s">
        <v>126</v>
      </c>
      <c r="G61" t="s">
        <v>2393</v>
      </c>
    </row>
    <row r="62" spans="1:8">
      <c r="A62" t="s">
        <v>2394</v>
      </c>
      <c r="B62" t="s">
        <v>966</v>
      </c>
      <c r="C62" t="s">
        <v>113</v>
      </c>
      <c r="D62" t="s">
        <v>42</v>
      </c>
      <c r="E62" t="s">
        <v>217</v>
      </c>
      <c r="F62" t="s">
        <v>126</v>
      </c>
      <c r="G62" t="s">
        <v>2078</v>
      </c>
    </row>
    <row r="63" spans="1:8">
      <c r="A63" t="s">
        <v>2395</v>
      </c>
      <c r="B63" t="s">
        <v>2396</v>
      </c>
      <c r="C63" t="s">
        <v>180</v>
      </c>
      <c r="D63" t="s">
        <v>121</v>
      </c>
      <c r="E63" t="s">
        <v>2397</v>
      </c>
      <c r="F63" t="s">
        <v>126</v>
      </c>
      <c r="G63" t="s">
        <v>2398</v>
      </c>
    </row>
    <row r="64" spans="1:8">
      <c r="A64" t="s">
        <v>2399</v>
      </c>
      <c r="B64" t="s">
        <v>1113</v>
      </c>
      <c r="C64" t="s">
        <v>113</v>
      </c>
      <c r="D64" t="s">
        <v>233</v>
      </c>
      <c r="E64" t="s">
        <v>42</v>
      </c>
      <c r="F64" t="s">
        <v>126</v>
      </c>
      <c r="G64" t="s">
        <v>2380</v>
      </c>
      <c r="H64">
        <v>5</v>
      </c>
    </row>
    <row r="65" spans="1:8">
      <c r="A65" t="s">
        <v>2400</v>
      </c>
      <c r="B65" t="s">
        <v>618</v>
      </c>
      <c r="C65" t="s">
        <v>113</v>
      </c>
      <c r="D65" t="s">
        <v>233</v>
      </c>
      <c r="E65" t="s">
        <v>42</v>
      </c>
      <c r="F65" t="s">
        <v>126</v>
      </c>
      <c r="G65" t="s">
        <v>1992</v>
      </c>
      <c r="H65">
        <v>2</v>
      </c>
    </row>
    <row r="66" spans="1:8">
      <c r="A66" t="s">
        <v>2401</v>
      </c>
      <c r="B66" t="s">
        <v>642</v>
      </c>
      <c r="C66" t="s">
        <v>233</v>
      </c>
      <c r="D66" t="s">
        <v>154</v>
      </c>
      <c r="E66" t="s">
        <v>63</v>
      </c>
      <c r="F66" t="s">
        <v>126</v>
      </c>
      <c r="G66" t="s">
        <v>2018</v>
      </c>
    </row>
    <row r="67" spans="1:8">
      <c r="A67" t="s">
        <v>2402</v>
      </c>
      <c r="B67" t="s">
        <v>890</v>
      </c>
      <c r="C67" t="s">
        <v>117</v>
      </c>
      <c r="D67" t="s">
        <v>42</v>
      </c>
      <c r="E67" t="s">
        <v>126</v>
      </c>
      <c r="F67" t="s">
        <v>126</v>
      </c>
      <c r="G67" t="s">
        <v>1696</v>
      </c>
    </row>
    <row r="68" spans="1:8">
      <c r="A68" t="s">
        <v>2403</v>
      </c>
      <c r="B68" t="s">
        <v>354</v>
      </c>
      <c r="C68" t="s">
        <v>113</v>
      </c>
      <c r="D68" t="s">
        <v>154</v>
      </c>
      <c r="E68" t="s">
        <v>204</v>
      </c>
      <c r="F68" t="s">
        <v>355</v>
      </c>
      <c r="G68" t="s">
        <v>1769</v>
      </c>
    </row>
    <row r="69" spans="1:8">
      <c r="A69" t="s">
        <v>2404</v>
      </c>
      <c r="B69" t="s">
        <v>1044</v>
      </c>
      <c r="C69" t="s">
        <v>113</v>
      </c>
      <c r="D69" t="s">
        <v>272</v>
      </c>
      <c r="E69" t="s">
        <v>147</v>
      </c>
      <c r="F69" t="s">
        <v>126</v>
      </c>
      <c r="G69" t="s">
        <v>2331</v>
      </c>
    </row>
    <row r="70" spans="1:8">
      <c r="A70" t="s">
        <v>2405</v>
      </c>
      <c r="B70" t="s">
        <v>954</v>
      </c>
      <c r="C70" t="s">
        <v>121</v>
      </c>
      <c r="D70" t="s">
        <v>126</v>
      </c>
      <c r="E70" t="s">
        <v>126</v>
      </c>
      <c r="F70" t="s">
        <v>126</v>
      </c>
      <c r="G70" t="s">
        <v>2273</v>
      </c>
    </row>
    <row r="71" spans="1:8">
      <c r="A71" t="s">
        <v>2406</v>
      </c>
      <c r="B71" t="s">
        <v>1015</v>
      </c>
      <c r="C71" t="s">
        <v>113</v>
      </c>
      <c r="D71" t="s">
        <v>233</v>
      </c>
      <c r="E71" t="s">
        <v>135</v>
      </c>
      <c r="F71" t="s">
        <v>126</v>
      </c>
      <c r="G71" t="s">
        <v>1712</v>
      </c>
      <c r="H71">
        <v>2</v>
      </c>
    </row>
    <row r="72" spans="1:8">
      <c r="A72" t="s">
        <v>2407</v>
      </c>
      <c r="B72" t="s">
        <v>2408</v>
      </c>
      <c r="C72" t="s">
        <v>125</v>
      </c>
      <c r="D72" t="s">
        <v>126</v>
      </c>
      <c r="E72" t="s">
        <v>126</v>
      </c>
      <c r="F72" t="s">
        <v>126</v>
      </c>
      <c r="G72" t="s">
        <v>2409</v>
      </c>
    </row>
    <row r="73" spans="1:8">
      <c r="A73" t="s">
        <v>2410</v>
      </c>
      <c r="B73" t="s">
        <v>1005</v>
      </c>
      <c r="C73" t="s">
        <v>113</v>
      </c>
      <c r="D73" t="s">
        <v>42</v>
      </c>
      <c r="E73" t="s">
        <v>126</v>
      </c>
      <c r="F73" t="s">
        <v>1006</v>
      </c>
      <c r="G73" t="s">
        <v>2411</v>
      </c>
    </row>
    <row r="74" spans="1:8">
      <c r="A74" t="s">
        <v>2412</v>
      </c>
      <c r="B74" t="s">
        <v>1206</v>
      </c>
      <c r="C74" t="s">
        <v>117</v>
      </c>
      <c r="D74" t="s">
        <v>42</v>
      </c>
      <c r="E74" t="s">
        <v>126</v>
      </c>
      <c r="F74" t="s">
        <v>126</v>
      </c>
      <c r="G74" t="s">
        <v>1731</v>
      </c>
    </row>
    <row r="75" spans="1:8">
      <c r="A75" t="s">
        <v>2413</v>
      </c>
      <c r="B75" t="s">
        <v>504</v>
      </c>
      <c r="C75" t="s">
        <v>113</v>
      </c>
      <c r="D75" t="s">
        <v>233</v>
      </c>
      <c r="E75" t="s">
        <v>160</v>
      </c>
      <c r="F75" t="s">
        <v>126</v>
      </c>
      <c r="G75" t="s">
        <v>2414</v>
      </c>
      <c r="H75">
        <v>2</v>
      </c>
    </row>
    <row r="76" spans="1:8">
      <c r="A76" t="s">
        <v>2415</v>
      </c>
      <c r="B76" t="s">
        <v>1071</v>
      </c>
      <c r="C76" t="s">
        <v>113</v>
      </c>
      <c r="D76" t="s">
        <v>272</v>
      </c>
      <c r="E76" t="s">
        <v>154</v>
      </c>
      <c r="F76" t="s">
        <v>126</v>
      </c>
      <c r="G76" t="s">
        <v>1929</v>
      </c>
      <c r="H76">
        <v>2</v>
      </c>
    </row>
    <row r="77" spans="1:8">
      <c r="A77" t="s">
        <v>2416</v>
      </c>
      <c r="B77" t="s">
        <v>1103</v>
      </c>
      <c r="C77" t="s">
        <v>113</v>
      </c>
      <c r="D77" t="s">
        <v>42</v>
      </c>
      <c r="E77" t="s">
        <v>82</v>
      </c>
      <c r="F77" t="s">
        <v>126</v>
      </c>
      <c r="G77" t="s">
        <v>2317</v>
      </c>
    </row>
    <row r="78" spans="1:8">
      <c r="A78" t="s">
        <v>2417</v>
      </c>
      <c r="B78" t="s">
        <v>2418</v>
      </c>
      <c r="C78" t="s">
        <v>113</v>
      </c>
      <c r="D78" t="s">
        <v>139</v>
      </c>
      <c r="E78" t="s">
        <v>63</v>
      </c>
      <c r="F78" t="s">
        <v>126</v>
      </c>
      <c r="G78" t="s">
        <v>2419</v>
      </c>
      <c r="H78">
        <v>1</v>
      </c>
    </row>
    <row r="79" spans="1:8">
      <c r="A79" t="s">
        <v>2420</v>
      </c>
      <c r="B79" t="s">
        <v>271</v>
      </c>
      <c r="C79" t="s">
        <v>113</v>
      </c>
      <c r="D79" t="s">
        <v>272</v>
      </c>
      <c r="E79" t="s">
        <v>154</v>
      </c>
      <c r="F79" t="s">
        <v>273</v>
      </c>
      <c r="G79" t="s">
        <v>2421</v>
      </c>
      <c r="H79">
        <v>2</v>
      </c>
    </row>
    <row r="80" spans="1:8">
      <c r="A80" t="s">
        <v>2422</v>
      </c>
      <c r="B80" t="s">
        <v>447</v>
      </c>
      <c r="C80" t="s">
        <v>113</v>
      </c>
      <c r="D80" t="s">
        <v>233</v>
      </c>
      <c r="E80" t="s">
        <v>42</v>
      </c>
      <c r="F80" t="s">
        <v>448</v>
      </c>
      <c r="G80" t="s">
        <v>2423</v>
      </c>
      <c r="H80">
        <v>4</v>
      </c>
    </row>
    <row r="81" spans="1:8">
      <c r="A81" t="s">
        <v>2424</v>
      </c>
      <c r="B81" t="s">
        <v>751</v>
      </c>
      <c r="C81" t="s">
        <v>113</v>
      </c>
      <c r="D81" t="s">
        <v>82</v>
      </c>
      <c r="E81" t="s">
        <v>67</v>
      </c>
      <c r="F81" t="s">
        <v>126</v>
      </c>
      <c r="G81" t="s">
        <v>2425</v>
      </c>
    </row>
    <row r="82" spans="1:8">
      <c r="A82" t="s">
        <v>2426</v>
      </c>
      <c r="B82" t="s">
        <v>1314</v>
      </c>
      <c r="C82" t="s">
        <v>233</v>
      </c>
      <c r="D82" t="s">
        <v>84</v>
      </c>
      <c r="E82" t="s">
        <v>58</v>
      </c>
      <c r="F82" t="s">
        <v>126</v>
      </c>
      <c r="G82" t="s">
        <v>1761</v>
      </c>
    </row>
    <row r="83" spans="1:8">
      <c r="A83" t="s">
        <v>2427</v>
      </c>
      <c r="B83" t="s">
        <v>1094</v>
      </c>
      <c r="C83" t="s">
        <v>113</v>
      </c>
      <c r="D83" t="s">
        <v>42</v>
      </c>
      <c r="E83" t="s">
        <v>217</v>
      </c>
      <c r="F83" t="s">
        <v>126</v>
      </c>
      <c r="G83" t="s">
        <v>1916</v>
      </c>
    </row>
    <row r="84" spans="1:8">
      <c r="A84" t="s">
        <v>2428</v>
      </c>
      <c r="B84" t="s">
        <v>1026</v>
      </c>
      <c r="C84" t="s">
        <v>113</v>
      </c>
      <c r="D84" t="s">
        <v>233</v>
      </c>
      <c r="E84" t="s">
        <v>1027</v>
      </c>
      <c r="F84" t="s">
        <v>126</v>
      </c>
      <c r="G84" t="s">
        <v>2429</v>
      </c>
      <c r="H84">
        <v>1</v>
      </c>
    </row>
    <row r="85" spans="1:8">
      <c r="A85" t="s">
        <v>2430</v>
      </c>
      <c r="B85" t="s">
        <v>1177</v>
      </c>
      <c r="C85" t="s">
        <v>155</v>
      </c>
      <c r="D85" t="s">
        <v>208</v>
      </c>
      <c r="E85" t="s">
        <v>184</v>
      </c>
      <c r="F85" t="s">
        <v>126</v>
      </c>
      <c r="G85" t="s">
        <v>2431</v>
      </c>
      <c r="H85">
        <v>2</v>
      </c>
    </row>
    <row r="86" spans="1:8">
      <c r="A86" t="s">
        <v>2432</v>
      </c>
      <c r="B86" t="s">
        <v>688</v>
      </c>
      <c r="C86" t="s">
        <v>233</v>
      </c>
      <c r="D86" t="s">
        <v>117</v>
      </c>
      <c r="E86" t="s">
        <v>263</v>
      </c>
      <c r="F86" t="s">
        <v>126</v>
      </c>
      <c r="G86" t="s">
        <v>1706</v>
      </c>
    </row>
    <row r="87" spans="1:8">
      <c r="A87" t="s">
        <v>2433</v>
      </c>
      <c r="B87" t="s">
        <v>348</v>
      </c>
      <c r="C87" t="s">
        <v>113</v>
      </c>
      <c r="D87" t="s">
        <v>233</v>
      </c>
      <c r="E87" t="s">
        <v>82</v>
      </c>
      <c r="F87" t="s">
        <v>126</v>
      </c>
      <c r="G87" t="s">
        <v>2268</v>
      </c>
    </row>
    <row r="88" spans="1:8">
      <c r="A88" t="s">
        <v>2434</v>
      </c>
      <c r="B88" t="s">
        <v>1211</v>
      </c>
      <c r="C88" t="s">
        <v>113</v>
      </c>
      <c r="D88" t="s">
        <v>233</v>
      </c>
      <c r="E88" t="s">
        <v>172</v>
      </c>
      <c r="F88" t="s">
        <v>126</v>
      </c>
      <c r="G88" t="s">
        <v>1747</v>
      </c>
    </row>
    <row r="89" spans="1:8">
      <c r="A89" t="s">
        <v>2435</v>
      </c>
      <c r="B89" t="s">
        <v>2436</v>
      </c>
      <c r="C89" t="s">
        <v>272</v>
      </c>
      <c r="D89" t="s">
        <v>117</v>
      </c>
      <c r="E89" t="s">
        <v>126</v>
      </c>
      <c r="F89" t="s">
        <v>126</v>
      </c>
      <c r="G89" t="s">
        <v>2334</v>
      </c>
    </row>
    <row r="90" spans="1:8">
      <c r="A90" t="s">
        <v>2437</v>
      </c>
      <c r="B90" t="s">
        <v>1129</v>
      </c>
      <c r="C90" t="s">
        <v>113</v>
      </c>
      <c r="D90" t="s">
        <v>154</v>
      </c>
      <c r="E90" t="s">
        <v>172</v>
      </c>
      <c r="F90" t="s">
        <v>126</v>
      </c>
      <c r="G90" t="s">
        <v>2082</v>
      </c>
      <c r="H90">
        <v>1</v>
      </c>
    </row>
    <row r="91" spans="1:8">
      <c r="A91" t="s">
        <v>2438</v>
      </c>
      <c r="B91" t="s">
        <v>651</v>
      </c>
      <c r="C91" t="s">
        <v>113</v>
      </c>
      <c r="D91" t="s">
        <v>154</v>
      </c>
      <c r="E91" t="s">
        <v>550</v>
      </c>
      <c r="F91" t="s">
        <v>126</v>
      </c>
      <c r="G91" t="s">
        <v>2439</v>
      </c>
      <c r="H91">
        <v>2</v>
      </c>
    </row>
    <row r="92" spans="1:8">
      <c r="A92" t="s">
        <v>2440</v>
      </c>
      <c r="B92" t="s">
        <v>710</v>
      </c>
      <c r="C92" t="s">
        <v>139</v>
      </c>
      <c r="D92" t="s">
        <v>42</v>
      </c>
      <c r="E92" t="s">
        <v>121</v>
      </c>
      <c r="F92" t="s">
        <v>711</v>
      </c>
      <c r="G92" t="s">
        <v>2441</v>
      </c>
      <c r="H92">
        <v>3</v>
      </c>
    </row>
    <row r="93" spans="1:8">
      <c r="A93" t="s">
        <v>2442</v>
      </c>
      <c r="B93" t="s">
        <v>1456</v>
      </c>
      <c r="C93" t="s">
        <v>113</v>
      </c>
      <c r="D93" t="s">
        <v>233</v>
      </c>
      <c r="E93" t="s">
        <v>154</v>
      </c>
      <c r="F93" t="s">
        <v>126</v>
      </c>
      <c r="G93" t="s">
        <v>1684</v>
      </c>
      <c r="H93">
        <v>1</v>
      </c>
    </row>
    <row r="94" spans="1:8">
      <c r="A94" t="s">
        <v>2443</v>
      </c>
      <c r="B94" t="s">
        <v>426</v>
      </c>
      <c r="C94" t="s">
        <v>233</v>
      </c>
      <c r="D94" t="s">
        <v>42</v>
      </c>
      <c r="E94" t="s">
        <v>263</v>
      </c>
      <c r="F94" t="s">
        <v>126</v>
      </c>
      <c r="G94" t="s">
        <v>2444</v>
      </c>
    </row>
    <row r="95" spans="1:8">
      <c r="A95" t="s">
        <v>2445</v>
      </c>
      <c r="B95" t="s">
        <v>591</v>
      </c>
      <c r="C95" t="s">
        <v>113</v>
      </c>
      <c r="D95" t="s">
        <v>233</v>
      </c>
      <c r="E95" t="s">
        <v>42</v>
      </c>
      <c r="F95" t="s">
        <v>126</v>
      </c>
      <c r="G95" t="s">
        <v>1765</v>
      </c>
      <c r="H95">
        <v>2</v>
      </c>
    </row>
    <row r="96" spans="1:8">
      <c r="A96" t="s">
        <v>2446</v>
      </c>
      <c r="B96" t="s">
        <v>744</v>
      </c>
      <c r="C96" t="s">
        <v>113</v>
      </c>
      <c r="D96" t="s">
        <v>42</v>
      </c>
      <c r="E96" t="s">
        <v>204</v>
      </c>
      <c r="F96" t="s">
        <v>126</v>
      </c>
      <c r="G96" t="s">
        <v>2447</v>
      </c>
    </row>
    <row r="97" spans="1:8">
      <c r="A97" t="s">
        <v>2448</v>
      </c>
      <c r="B97" t="s">
        <v>1173</v>
      </c>
      <c r="C97" t="s">
        <v>113</v>
      </c>
      <c r="D97" t="s">
        <v>42</v>
      </c>
      <c r="E97" t="s">
        <v>126</v>
      </c>
      <c r="F97" t="s">
        <v>126</v>
      </c>
      <c r="G97" t="s">
        <v>2449</v>
      </c>
    </row>
    <row r="98" spans="1:8">
      <c r="A98" t="s">
        <v>2450</v>
      </c>
      <c r="B98" t="s">
        <v>1362</v>
      </c>
      <c r="C98" t="s">
        <v>113</v>
      </c>
      <c r="D98" t="s">
        <v>154</v>
      </c>
      <c r="E98" t="s">
        <v>172</v>
      </c>
      <c r="F98" t="s">
        <v>126</v>
      </c>
      <c r="G98" t="s">
        <v>2061</v>
      </c>
      <c r="H98">
        <v>1</v>
      </c>
    </row>
    <row r="99" spans="1:8">
      <c r="A99" t="s">
        <v>2451</v>
      </c>
      <c r="B99" t="s">
        <v>2452</v>
      </c>
      <c r="C99" t="s">
        <v>125</v>
      </c>
      <c r="D99" t="s">
        <v>126</v>
      </c>
      <c r="E99" t="s">
        <v>126</v>
      </c>
      <c r="F99" t="s">
        <v>126</v>
      </c>
      <c r="G99" t="s">
        <v>1716</v>
      </c>
    </row>
    <row r="100" spans="1:8">
      <c r="A100" t="s">
        <v>2453</v>
      </c>
      <c r="B100" t="s">
        <v>573</v>
      </c>
      <c r="C100" t="s">
        <v>233</v>
      </c>
      <c r="D100" t="s">
        <v>117</v>
      </c>
      <c r="E100" t="s">
        <v>42</v>
      </c>
      <c r="F100" t="s">
        <v>126</v>
      </c>
      <c r="G100" t="s">
        <v>2334</v>
      </c>
      <c r="H100">
        <v>1</v>
      </c>
    </row>
    <row r="101" spans="1:8">
      <c r="A101" t="s">
        <v>2454</v>
      </c>
      <c r="B101" t="s">
        <v>693</v>
      </c>
      <c r="C101" t="s">
        <v>42</v>
      </c>
      <c r="D101" t="s">
        <v>256</v>
      </c>
      <c r="E101" t="s">
        <v>126</v>
      </c>
      <c r="F101" t="s">
        <v>126</v>
      </c>
      <c r="G101" t="s">
        <v>1966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3C74-AEDB-4F67-8BDE-6A69F342A2B9}">
  <sheetPr codeName="Sheet7"/>
  <dimension ref="A1:H101"/>
  <sheetViews>
    <sheetView workbookViewId="0">
      <selection activeCell="C6" sqref="C6"/>
    </sheetView>
  </sheetViews>
  <sheetFormatPr defaultRowHeight="14.5"/>
  <cols>
    <col min="1" max="1" width="56.26953125" bestFit="1" customWidth="1"/>
    <col min="2" max="2" width="65.7265625" bestFit="1" customWidth="1"/>
    <col min="3" max="5" width="19.1796875" bestFit="1" customWidth="1"/>
    <col min="6" max="6" width="13" bestFit="1" customWidth="1"/>
    <col min="7" max="7" width="7.26953125" bestFit="1" customWidth="1"/>
    <col min="8" max="8" width="65.7265625" bestFit="1" customWidth="1"/>
  </cols>
  <sheetData>
    <row r="1" spans="1:8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110</v>
      </c>
      <c r="G1" t="s">
        <v>1664</v>
      </c>
      <c r="H1" t="s">
        <v>107</v>
      </c>
    </row>
    <row r="2" spans="1:8">
      <c r="A2" t="s">
        <v>2455</v>
      </c>
      <c r="B2" t="s">
        <v>1213</v>
      </c>
      <c r="C2" t="s">
        <v>113</v>
      </c>
      <c r="D2" t="s">
        <v>139</v>
      </c>
      <c r="E2" t="s">
        <v>155</v>
      </c>
      <c r="F2">
        <v>2</v>
      </c>
      <c r="G2" t="s">
        <v>1747</v>
      </c>
      <c r="H2" t="s">
        <v>126</v>
      </c>
    </row>
    <row r="3" spans="1:8">
      <c r="A3" t="s">
        <v>2456</v>
      </c>
      <c r="B3" t="s">
        <v>706</v>
      </c>
      <c r="C3" t="s">
        <v>233</v>
      </c>
      <c r="D3" t="s">
        <v>42</v>
      </c>
      <c r="E3" t="s">
        <v>135</v>
      </c>
      <c r="F3">
        <v>3</v>
      </c>
      <c r="G3" t="s">
        <v>2183</v>
      </c>
      <c r="H3" t="s">
        <v>126</v>
      </c>
    </row>
    <row r="4" spans="1:8">
      <c r="A4" t="s">
        <v>2457</v>
      </c>
      <c r="B4" t="s">
        <v>2458</v>
      </c>
      <c r="C4" t="s">
        <v>125</v>
      </c>
      <c r="D4" t="s">
        <v>126</v>
      </c>
      <c r="E4" t="s">
        <v>126</v>
      </c>
      <c r="G4" t="s">
        <v>2459</v>
      </c>
      <c r="H4" t="s">
        <v>126</v>
      </c>
    </row>
    <row r="5" spans="1:8">
      <c r="A5" t="s">
        <v>2460</v>
      </c>
      <c r="B5" t="s">
        <v>2461</v>
      </c>
      <c r="C5" t="s">
        <v>125</v>
      </c>
      <c r="D5" t="s">
        <v>126</v>
      </c>
      <c r="E5" t="s">
        <v>126</v>
      </c>
      <c r="G5" t="s">
        <v>1863</v>
      </c>
      <c r="H5" t="s">
        <v>126</v>
      </c>
    </row>
    <row r="6" spans="1:8">
      <c r="A6" t="s">
        <v>2462</v>
      </c>
      <c r="B6" t="s">
        <v>1463</v>
      </c>
      <c r="C6" t="s">
        <v>113</v>
      </c>
      <c r="D6" t="s">
        <v>154</v>
      </c>
      <c r="E6" t="s">
        <v>647</v>
      </c>
      <c r="F6">
        <v>2</v>
      </c>
      <c r="G6" t="s">
        <v>2463</v>
      </c>
      <c r="H6" t="s">
        <v>126</v>
      </c>
    </row>
    <row r="7" spans="1:8">
      <c r="A7" t="s">
        <v>2464</v>
      </c>
      <c r="B7" t="s">
        <v>2465</v>
      </c>
      <c r="C7" t="s">
        <v>113</v>
      </c>
      <c r="D7" t="s">
        <v>233</v>
      </c>
      <c r="E7" t="s">
        <v>624</v>
      </c>
      <c r="G7" t="s">
        <v>2115</v>
      </c>
      <c r="H7" t="s">
        <v>126</v>
      </c>
    </row>
    <row r="8" spans="1:8">
      <c r="A8" t="s">
        <v>2466</v>
      </c>
      <c r="B8" t="s">
        <v>1131</v>
      </c>
      <c r="C8" t="s">
        <v>113</v>
      </c>
      <c r="D8" t="s">
        <v>42</v>
      </c>
      <c r="E8" t="s">
        <v>121</v>
      </c>
      <c r="G8" t="s">
        <v>2082</v>
      </c>
      <c r="H8" t="s">
        <v>126</v>
      </c>
    </row>
    <row r="9" spans="1:8">
      <c r="A9" t="s">
        <v>2467</v>
      </c>
      <c r="B9" t="s">
        <v>434</v>
      </c>
      <c r="C9" t="s">
        <v>42</v>
      </c>
      <c r="D9" t="s">
        <v>126</v>
      </c>
      <c r="E9" t="s">
        <v>126</v>
      </c>
      <c r="G9" t="s">
        <v>2010</v>
      </c>
      <c r="H9" t="s">
        <v>126</v>
      </c>
    </row>
    <row r="10" spans="1:8">
      <c r="A10" t="s">
        <v>2468</v>
      </c>
      <c r="B10" t="s">
        <v>1215</v>
      </c>
      <c r="C10" t="s">
        <v>139</v>
      </c>
      <c r="D10" t="s">
        <v>154</v>
      </c>
      <c r="E10" t="s">
        <v>135</v>
      </c>
      <c r="F10">
        <v>2</v>
      </c>
      <c r="G10" t="s">
        <v>1747</v>
      </c>
      <c r="H10" t="s">
        <v>126</v>
      </c>
    </row>
    <row r="11" spans="1:8">
      <c r="A11" t="s">
        <v>2469</v>
      </c>
      <c r="B11" t="s">
        <v>941</v>
      </c>
      <c r="C11" t="s">
        <v>113</v>
      </c>
      <c r="D11" t="s">
        <v>139</v>
      </c>
      <c r="E11" t="s">
        <v>82</v>
      </c>
      <c r="F11">
        <v>2</v>
      </c>
      <c r="G11" t="s">
        <v>1735</v>
      </c>
      <c r="H11" t="s">
        <v>126</v>
      </c>
    </row>
    <row r="12" spans="1:8">
      <c r="A12" t="s">
        <v>2470</v>
      </c>
      <c r="B12" t="s">
        <v>190</v>
      </c>
      <c r="C12" t="s">
        <v>113</v>
      </c>
      <c r="D12" t="s">
        <v>160</v>
      </c>
      <c r="E12" t="s">
        <v>191</v>
      </c>
      <c r="G12" t="s">
        <v>2147</v>
      </c>
      <c r="H12" t="s">
        <v>126</v>
      </c>
    </row>
    <row r="13" spans="1:8">
      <c r="A13" t="s">
        <v>2471</v>
      </c>
      <c r="B13" t="s">
        <v>541</v>
      </c>
      <c r="C13" t="s">
        <v>113</v>
      </c>
      <c r="D13" t="s">
        <v>139</v>
      </c>
      <c r="E13" t="s">
        <v>117</v>
      </c>
      <c r="F13">
        <v>2</v>
      </c>
      <c r="G13" t="s">
        <v>1794</v>
      </c>
      <c r="H13" t="s">
        <v>126</v>
      </c>
    </row>
    <row r="14" spans="1:8">
      <c r="A14" t="s">
        <v>2472</v>
      </c>
      <c r="B14" t="s">
        <v>649</v>
      </c>
      <c r="C14" t="s">
        <v>113</v>
      </c>
      <c r="D14" t="s">
        <v>42</v>
      </c>
      <c r="E14" t="s">
        <v>126</v>
      </c>
      <c r="G14" t="s">
        <v>2237</v>
      </c>
      <c r="H14" t="s">
        <v>126</v>
      </c>
    </row>
    <row r="15" spans="1:8">
      <c r="A15" t="s">
        <v>2473</v>
      </c>
      <c r="B15" t="s">
        <v>2474</v>
      </c>
      <c r="C15" t="s">
        <v>113</v>
      </c>
      <c r="D15" t="s">
        <v>233</v>
      </c>
      <c r="E15" t="s">
        <v>154</v>
      </c>
      <c r="F15">
        <v>2</v>
      </c>
      <c r="G15" t="s">
        <v>2447</v>
      </c>
      <c r="H15" t="s">
        <v>126</v>
      </c>
    </row>
    <row r="16" spans="1:8">
      <c r="A16" t="s">
        <v>2475</v>
      </c>
      <c r="B16" t="s">
        <v>1382</v>
      </c>
      <c r="C16" t="s">
        <v>117</v>
      </c>
      <c r="D16" t="s">
        <v>647</v>
      </c>
      <c r="E16" t="s">
        <v>1383</v>
      </c>
      <c r="G16" t="s">
        <v>2476</v>
      </c>
      <c r="H16" t="s">
        <v>126</v>
      </c>
    </row>
    <row r="17" spans="1:8">
      <c r="A17" t="s">
        <v>2477</v>
      </c>
      <c r="B17" t="s">
        <v>299</v>
      </c>
      <c r="C17" t="s">
        <v>113</v>
      </c>
      <c r="D17" t="s">
        <v>154</v>
      </c>
      <c r="E17" t="s">
        <v>300</v>
      </c>
      <c r="G17" t="s">
        <v>2478</v>
      </c>
      <c r="H17" t="s">
        <v>301</v>
      </c>
    </row>
    <row r="18" spans="1:8">
      <c r="A18" t="s">
        <v>2479</v>
      </c>
      <c r="B18" t="s">
        <v>324</v>
      </c>
      <c r="C18" t="s">
        <v>113</v>
      </c>
      <c r="D18" t="s">
        <v>154</v>
      </c>
      <c r="E18" t="s">
        <v>136</v>
      </c>
      <c r="F18">
        <v>3</v>
      </c>
      <c r="G18" t="s">
        <v>2025</v>
      </c>
      <c r="H18" t="s">
        <v>325</v>
      </c>
    </row>
    <row r="19" spans="1:8">
      <c r="A19" t="s">
        <v>2480</v>
      </c>
      <c r="B19" t="s">
        <v>2481</v>
      </c>
      <c r="C19" t="s">
        <v>125</v>
      </c>
      <c r="D19" t="s">
        <v>126</v>
      </c>
      <c r="E19" t="s">
        <v>126</v>
      </c>
      <c r="G19" t="s">
        <v>2482</v>
      </c>
      <c r="H19" t="s">
        <v>2483</v>
      </c>
    </row>
    <row r="20" spans="1:8">
      <c r="A20" t="s">
        <v>2484</v>
      </c>
      <c r="B20" t="s">
        <v>1579</v>
      </c>
      <c r="C20" t="s">
        <v>117</v>
      </c>
      <c r="D20" t="s">
        <v>42</v>
      </c>
      <c r="E20" t="s">
        <v>1580</v>
      </c>
      <c r="G20" t="s">
        <v>2485</v>
      </c>
      <c r="H20" t="s">
        <v>126</v>
      </c>
    </row>
    <row r="21" spans="1:8">
      <c r="A21" t="s">
        <v>2486</v>
      </c>
      <c r="B21" t="s">
        <v>742</v>
      </c>
      <c r="C21" t="s">
        <v>113</v>
      </c>
      <c r="D21" t="s">
        <v>511</v>
      </c>
      <c r="E21" t="s">
        <v>126</v>
      </c>
      <c r="G21" t="s">
        <v>2487</v>
      </c>
      <c r="H21" t="s">
        <v>126</v>
      </c>
    </row>
    <row r="22" spans="1:8">
      <c r="A22" t="s">
        <v>2488</v>
      </c>
      <c r="B22" t="s">
        <v>627</v>
      </c>
      <c r="C22" t="s">
        <v>117</v>
      </c>
      <c r="D22" t="s">
        <v>42</v>
      </c>
      <c r="E22" t="s">
        <v>126</v>
      </c>
      <c r="G22" t="s">
        <v>1908</v>
      </c>
      <c r="H22" t="s">
        <v>126</v>
      </c>
    </row>
    <row r="23" spans="1:8">
      <c r="A23" t="s">
        <v>2489</v>
      </c>
      <c r="B23" t="s">
        <v>1255</v>
      </c>
      <c r="C23" t="s">
        <v>113</v>
      </c>
      <c r="D23" t="s">
        <v>233</v>
      </c>
      <c r="E23" t="s">
        <v>42</v>
      </c>
      <c r="F23">
        <v>2</v>
      </c>
      <c r="G23" t="s">
        <v>2066</v>
      </c>
      <c r="H23" t="s">
        <v>126</v>
      </c>
    </row>
    <row r="24" spans="1:8">
      <c r="A24" t="s">
        <v>2490</v>
      </c>
      <c r="B24" t="s">
        <v>808</v>
      </c>
      <c r="C24" t="s">
        <v>113</v>
      </c>
      <c r="D24" t="s">
        <v>233</v>
      </c>
      <c r="E24" t="s">
        <v>180</v>
      </c>
      <c r="F24">
        <v>2</v>
      </c>
      <c r="G24" t="s">
        <v>2491</v>
      </c>
      <c r="H24" t="s">
        <v>126</v>
      </c>
    </row>
    <row r="25" spans="1:8">
      <c r="A25" t="s">
        <v>2492</v>
      </c>
      <c r="B25" t="s">
        <v>810</v>
      </c>
      <c r="C25" t="s">
        <v>42</v>
      </c>
      <c r="D25" t="s">
        <v>135</v>
      </c>
      <c r="E25" t="s">
        <v>204</v>
      </c>
      <c r="G25" t="s">
        <v>2491</v>
      </c>
      <c r="H25" t="s">
        <v>126</v>
      </c>
    </row>
    <row r="26" spans="1:8">
      <c r="A26" t="s">
        <v>2493</v>
      </c>
      <c r="B26" t="s">
        <v>2494</v>
      </c>
      <c r="C26" t="s">
        <v>125</v>
      </c>
      <c r="D26" t="s">
        <v>126</v>
      </c>
      <c r="E26" t="s">
        <v>126</v>
      </c>
      <c r="G26" t="s">
        <v>1739</v>
      </c>
      <c r="H26" t="s">
        <v>2495</v>
      </c>
    </row>
    <row r="27" spans="1:8">
      <c r="A27" t="s">
        <v>2496</v>
      </c>
      <c r="B27" t="s">
        <v>2497</v>
      </c>
      <c r="C27" t="s">
        <v>233</v>
      </c>
      <c r="D27" t="s">
        <v>42</v>
      </c>
      <c r="E27" t="s">
        <v>135</v>
      </c>
      <c r="F27">
        <v>2</v>
      </c>
      <c r="G27" t="s">
        <v>2164</v>
      </c>
      <c r="H27" t="s">
        <v>126</v>
      </c>
    </row>
    <row r="28" spans="1:8">
      <c r="A28" t="s">
        <v>2498</v>
      </c>
      <c r="B28" t="s">
        <v>609</v>
      </c>
      <c r="C28" t="s">
        <v>113</v>
      </c>
      <c r="D28" t="s">
        <v>139</v>
      </c>
      <c r="E28" t="s">
        <v>154</v>
      </c>
      <c r="F28">
        <v>1</v>
      </c>
      <c r="G28" t="s">
        <v>1955</v>
      </c>
      <c r="H28" t="s">
        <v>610</v>
      </c>
    </row>
    <row r="29" spans="1:8">
      <c r="A29" t="s">
        <v>2499</v>
      </c>
      <c r="B29" t="s">
        <v>2500</v>
      </c>
      <c r="C29" t="s">
        <v>125</v>
      </c>
      <c r="D29" t="s">
        <v>126</v>
      </c>
      <c r="E29" t="s">
        <v>126</v>
      </c>
      <c r="G29" t="s">
        <v>2247</v>
      </c>
      <c r="H29" t="s">
        <v>126</v>
      </c>
    </row>
    <row r="30" spans="1:8">
      <c r="A30" t="s">
        <v>2501</v>
      </c>
      <c r="B30" t="s">
        <v>536</v>
      </c>
      <c r="C30" t="s">
        <v>117</v>
      </c>
      <c r="D30" t="s">
        <v>44</v>
      </c>
      <c r="E30" t="s">
        <v>63</v>
      </c>
      <c r="F30">
        <v>2</v>
      </c>
      <c r="G30" t="s">
        <v>2014</v>
      </c>
      <c r="H30" t="s">
        <v>126</v>
      </c>
    </row>
    <row r="31" spans="1:8">
      <c r="A31" t="s">
        <v>2502</v>
      </c>
      <c r="B31" t="s">
        <v>1330</v>
      </c>
      <c r="C31" t="s">
        <v>113</v>
      </c>
      <c r="D31" t="s">
        <v>233</v>
      </c>
      <c r="E31" t="s">
        <v>117</v>
      </c>
      <c r="F31">
        <v>3</v>
      </c>
      <c r="G31" t="s">
        <v>2503</v>
      </c>
      <c r="H31" t="s">
        <v>126</v>
      </c>
    </row>
    <row r="32" spans="1:8">
      <c r="A32" t="s">
        <v>2504</v>
      </c>
      <c r="B32" t="s">
        <v>1299</v>
      </c>
      <c r="C32" t="s">
        <v>113</v>
      </c>
      <c r="D32" t="s">
        <v>139</v>
      </c>
      <c r="E32" t="s">
        <v>1027</v>
      </c>
      <c r="F32">
        <v>2</v>
      </c>
      <c r="G32" t="s">
        <v>2505</v>
      </c>
      <c r="H32" t="s">
        <v>126</v>
      </c>
    </row>
    <row r="33" spans="1:8">
      <c r="A33" t="s">
        <v>2506</v>
      </c>
      <c r="B33" t="s">
        <v>1120</v>
      </c>
      <c r="C33" t="s">
        <v>117</v>
      </c>
      <c r="D33" t="s">
        <v>160</v>
      </c>
      <c r="E33" t="s">
        <v>63</v>
      </c>
      <c r="F33">
        <v>1</v>
      </c>
      <c r="G33" t="s">
        <v>2507</v>
      </c>
      <c r="H33" t="s">
        <v>126</v>
      </c>
    </row>
    <row r="34" spans="1:8">
      <c r="A34" t="s">
        <v>2508</v>
      </c>
      <c r="B34" t="s">
        <v>1575</v>
      </c>
      <c r="C34" t="s">
        <v>113</v>
      </c>
      <c r="D34" t="s">
        <v>272</v>
      </c>
      <c r="E34" t="s">
        <v>154</v>
      </c>
      <c r="F34">
        <v>4</v>
      </c>
      <c r="G34" t="s">
        <v>2509</v>
      </c>
      <c r="H34" t="s">
        <v>126</v>
      </c>
    </row>
    <row r="35" spans="1:8">
      <c r="A35" t="s">
        <v>2510</v>
      </c>
      <c r="B35" t="s">
        <v>1445</v>
      </c>
      <c r="C35" t="s">
        <v>113</v>
      </c>
      <c r="D35" t="s">
        <v>154</v>
      </c>
      <c r="E35" t="s">
        <v>126</v>
      </c>
      <c r="G35" t="s">
        <v>2511</v>
      </c>
      <c r="H35" t="s">
        <v>126</v>
      </c>
    </row>
    <row r="36" spans="1:8">
      <c r="A36" t="s">
        <v>2512</v>
      </c>
      <c r="B36" t="s">
        <v>303</v>
      </c>
      <c r="C36" t="s">
        <v>176</v>
      </c>
      <c r="D36" t="s">
        <v>121</v>
      </c>
      <c r="E36" t="s">
        <v>83</v>
      </c>
      <c r="G36" t="s">
        <v>2478</v>
      </c>
      <c r="H36" t="s">
        <v>304</v>
      </c>
    </row>
    <row r="37" spans="1:8">
      <c r="A37" t="s">
        <v>2513</v>
      </c>
      <c r="B37" t="s">
        <v>219</v>
      </c>
      <c r="C37" t="s">
        <v>113</v>
      </c>
      <c r="D37" t="s">
        <v>42</v>
      </c>
      <c r="E37" t="s">
        <v>121</v>
      </c>
      <c r="F37">
        <v>1</v>
      </c>
      <c r="G37" t="s">
        <v>2514</v>
      </c>
      <c r="H37" t="s">
        <v>220</v>
      </c>
    </row>
    <row r="38" spans="1:8">
      <c r="A38" t="s">
        <v>2515</v>
      </c>
      <c r="B38" t="s">
        <v>657</v>
      </c>
      <c r="C38" t="s">
        <v>113</v>
      </c>
      <c r="D38" t="s">
        <v>117</v>
      </c>
      <c r="E38" t="s">
        <v>44</v>
      </c>
      <c r="F38">
        <v>1</v>
      </c>
      <c r="G38" t="s">
        <v>2482</v>
      </c>
      <c r="H38" t="s">
        <v>126</v>
      </c>
    </row>
    <row r="39" spans="1:8">
      <c r="A39" t="s">
        <v>2516</v>
      </c>
      <c r="B39" t="s">
        <v>931</v>
      </c>
      <c r="C39" t="s">
        <v>117</v>
      </c>
      <c r="D39" t="s">
        <v>42</v>
      </c>
      <c r="E39" t="s">
        <v>126</v>
      </c>
      <c r="G39" t="s">
        <v>2347</v>
      </c>
      <c r="H39" t="s">
        <v>126</v>
      </c>
    </row>
    <row r="40" spans="1:8">
      <c r="A40" t="s">
        <v>2517</v>
      </c>
      <c r="B40" t="s">
        <v>396</v>
      </c>
      <c r="C40" t="s">
        <v>113</v>
      </c>
      <c r="D40" t="s">
        <v>44</v>
      </c>
      <c r="E40" t="s">
        <v>121</v>
      </c>
      <c r="G40" t="s">
        <v>2206</v>
      </c>
      <c r="H40" t="s">
        <v>126</v>
      </c>
    </row>
    <row r="41" spans="1:8">
      <c r="A41" t="s">
        <v>2518</v>
      </c>
      <c r="B41" t="s">
        <v>1323</v>
      </c>
      <c r="C41" t="s">
        <v>113</v>
      </c>
      <c r="D41" t="s">
        <v>154</v>
      </c>
      <c r="E41" t="s">
        <v>63</v>
      </c>
      <c r="F41">
        <v>3</v>
      </c>
      <c r="G41" t="s">
        <v>2519</v>
      </c>
      <c r="H41" t="s">
        <v>126</v>
      </c>
    </row>
    <row r="42" spans="1:8">
      <c r="A42" t="s">
        <v>2520</v>
      </c>
      <c r="B42" t="s">
        <v>497</v>
      </c>
      <c r="C42" t="s">
        <v>180</v>
      </c>
      <c r="D42" t="s">
        <v>121</v>
      </c>
      <c r="E42" t="s">
        <v>126</v>
      </c>
      <c r="G42" t="s">
        <v>1922</v>
      </c>
      <c r="H42" t="s">
        <v>126</v>
      </c>
    </row>
    <row r="43" spans="1:8">
      <c r="A43" t="s">
        <v>2521</v>
      </c>
      <c r="B43" t="s">
        <v>978</v>
      </c>
      <c r="C43" t="s">
        <v>233</v>
      </c>
      <c r="D43" t="s">
        <v>959</v>
      </c>
      <c r="E43" t="s">
        <v>126</v>
      </c>
      <c r="G43" t="s">
        <v>2522</v>
      </c>
      <c r="H43" t="s">
        <v>126</v>
      </c>
    </row>
    <row r="44" spans="1:8">
      <c r="A44" t="s">
        <v>2523</v>
      </c>
      <c r="B44" t="s">
        <v>250</v>
      </c>
      <c r="C44" t="s">
        <v>113</v>
      </c>
      <c r="D44" t="s">
        <v>42</v>
      </c>
      <c r="E44" t="s">
        <v>65</v>
      </c>
      <c r="G44" t="s">
        <v>2524</v>
      </c>
      <c r="H44" t="s">
        <v>126</v>
      </c>
    </row>
    <row r="45" spans="1:8">
      <c r="A45" t="s">
        <v>2525</v>
      </c>
      <c r="B45" t="s">
        <v>855</v>
      </c>
      <c r="C45" t="s">
        <v>136</v>
      </c>
      <c r="D45" t="s">
        <v>176</v>
      </c>
      <c r="E45" t="s">
        <v>217</v>
      </c>
      <c r="G45" t="s">
        <v>2526</v>
      </c>
      <c r="H45" t="s">
        <v>856</v>
      </c>
    </row>
    <row r="46" spans="1:8">
      <c r="A46" t="s">
        <v>2527</v>
      </c>
      <c r="B46" t="s">
        <v>228</v>
      </c>
      <c r="C46" t="s">
        <v>136</v>
      </c>
      <c r="D46" t="s">
        <v>121</v>
      </c>
      <c r="E46" t="s">
        <v>229</v>
      </c>
      <c r="G46" t="s">
        <v>2075</v>
      </c>
      <c r="H46" t="s">
        <v>230</v>
      </c>
    </row>
    <row r="47" spans="1:8">
      <c r="A47" t="s">
        <v>2528</v>
      </c>
      <c r="B47" t="s">
        <v>266</v>
      </c>
      <c r="C47" t="s">
        <v>155</v>
      </c>
      <c r="D47" t="s">
        <v>184</v>
      </c>
      <c r="E47" t="s">
        <v>204</v>
      </c>
      <c r="G47" t="s">
        <v>2529</v>
      </c>
      <c r="H47" t="s">
        <v>126</v>
      </c>
    </row>
    <row r="48" spans="1:8">
      <c r="A48" t="s">
        <v>2530</v>
      </c>
      <c r="B48" t="s">
        <v>1225</v>
      </c>
      <c r="C48" t="s">
        <v>113</v>
      </c>
      <c r="D48" t="s">
        <v>154</v>
      </c>
      <c r="E48" t="s">
        <v>209</v>
      </c>
      <c r="F48">
        <v>1</v>
      </c>
      <c r="G48" t="s">
        <v>2531</v>
      </c>
      <c r="H48" t="s">
        <v>126</v>
      </c>
    </row>
    <row r="49" spans="1:8">
      <c r="A49" t="s">
        <v>2532</v>
      </c>
      <c r="B49" t="s">
        <v>1152</v>
      </c>
      <c r="C49" t="s">
        <v>113</v>
      </c>
      <c r="D49" t="s">
        <v>154</v>
      </c>
      <c r="E49" t="s">
        <v>126</v>
      </c>
      <c r="G49" t="s">
        <v>1861</v>
      </c>
      <c r="H49" t="s">
        <v>126</v>
      </c>
    </row>
    <row r="50" spans="1:8">
      <c r="A50" t="s">
        <v>2533</v>
      </c>
      <c r="B50" t="s">
        <v>1515</v>
      </c>
      <c r="C50" t="s">
        <v>233</v>
      </c>
      <c r="D50" t="s">
        <v>126</v>
      </c>
      <c r="E50" t="s">
        <v>126</v>
      </c>
      <c r="G50" t="s">
        <v>2534</v>
      </c>
      <c r="H50" t="s">
        <v>126</v>
      </c>
    </row>
    <row r="51" spans="1:8">
      <c r="A51" t="s">
        <v>2535</v>
      </c>
      <c r="B51" t="s">
        <v>2536</v>
      </c>
      <c r="C51" t="s">
        <v>125</v>
      </c>
      <c r="D51" t="s">
        <v>126</v>
      </c>
      <c r="E51" t="s">
        <v>126</v>
      </c>
      <c r="G51" t="s">
        <v>2537</v>
      </c>
      <c r="H51" t="s">
        <v>126</v>
      </c>
    </row>
    <row r="52" spans="1:8">
      <c r="A52" t="s">
        <v>2538</v>
      </c>
      <c r="B52" t="s">
        <v>1086</v>
      </c>
      <c r="C52" t="s">
        <v>113</v>
      </c>
      <c r="D52" t="s">
        <v>139</v>
      </c>
      <c r="E52" t="s">
        <v>272</v>
      </c>
      <c r="F52">
        <v>2</v>
      </c>
      <c r="G52" t="s">
        <v>1733</v>
      </c>
      <c r="H52" t="s">
        <v>126</v>
      </c>
    </row>
    <row r="53" spans="1:8">
      <c r="A53" t="s">
        <v>2539</v>
      </c>
      <c r="B53" t="s">
        <v>2540</v>
      </c>
      <c r="C53" t="s">
        <v>113</v>
      </c>
      <c r="D53" t="s">
        <v>121</v>
      </c>
      <c r="E53" t="s">
        <v>65</v>
      </c>
      <c r="G53" t="s">
        <v>1680</v>
      </c>
      <c r="H53" t="s">
        <v>126</v>
      </c>
    </row>
    <row r="54" spans="1:8">
      <c r="A54" t="s">
        <v>2541</v>
      </c>
      <c r="B54" t="s">
        <v>312</v>
      </c>
      <c r="C54" t="s">
        <v>136</v>
      </c>
      <c r="D54" t="s">
        <v>121</v>
      </c>
      <c r="E54" t="s">
        <v>46</v>
      </c>
      <c r="G54" t="s">
        <v>2542</v>
      </c>
      <c r="H54" t="s">
        <v>313</v>
      </c>
    </row>
    <row r="55" spans="1:8">
      <c r="A55" t="s">
        <v>2543</v>
      </c>
      <c r="B55" t="s">
        <v>1341</v>
      </c>
      <c r="C55" t="s">
        <v>113</v>
      </c>
      <c r="D55" t="s">
        <v>63</v>
      </c>
      <c r="E55" t="s">
        <v>65</v>
      </c>
      <c r="F55">
        <v>1</v>
      </c>
      <c r="G55" t="s">
        <v>1674</v>
      </c>
      <c r="H55" t="s">
        <v>126</v>
      </c>
    </row>
    <row r="56" spans="1:8">
      <c r="A56" t="s">
        <v>2544</v>
      </c>
      <c r="B56" t="s">
        <v>171</v>
      </c>
      <c r="C56" t="s">
        <v>113</v>
      </c>
      <c r="D56" t="s">
        <v>63</v>
      </c>
      <c r="E56" t="s">
        <v>172</v>
      </c>
      <c r="G56" t="s">
        <v>2545</v>
      </c>
      <c r="H56" t="s">
        <v>173</v>
      </c>
    </row>
    <row r="57" spans="1:8">
      <c r="A57" t="s">
        <v>2546</v>
      </c>
      <c r="B57" t="s">
        <v>695</v>
      </c>
      <c r="C57" t="s">
        <v>113</v>
      </c>
      <c r="D57" t="s">
        <v>154</v>
      </c>
      <c r="E57" t="s">
        <v>63</v>
      </c>
      <c r="F57">
        <v>1</v>
      </c>
      <c r="G57" t="s">
        <v>1966</v>
      </c>
      <c r="H57" t="s">
        <v>696</v>
      </c>
    </row>
    <row r="58" spans="1:8">
      <c r="A58" t="s">
        <v>2547</v>
      </c>
      <c r="B58" t="s">
        <v>2548</v>
      </c>
      <c r="C58" t="s">
        <v>113</v>
      </c>
      <c r="D58" t="s">
        <v>42</v>
      </c>
      <c r="E58" t="s">
        <v>126</v>
      </c>
      <c r="G58" t="s">
        <v>2549</v>
      </c>
      <c r="H58" t="s">
        <v>126</v>
      </c>
    </row>
    <row r="59" spans="1:8">
      <c r="A59" t="s">
        <v>2550</v>
      </c>
      <c r="B59" t="s">
        <v>732</v>
      </c>
      <c r="C59" t="s">
        <v>233</v>
      </c>
      <c r="D59" t="s">
        <v>117</v>
      </c>
      <c r="E59" t="s">
        <v>42</v>
      </c>
      <c r="G59" t="s">
        <v>1690</v>
      </c>
      <c r="H59" t="s">
        <v>733</v>
      </c>
    </row>
    <row r="60" spans="1:8">
      <c r="A60" t="s">
        <v>2551</v>
      </c>
      <c r="B60" t="s">
        <v>653</v>
      </c>
      <c r="C60" t="s">
        <v>113</v>
      </c>
      <c r="D60" t="s">
        <v>44</v>
      </c>
      <c r="E60" t="s">
        <v>82</v>
      </c>
      <c r="F60">
        <v>1</v>
      </c>
      <c r="G60" t="s">
        <v>2398</v>
      </c>
      <c r="H60" t="s">
        <v>126</v>
      </c>
    </row>
    <row r="61" spans="1:8">
      <c r="A61" t="s">
        <v>2552</v>
      </c>
      <c r="B61" t="s">
        <v>2553</v>
      </c>
      <c r="C61" t="s">
        <v>125</v>
      </c>
      <c r="D61" t="s">
        <v>126</v>
      </c>
      <c r="E61" t="s">
        <v>126</v>
      </c>
      <c r="G61" t="s">
        <v>2380</v>
      </c>
      <c r="H61" t="s">
        <v>2554</v>
      </c>
    </row>
    <row r="62" spans="1:8">
      <c r="A62" t="s">
        <v>2555</v>
      </c>
      <c r="B62" t="s">
        <v>1538</v>
      </c>
      <c r="C62" t="s">
        <v>117</v>
      </c>
      <c r="D62" t="s">
        <v>209</v>
      </c>
      <c r="E62" t="s">
        <v>647</v>
      </c>
      <c r="F62">
        <v>1</v>
      </c>
      <c r="G62" t="s">
        <v>2556</v>
      </c>
      <c r="H62" t="s">
        <v>126</v>
      </c>
    </row>
    <row r="63" spans="1:8">
      <c r="A63" t="s">
        <v>2557</v>
      </c>
      <c r="B63" t="s">
        <v>1507</v>
      </c>
      <c r="C63" t="s">
        <v>117</v>
      </c>
      <c r="D63" t="s">
        <v>82</v>
      </c>
      <c r="E63" t="s">
        <v>180</v>
      </c>
      <c r="G63" t="s">
        <v>2558</v>
      </c>
      <c r="H63" t="s">
        <v>126</v>
      </c>
    </row>
    <row r="64" spans="1:8">
      <c r="A64" t="s">
        <v>2559</v>
      </c>
      <c r="B64" t="s">
        <v>2560</v>
      </c>
      <c r="C64" t="s">
        <v>113</v>
      </c>
      <c r="D64" t="s">
        <v>156</v>
      </c>
      <c r="E64" t="s">
        <v>86</v>
      </c>
      <c r="G64" t="s">
        <v>2051</v>
      </c>
      <c r="H64" t="s">
        <v>126</v>
      </c>
    </row>
    <row r="65" spans="1:8">
      <c r="A65" t="s">
        <v>2561</v>
      </c>
      <c r="B65" t="s">
        <v>740</v>
      </c>
      <c r="C65" t="s">
        <v>113</v>
      </c>
      <c r="D65" t="s">
        <v>42</v>
      </c>
      <c r="E65" t="s">
        <v>143</v>
      </c>
      <c r="G65" t="s">
        <v>1773</v>
      </c>
      <c r="H65" t="s">
        <v>126</v>
      </c>
    </row>
    <row r="66" spans="1:8">
      <c r="A66" t="s">
        <v>2562</v>
      </c>
      <c r="B66" t="s">
        <v>1017</v>
      </c>
      <c r="C66" t="s">
        <v>117</v>
      </c>
      <c r="D66" t="s">
        <v>42</v>
      </c>
      <c r="E66" t="s">
        <v>126</v>
      </c>
      <c r="G66" t="s">
        <v>1712</v>
      </c>
      <c r="H66" t="s">
        <v>126</v>
      </c>
    </row>
    <row r="67" spans="1:8">
      <c r="A67" t="s">
        <v>2563</v>
      </c>
      <c r="B67" t="s">
        <v>708</v>
      </c>
      <c r="C67" t="s">
        <v>113</v>
      </c>
      <c r="D67" t="s">
        <v>42</v>
      </c>
      <c r="E67" t="s">
        <v>204</v>
      </c>
      <c r="G67" t="s">
        <v>2183</v>
      </c>
      <c r="H67" t="s">
        <v>126</v>
      </c>
    </row>
    <row r="68" spans="1:8">
      <c r="A68" t="s">
        <v>2564</v>
      </c>
      <c r="B68" t="s">
        <v>2565</v>
      </c>
      <c r="C68" t="s">
        <v>125</v>
      </c>
      <c r="D68" t="s">
        <v>126</v>
      </c>
      <c r="E68" t="s">
        <v>126</v>
      </c>
      <c r="G68" t="s">
        <v>1796</v>
      </c>
      <c r="H68" t="s">
        <v>2566</v>
      </c>
    </row>
    <row r="69" spans="1:8">
      <c r="A69" t="s">
        <v>2567</v>
      </c>
      <c r="B69" t="s">
        <v>1001</v>
      </c>
      <c r="C69" t="s">
        <v>113</v>
      </c>
      <c r="D69" t="s">
        <v>154</v>
      </c>
      <c r="E69" t="s">
        <v>511</v>
      </c>
      <c r="F69">
        <v>4</v>
      </c>
      <c r="G69" t="s">
        <v>2568</v>
      </c>
      <c r="H69" t="s">
        <v>126</v>
      </c>
    </row>
    <row r="70" spans="1:8">
      <c r="A70" t="s">
        <v>2569</v>
      </c>
      <c r="B70" t="s">
        <v>1441</v>
      </c>
      <c r="C70" t="s">
        <v>113</v>
      </c>
      <c r="D70" t="s">
        <v>233</v>
      </c>
      <c r="E70" t="s">
        <v>58</v>
      </c>
      <c r="G70" t="s">
        <v>2570</v>
      </c>
      <c r="H70" t="s">
        <v>126</v>
      </c>
    </row>
    <row r="71" spans="1:8">
      <c r="A71" t="s">
        <v>2571</v>
      </c>
      <c r="B71" t="s">
        <v>1003</v>
      </c>
      <c r="C71" t="s">
        <v>113</v>
      </c>
      <c r="D71" t="s">
        <v>42</v>
      </c>
      <c r="E71" t="s">
        <v>126</v>
      </c>
      <c r="G71" t="s">
        <v>2568</v>
      </c>
      <c r="H71" t="s">
        <v>126</v>
      </c>
    </row>
    <row r="72" spans="1:8">
      <c r="A72" t="s">
        <v>2572</v>
      </c>
      <c r="B72" t="s">
        <v>644</v>
      </c>
      <c r="C72" t="s">
        <v>272</v>
      </c>
      <c r="D72" t="s">
        <v>117</v>
      </c>
      <c r="E72" t="s">
        <v>63</v>
      </c>
      <c r="F72">
        <v>1</v>
      </c>
      <c r="G72" t="s">
        <v>2573</v>
      </c>
      <c r="H72" t="s">
        <v>126</v>
      </c>
    </row>
    <row r="73" spans="1:8">
      <c r="A73" t="s">
        <v>2574</v>
      </c>
      <c r="B73" t="s">
        <v>1096</v>
      </c>
      <c r="C73" t="s">
        <v>113</v>
      </c>
      <c r="D73" t="s">
        <v>233</v>
      </c>
      <c r="E73" t="s">
        <v>160</v>
      </c>
      <c r="F73">
        <v>1</v>
      </c>
      <c r="G73" t="s">
        <v>1916</v>
      </c>
      <c r="H73" t="s">
        <v>126</v>
      </c>
    </row>
    <row r="74" spans="1:8">
      <c r="A74" t="s">
        <v>2575</v>
      </c>
      <c r="B74" t="s">
        <v>2576</v>
      </c>
      <c r="C74" t="s">
        <v>125</v>
      </c>
      <c r="D74" t="s">
        <v>126</v>
      </c>
      <c r="E74" t="s">
        <v>126</v>
      </c>
      <c r="G74" t="s">
        <v>2441</v>
      </c>
      <c r="H74" t="s">
        <v>126</v>
      </c>
    </row>
    <row r="75" spans="1:8">
      <c r="A75" t="s">
        <v>2577</v>
      </c>
      <c r="B75" t="s">
        <v>1186</v>
      </c>
      <c r="C75" t="s">
        <v>121</v>
      </c>
      <c r="D75" t="s">
        <v>83</v>
      </c>
      <c r="E75" t="s">
        <v>126</v>
      </c>
      <c r="G75" t="s">
        <v>1994</v>
      </c>
      <c r="H75" t="s">
        <v>126</v>
      </c>
    </row>
    <row r="76" spans="1:8">
      <c r="A76" t="s">
        <v>2578</v>
      </c>
      <c r="B76" t="s">
        <v>2579</v>
      </c>
      <c r="C76" t="s">
        <v>136</v>
      </c>
      <c r="D76" t="s">
        <v>176</v>
      </c>
      <c r="E76" t="s">
        <v>204</v>
      </c>
      <c r="G76" t="s">
        <v>2580</v>
      </c>
      <c r="H76" t="s">
        <v>2581</v>
      </c>
    </row>
    <row r="77" spans="1:8">
      <c r="A77" t="s">
        <v>2582</v>
      </c>
      <c r="B77" t="s">
        <v>1192</v>
      </c>
      <c r="C77" t="s">
        <v>117</v>
      </c>
      <c r="D77" t="s">
        <v>42</v>
      </c>
      <c r="E77" t="s">
        <v>213</v>
      </c>
      <c r="G77" t="s">
        <v>2349</v>
      </c>
      <c r="H77" t="s">
        <v>126</v>
      </c>
    </row>
    <row r="78" spans="1:8">
      <c r="A78" t="s">
        <v>2583</v>
      </c>
      <c r="B78" t="s">
        <v>1349</v>
      </c>
      <c r="C78" t="s">
        <v>113</v>
      </c>
      <c r="D78" t="s">
        <v>117</v>
      </c>
      <c r="E78" t="s">
        <v>156</v>
      </c>
      <c r="F78">
        <v>1</v>
      </c>
      <c r="G78" t="s">
        <v>2255</v>
      </c>
      <c r="H78" t="s">
        <v>126</v>
      </c>
    </row>
    <row r="79" spans="1:8">
      <c r="A79" t="s">
        <v>2584</v>
      </c>
      <c r="B79" t="s">
        <v>371</v>
      </c>
      <c r="C79" t="s">
        <v>113</v>
      </c>
      <c r="D79" t="s">
        <v>42</v>
      </c>
      <c r="E79" t="s">
        <v>213</v>
      </c>
      <c r="G79" t="s">
        <v>1783</v>
      </c>
      <c r="H79" t="s">
        <v>372</v>
      </c>
    </row>
    <row r="80" spans="1:8">
      <c r="A80" t="s">
        <v>2585</v>
      </c>
      <c r="B80" t="s">
        <v>1019</v>
      </c>
      <c r="C80" t="s">
        <v>117</v>
      </c>
      <c r="D80" t="s">
        <v>154</v>
      </c>
      <c r="E80" t="s">
        <v>647</v>
      </c>
      <c r="F80">
        <v>3</v>
      </c>
      <c r="G80" t="s">
        <v>1712</v>
      </c>
      <c r="H80" t="s">
        <v>126</v>
      </c>
    </row>
    <row r="81" spans="1:8">
      <c r="A81" t="s">
        <v>2586</v>
      </c>
      <c r="B81" t="s">
        <v>1038</v>
      </c>
      <c r="C81" t="s">
        <v>113</v>
      </c>
      <c r="D81" t="s">
        <v>139</v>
      </c>
      <c r="E81" t="s">
        <v>117</v>
      </c>
      <c r="F81">
        <v>2</v>
      </c>
      <c r="G81" t="s">
        <v>2587</v>
      </c>
      <c r="H81" t="s">
        <v>126</v>
      </c>
    </row>
    <row r="82" spans="1:8">
      <c r="A82" t="s">
        <v>2588</v>
      </c>
      <c r="B82" t="s">
        <v>1437</v>
      </c>
      <c r="C82" t="s">
        <v>113</v>
      </c>
      <c r="D82" t="s">
        <v>272</v>
      </c>
      <c r="E82" t="s">
        <v>154</v>
      </c>
      <c r="F82">
        <v>2</v>
      </c>
      <c r="G82" t="s">
        <v>2589</v>
      </c>
      <c r="H82" t="s">
        <v>126</v>
      </c>
    </row>
    <row r="83" spans="1:8">
      <c r="A83" t="s">
        <v>2590</v>
      </c>
      <c r="B83" t="s">
        <v>1158</v>
      </c>
      <c r="C83" t="s">
        <v>113</v>
      </c>
      <c r="D83" t="s">
        <v>121</v>
      </c>
      <c r="E83" t="s">
        <v>172</v>
      </c>
      <c r="F83">
        <v>1</v>
      </c>
      <c r="G83" t="s">
        <v>2290</v>
      </c>
      <c r="H83" t="s">
        <v>126</v>
      </c>
    </row>
    <row r="84" spans="1:8">
      <c r="A84" t="s">
        <v>2591</v>
      </c>
      <c r="B84" t="s">
        <v>561</v>
      </c>
      <c r="C84" t="s">
        <v>113</v>
      </c>
      <c r="D84" t="s">
        <v>117</v>
      </c>
      <c r="E84" t="s">
        <v>135</v>
      </c>
      <c r="F84">
        <v>3</v>
      </c>
      <c r="G84" t="s">
        <v>2378</v>
      </c>
      <c r="H84" t="s">
        <v>562</v>
      </c>
    </row>
    <row r="85" spans="1:8">
      <c r="A85" t="s">
        <v>2592</v>
      </c>
      <c r="B85" t="s">
        <v>2593</v>
      </c>
      <c r="C85" t="s">
        <v>42</v>
      </c>
      <c r="D85" t="s">
        <v>82</v>
      </c>
      <c r="E85" t="s">
        <v>204</v>
      </c>
      <c r="G85" t="s">
        <v>1959</v>
      </c>
      <c r="H85" t="s">
        <v>126</v>
      </c>
    </row>
    <row r="86" spans="1:8">
      <c r="A86" t="s">
        <v>2594</v>
      </c>
      <c r="B86" t="s">
        <v>483</v>
      </c>
      <c r="C86" t="s">
        <v>113</v>
      </c>
      <c r="D86" t="s">
        <v>139</v>
      </c>
      <c r="E86" t="s">
        <v>154</v>
      </c>
      <c r="F86">
        <v>3</v>
      </c>
      <c r="G86" t="s">
        <v>2080</v>
      </c>
      <c r="H86" t="s">
        <v>484</v>
      </c>
    </row>
    <row r="87" spans="1:8">
      <c r="A87" t="s">
        <v>2595</v>
      </c>
      <c r="B87" t="s">
        <v>2596</v>
      </c>
      <c r="C87" t="s">
        <v>125</v>
      </c>
      <c r="D87" t="s">
        <v>126</v>
      </c>
      <c r="E87" t="s">
        <v>126</v>
      </c>
      <c r="G87" t="s">
        <v>1922</v>
      </c>
      <c r="H87" t="s">
        <v>126</v>
      </c>
    </row>
    <row r="88" spans="1:8">
      <c r="A88" t="s">
        <v>2597</v>
      </c>
      <c r="B88" t="s">
        <v>2598</v>
      </c>
      <c r="C88" t="s">
        <v>125</v>
      </c>
      <c r="D88" t="s">
        <v>126</v>
      </c>
      <c r="E88" t="s">
        <v>126</v>
      </c>
      <c r="G88" t="s">
        <v>2260</v>
      </c>
      <c r="H88" t="s">
        <v>126</v>
      </c>
    </row>
    <row r="89" spans="1:8">
      <c r="A89" t="s">
        <v>2599</v>
      </c>
      <c r="B89" t="s">
        <v>2600</v>
      </c>
      <c r="C89" t="s">
        <v>139</v>
      </c>
      <c r="D89" t="s">
        <v>160</v>
      </c>
      <c r="E89" t="s">
        <v>155</v>
      </c>
      <c r="F89">
        <v>1</v>
      </c>
      <c r="G89" t="s">
        <v>2601</v>
      </c>
      <c r="H89" t="s">
        <v>126</v>
      </c>
    </row>
    <row r="90" spans="1:8">
      <c r="A90" t="s">
        <v>2602</v>
      </c>
      <c r="B90" t="s">
        <v>1241</v>
      </c>
      <c r="C90" t="s">
        <v>113</v>
      </c>
      <c r="D90" t="s">
        <v>154</v>
      </c>
      <c r="E90" t="s">
        <v>176</v>
      </c>
      <c r="F90">
        <v>1</v>
      </c>
      <c r="G90" t="s">
        <v>2603</v>
      </c>
      <c r="H90" t="s">
        <v>126</v>
      </c>
    </row>
    <row r="91" spans="1:8">
      <c r="A91" t="s">
        <v>2604</v>
      </c>
      <c r="B91" t="s">
        <v>506</v>
      </c>
      <c r="C91" t="s">
        <v>139</v>
      </c>
      <c r="D91" t="s">
        <v>117</v>
      </c>
      <c r="E91" t="s">
        <v>42</v>
      </c>
      <c r="G91" t="s">
        <v>2605</v>
      </c>
      <c r="H91" t="s">
        <v>126</v>
      </c>
    </row>
    <row r="92" spans="1:8">
      <c r="A92" t="s">
        <v>2606</v>
      </c>
      <c r="B92" t="s">
        <v>2607</v>
      </c>
      <c r="C92" t="s">
        <v>42</v>
      </c>
      <c r="D92" t="s">
        <v>63</v>
      </c>
      <c r="E92" t="s">
        <v>126</v>
      </c>
      <c r="G92" t="s">
        <v>2524</v>
      </c>
      <c r="H92" t="s">
        <v>126</v>
      </c>
    </row>
    <row r="93" spans="1:8">
      <c r="A93" t="s">
        <v>2608</v>
      </c>
      <c r="B93" t="s">
        <v>1122</v>
      </c>
      <c r="C93" t="s">
        <v>113</v>
      </c>
      <c r="D93" t="s">
        <v>42</v>
      </c>
      <c r="E93" t="s">
        <v>65</v>
      </c>
      <c r="G93" t="s">
        <v>2507</v>
      </c>
      <c r="H93" t="s">
        <v>126</v>
      </c>
    </row>
    <row r="94" spans="1:8">
      <c r="A94" t="s">
        <v>2609</v>
      </c>
      <c r="B94" t="s">
        <v>828</v>
      </c>
      <c r="C94" t="s">
        <v>113</v>
      </c>
      <c r="D94" t="s">
        <v>42</v>
      </c>
      <c r="E94" t="s">
        <v>126</v>
      </c>
      <c r="G94" t="s">
        <v>2187</v>
      </c>
      <c r="H94" t="s">
        <v>829</v>
      </c>
    </row>
    <row r="95" spans="1:8">
      <c r="A95" t="s">
        <v>2610</v>
      </c>
      <c r="B95" t="s">
        <v>1250</v>
      </c>
      <c r="C95" t="s">
        <v>155</v>
      </c>
      <c r="D95" t="s">
        <v>156</v>
      </c>
      <c r="E95" t="s">
        <v>86</v>
      </c>
      <c r="G95" t="s">
        <v>2263</v>
      </c>
      <c r="H95" t="s">
        <v>126</v>
      </c>
    </row>
    <row r="96" spans="1:8">
      <c r="A96" t="s">
        <v>2611</v>
      </c>
      <c r="B96" t="s">
        <v>2612</v>
      </c>
      <c r="C96" t="s">
        <v>113</v>
      </c>
      <c r="D96" t="s">
        <v>135</v>
      </c>
      <c r="E96" t="s">
        <v>136</v>
      </c>
      <c r="F96">
        <v>1</v>
      </c>
      <c r="G96" t="s">
        <v>2613</v>
      </c>
      <c r="H96" t="s">
        <v>126</v>
      </c>
    </row>
    <row r="97" spans="1:8">
      <c r="A97" t="s">
        <v>2614</v>
      </c>
      <c r="B97" t="s">
        <v>1477</v>
      </c>
      <c r="C97" t="s">
        <v>113</v>
      </c>
      <c r="D97" t="s">
        <v>160</v>
      </c>
      <c r="E97" t="s">
        <v>191</v>
      </c>
      <c r="F97">
        <v>1</v>
      </c>
      <c r="G97" t="s">
        <v>2615</v>
      </c>
      <c r="H97" t="s">
        <v>1478</v>
      </c>
    </row>
    <row r="98" spans="1:8">
      <c r="A98" t="s">
        <v>2616</v>
      </c>
      <c r="B98" t="s">
        <v>1609</v>
      </c>
      <c r="C98" t="s">
        <v>154</v>
      </c>
      <c r="D98" t="s">
        <v>155</v>
      </c>
      <c r="E98" t="s">
        <v>300</v>
      </c>
      <c r="F98">
        <v>1</v>
      </c>
      <c r="G98" t="s">
        <v>2617</v>
      </c>
      <c r="H98" t="s">
        <v>126</v>
      </c>
    </row>
    <row r="99" spans="1:8">
      <c r="A99" t="s">
        <v>2618</v>
      </c>
      <c r="B99" t="s">
        <v>195</v>
      </c>
      <c r="C99" t="s">
        <v>113</v>
      </c>
      <c r="D99" t="s">
        <v>176</v>
      </c>
      <c r="E99" t="s">
        <v>121</v>
      </c>
      <c r="F99">
        <v>3</v>
      </c>
      <c r="G99" t="s">
        <v>2619</v>
      </c>
      <c r="H99" t="s">
        <v>196</v>
      </c>
    </row>
    <row r="100" spans="1:8">
      <c r="A100" t="s">
        <v>2620</v>
      </c>
      <c r="B100" t="s">
        <v>788</v>
      </c>
      <c r="C100" t="s">
        <v>43</v>
      </c>
      <c r="D100" t="s">
        <v>117</v>
      </c>
      <c r="E100" t="s">
        <v>160</v>
      </c>
      <c r="F100">
        <v>3</v>
      </c>
      <c r="G100" t="s">
        <v>2041</v>
      </c>
      <c r="H100" t="s">
        <v>126</v>
      </c>
    </row>
    <row r="101" spans="1:8">
      <c r="A101" t="s">
        <v>2621</v>
      </c>
      <c r="B101" t="s">
        <v>1008</v>
      </c>
      <c r="C101" t="s">
        <v>113</v>
      </c>
      <c r="D101" t="s">
        <v>139</v>
      </c>
      <c r="E101" t="s">
        <v>117</v>
      </c>
      <c r="F101">
        <v>1</v>
      </c>
      <c r="G101" t="s">
        <v>2411</v>
      </c>
      <c r="H101" t="s">
        <v>126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944E7-C1CD-47B6-A0F7-20F5EA26C9FF}">
  <sheetPr codeName="Sheet8"/>
  <dimension ref="A1:H101"/>
  <sheetViews>
    <sheetView workbookViewId="0">
      <selection activeCell="C6" sqref="C6"/>
    </sheetView>
  </sheetViews>
  <sheetFormatPr defaultRowHeight="14.5"/>
  <cols>
    <col min="1" max="1" width="55.1796875" bestFit="1" customWidth="1"/>
    <col min="2" max="2" width="65.7265625" bestFit="1" customWidth="1"/>
    <col min="3" max="5" width="19.1796875" bestFit="1" customWidth="1"/>
    <col min="6" max="6" width="13" bestFit="1" customWidth="1"/>
    <col min="7" max="7" width="7.26953125" bestFit="1" customWidth="1"/>
    <col min="8" max="8" width="65.7265625" bestFit="1" customWidth="1"/>
  </cols>
  <sheetData>
    <row r="1" spans="1:8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110</v>
      </c>
      <c r="G1" t="s">
        <v>1664</v>
      </c>
      <c r="H1" t="s">
        <v>107</v>
      </c>
    </row>
    <row r="2" spans="1:8">
      <c r="A2" t="s">
        <v>2622</v>
      </c>
      <c r="B2" t="s">
        <v>517</v>
      </c>
      <c r="C2" t="s">
        <v>113</v>
      </c>
      <c r="D2" t="s">
        <v>154</v>
      </c>
      <c r="E2" t="s">
        <v>209</v>
      </c>
      <c r="F2">
        <v>1</v>
      </c>
      <c r="G2" t="s">
        <v>1670</v>
      </c>
      <c r="H2" t="s">
        <v>126</v>
      </c>
    </row>
    <row r="3" spans="1:8">
      <c r="A3" t="s">
        <v>2623</v>
      </c>
      <c r="B3" t="s">
        <v>812</v>
      </c>
      <c r="C3" t="s">
        <v>113</v>
      </c>
      <c r="D3" t="s">
        <v>139</v>
      </c>
      <c r="E3" t="s">
        <v>117</v>
      </c>
      <c r="F3">
        <v>2</v>
      </c>
      <c r="G3" t="s">
        <v>2491</v>
      </c>
      <c r="H3" t="s">
        <v>813</v>
      </c>
    </row>
    <row r="4" spans="1:8">
      <c r="A4" t="s">
        <v>2624</v>
      </c>
      <c r="B4" t="s">
        <v>2625</v>
      </c>
      <c r="C4" t="s">
        <v>113</v>
      </c>
      <c r="D4" t="s">
        <v>136</v>
      </c>
      <c r="E4" t="s">
        <v>180</v>
      </c>
      <c r="F4">
        <v>1</v>
      </c>
      <c r="G4" t="s">
        <v>1798</v>
      </c>
      <c r="H4" t="s">
        <v>126</v>
      </c>
    </row>
    <row r="5" spans="1:8">
      <c r="A5" t="s">
        <v>2626</v>
      </c>
      <c r="B5" t="s">
        <v>655</v>
      </c>
      <c r="C5" t="s">
        <v>113</v>
      </c>
      <c r="D5" t="s">
        <v>42</v>
      </c>
      <c r="E5" t="s">
        <v>256</v>
      </c>
      <c r="G5" t="s">
        <v>2627</v>
      </c>
      <c r="H5" t="s">
        <v>126</v>
      </c>
    </row>
    <row r="6" spans="1:8">
      <c r="A6" t="s">
        <v>2628</v>
      </c>
      <c r="B6" t="s">
        <v>2629</v>
      </c>
      <c r="C6" t="s">
        <v>42</v>
      </c>
      <c r="D6" t="s">
        <v>135</v>
      </c>
      <c r="E6" t="s">
        <v>204</v>
      </c>
      <c r="G6" t="s">
        <v>2630</v>
      </c>
      <c r="H6" t="s">
        <v>126</v>
      </c>
    </row>
    <row r="7" spans="1:8">
      <c r="A7" t="s">
        <v>2631</v>
      </c>
      <c r="B7" t="s">
        <v>470</v>
      </c>
      <c r="C7" t="s">
        <v>42</v>
      </c>
      <c r="D7" t="s">
        <v>256</v>
      </c>
      <c r="E7" t="s">
        <v>126</v>
      </c>
      <c r="G7" t="s">
        <v>2632</v>
      </c>
      <c r="H7" t="s">
        <v>126</v>
      </c>
    </row>
    <row r="8" spans="1:8">
      <c r="A8" t="s">
        <v>2633</v>
      </c>
      <c r="B8" t="s">
        <v>472</v>
      </c>
      <c r="C8" t="s">
        <v>113</v>
      </c>
      <c r="D8" t="s">
        <v>42</v>
      </c>
      <c r="E8" t="s">
        <v>126</v>
      </c>
      <c r="G8" t="s">
        <v>2632</v>
      </c>
      <c r="H8" t="s">
        <v>126</v>
      </c>
    </row>
    <row r="9" spans="1:8">
      <c r="A9" t="s">
        <v>2634</v>
      </c>
      <c r="B9" t="s">
        <v>629</v>
      </c>
      <c r="C9" t="s">
        <v>113</v>
      </c>
      <c r="D9" t="s">
        <v>82</v>
      </c>
      <c r="E9" t="s">
        <v>135</v>
      </c>
      <c r="F9">
        <v>1</v>
      </c>
      <c r="G9" t="s">
        <v>1908</v>
      </c>
      <c r="H9" t="s">
        <v>126</v>
      </c>
    </row>
    <row r="10" spans="1:8">
      <c r="A10" t="s">
        <v>2635</v>
      </c>
      <c r="B10" t="s">
        <v>450</v>
      </c>
      <c r="C10" t="s">
        <v>113</v>
      </c>
      <c r="D10" t="s">
        <v>42</v>
      </c>
      <c r="E10" t="s">
        <v>451</v>
      </c>
      <c r="G10" t="s">
        <v>2423</v>
      </c>
      <c r="H10" t="s">
        <v>452</v>
      </c>
    </row>
    <row r="11" spans="1:8">
      <c r="A11" t="s">
        <v>2636</v>
      </c>
      <c r="B11" t="s">
        <v>901</v>
      </c>
      <c r="C11" t="s">
        <v>113</v>
      </c>
      <c r="D11" t="s">
        <v>160</v>
      </c>
      <c r="E11" t="s">
        <v>180</v>
      </c>
      <c r="F11">
        <v>1</v>
      </c>
      <c r="G11" t="s">
        <v>1812</v>
      </c>
      <c r="H11" t="s">
        <v>126</v>
      </c>
    </row>
    <row r="12" spans="1:8">
      <c r="A12" t="s">
        <v>2637</v>
      </c>
      <c r="B12" t="s">
        <v>1490</v>
      </c>
      <c r="C12" t="s">
        <v>233</v>
      </c>
      <c r="D12" t="s">
        <v>42</v>
      </c>
      <c r="E12" t="s">
        <v>204</v>
      </c>
      <c r="G12" t="s">
        <v>2638</v>
      </c>
      <c r="H12" t="s">
        <v>126</v>
      </c>
    </row>
    <row r="13" spans="1:8">
      <c r="A13" t="s">
        <v>2639</v>
      </c>
      <c r="B13" t="s">
        <v>499</v>
      </c>
      <c r="C13" t="s">
        <v>113</v>
      </c>
      <c r="D13" t="s">
        <v>233</v>
      </c>
      <c r="E13" t="s">
        <v>172</v>
      </c>
      <c r="F13">
        <v>2</v>
      </c>
      <c r="G13" t="s">
        <v>1922</v>
      </c>
      <c r="H13" t="s">
        <v>126</v>
      </c>
    </row>
    <row r="14" spans="1:8">
      <c r="A14" t="s">
        <v>2640</v>
      </c>
      <c r="B14" t="s">
        <v>201</v>
      </c>
      <c r="C14" t="s">
        <v>113</v>
      </c>
      <c r="D14" t="s">
        <v>139</v>
      </c>
      <c r="E14" t="s">
        <v>63</v>
      </c>
      <c r="G14" t="s">
        <v>2641</v>
      </c>
      <c r="H14" t="s">
        <v>126</v>
      </c>
    </row>
    <row r="15" spans="1:8">
      <c r="A15" t="s">
        <v>2642</v>
      </c>
      <c r="B15" t="s">
        <v>770</v>
      </c>
      <c r="C15" t="s">
        <v>113</v>
      </c>
      <c r="D15" t="s">
        <v>139</v>
      </c>
      <c r="E15" t="s">
        <v>154</v>
      </c>
      <c r="F15">
        <v>1</v>
      </c>
      <c r="G15" t="s">
        <v>2271</v>
      </c>
      <c r="H15" t="s">
        <v>126</v>
      </c>
    </row>
    <row r="16" spans="1:8">
      <c r="A16" t="s">
        <v>2643</v>
      </c>
      <c r="B16" t="s">
        <v>2644</v>
      </c>
      <c r="C16" t="s">
        <v>113</v>
      </c>
      <c r="D16" t="s">
        <v>42</v>
      </c>
      <c r="E16" t="s">
        <v>160</v>
      </c>
      <c r="F16">
        <v>1</v>
      </c>
      <c r="G16" t="s">
        <v>2366</v>
      </c>
      <c r="H16" t="s">
        <v>2645</v>
      </c>
    </row>
    <row r="17" spans="1:8">
      <c r="A17" t="s">
        <v>2646</v>
      </c>
      <c r="B17" t="s">
        <v>703</v>
      </c>
      <c r="C17" t="s">
        <v>136</v>
      </c>
      <c r="D17" t="s">
        <v>176</v>
      </c>
      <c r="E17" t="s">
        <v>204</v>
      </c>
      <c r="G17" t="s">
        <v>1959</v>
      </c>
      <c r="H17" t="s">
        <v>704</v>
      </c>
    </row>
    <row r="18" spans="1:8">
      <c r="A18" t="s">
        <v>2647</v>
      </c>
      <c r="B18" t="s">
        <v>2648</v>
      </c>
      <c r="C18" t="s">
        <v>113</v>
      </c>
      <c r="D18" t="s">
        <v>42</v>
      </c>
      <c r="E18" t="s">
        <v>126</v>
      </c>
      <c r="G18" t="s">
        <v>2301</v>
      </c>
      <c r="H18" t="s">
        <v>2649</v>
      </c>
    </row>
    <row r="19" spans="1:8">
      <c r="A19" t="s">
        <v>2650</v>
      </c>
      <c r="B19" t="s">
        <v>2651</v>
      </c>
      <c r="C19" t="s">
        <v>125</v>
      </c>
      <c r="D19" t="s">
        <v>126</v>
      </c>
      <c r="E19" t="s">
        <v>126</v>
      </c>
      <c r="G19" t="s">
        <v>2652</v>
      </c>
      <c r="H19" t="s">
        <v>126</v>
      </c>
    </row>
    <row r="20" spans="1:8">
      <c r="A20" t="s">
        <v>2653</v>
      </c>
      <c r="B20" t="s">
        <v>580</v>
      </c>
      <c r="C20" t="s">
        <v>113</v>
      </c>
      <c r="D20" t="s">
        <v>233</v>
      </c>
      <c r="E20" t="s">
        <v>63</v>
      </c>
      <c r="G20" t="s">
        <v>1796</v>
      </c>
      <c r="H20" t="s">
        <v>581</v>
      </c>
    </row>
    <row r="21" spans="1:8">
      <c r="A21" t="s">
        <v>2654</v>
      </c>
      <c r="B21" t="s">
        <v>2655</v>
      </c>
      <c r="C21" t="s">
        <v>113</v>
      </c>
      <c r="D21" t="s">
        <v>180</v>
      </c>
      <c r="E21" t="s">
        <v>121</v>
      </c>
      <c r="F21">
        <v>3</v>
      </c>
      <c r="G21" t="s">
        <v>2656</v>
      </c>
      <c r="H21" t="s">
        <v>2657</v>
      </c>
    </row>
    <row r="22" spans="1:8">
      <c r="A22" t="s">
        <v>2658</v>
      </c>
      <c r="B22" t="s">
        <v>1115</v>
      </c>
      <c r="C22" t="s">
        <v>233</v>
      </c>
      <c r="D22" t="s">
        <v>42</v>
      </c>
      <c r="E22" t="s">
        <v>126</v>
      </c>
      <c r="G22" t="s">
        <v>2380</v>
      </c>
      <c r="H22" t="s">
        <v>126</v>
      </c>
    </row>
    <row r="23" spans="1:8">
      <c r="A23" t="s">
        <v>2659</v>
      </c>
      <c r="B23" t="s">
        <v>756</v>
      </c>
      <c r="C23" t="s">
        <v>113</v>
      </c>
      <c r="D23" t="s">
        <v>180</v>
      </c>
      <c r="E23" t="s">
        <v>213</v>
      </c>
      <c r="F23">
        <v>1</v>
      </c>
      <c r="G23" t="s">
        <v>2660</v>
      </c>
      <c r="H23" t="s">
        <v>126</v>
      </c>
    </row>
    <row r="24" spans="1:8">
      <c r="A24" t="s">
        <v>2661</v>
      </c>
      <c r="B24" t="s">
        <v>1124</v>
      </c>
      <c r="C24" t="s">
        <v>113</v>
      </c>
      <c r="D24" t="s">
        <v>172</v>
      </c>
      <c r="E24" t="s">
        <v>184</v>
      </c>
      <c r="G24" t="s">
        <v>1810</v>
      </c>
      <c r="H24" t="s">
        <v>126</v>
      </c>
    </row>
    <row r="25" spans="1:8">
      <c r="A25" t="s">
        <v>2662</v>
      </c>
      <c r="B25" t="s">
        <v>120</v>
      </c>
      <c r="C25" t="s">
        <v>113</v>
      </c>
      <c r="D25" t="s">
        <v>121</v>
      </c>
      <c r="E25" t="s">
        <v>46</v>
      </c>
      <c r="F25">
        <v>1</v>
      </c>
      <c r="G25" t="s">
        <v>2663</v>
      </c>
      <c r="H25" t="s">
        <v>122</v>
      </c>
    </row>
    <row r="26" spans="1:8">
      <c r="A26" t="s">
        <v>2664</v>
      </c>
      <c r="B26" t="s">
        <v>1239</v>
      </c>
      <c r="C26" t="s">
        <v>113</v>
      </c>
      <c r="D26" t="s">
        <v>154</v>
      </c>
      <c r="E26" t="s">
        <v>208</v>
      </c>
      <c r="F26">
        <v>4</v>
      </c>
      <c r="G26" t="s">
        <v>1802</v>
      </c>
      <c r="H26" t="s">
        <v>126</v>
      </c>
    </row>
    <row r="27" spans="1:8">
      <c r="A27" t="s">
        <v>2665</v>
      </c>
      <c r="B27" t="s">
        <v>921</v>
      </c>
      <c r="C27" t="s">
        <v>113</v>
      </c>
      <c r="D27" t="s">
        <v>139</v>
      </c>
      <c r="E27" t="s">
        <v>172</v>
      </c>
      <c r="F27">
        <v>2</v>
      </c>
      <c r="G27" t="s">
        <v>1721</v>
      </c>
      <c r="H27" t="s">
        <v>922</v>
      </c>
    </row>
    <row r="28" spans="1:8">
      <c r="A28" t="s">
        <v>2666</v>
      </c>
      <c r="B28" t="s">
        <v>2667</v>
      </c>
      <c r="C28" t="s">
        <v>113</v>
      </c>
      <c r="D28" t="s">
        <v>42</v>
      </c>
      <c r="E28" t="s">
        <v>204</v>
      </c>
      <c r="G28" t="s">
        <v>2537</v>
      </c>
      <c r="H28" t="s">
        <v>126</v>
      </c>
    </row>
    <row r="29" spans="1:8">
      <c r="A29" t="s">
        <v>2668</v>
      </c>
      <c r="B29" t="s">
        <v>1532</v>
      </c>
      <c r="C29" t="s">
        <v>113</v>
      </c>
      <c r="D29" t="s">
        <v>511</v>
      </c>
      <c r="E29" t="s">
        <v>938</v>
      </c>
      <c r="G29" t="s">
        <v>2669</v>
      </c>
      <c r="H29" t="s">
        <v>126</v>
      </c>
    </row>
    <row r="30" spans="1:8">
      <c r="A30" t="s">
        <v>2670</v>
      </c>
      <c r="B30" t="s">
        <v>1052</v>
      </c>
      <c r="C30" t="s">
        <v>113</v>
      </c>
      <c r="D30" t="s">
        <v>63</v>
      </c>
      <c r="E30" t="s">
        <v>172</v>
      </c>
      <c r="G30" t="s">
        <v>1708</v>
      </c>
      <c r="H30" t="s">
        <v>126</v>
      </c>
    </row>
    <row r="31" spans="1:8">
      <c r="A31" t="s">
        <v>2671</v>
      </c>
      <c r="B31" t="s">
        <v>365</v>
      </c>
      <c r="C31" t="s">
        <v>113</v>
      </c>
      <c r="D31" t="s">
        <v>117</v>
      </c>
      <c r="E31" t="s">
        <v>67</v>
      </c>
      <c r="F31">
        <v>1</v>
      </c>
      <c r="G31" t="s">
        <v>2315</v>
      </c>
      <c r="H31" t="s">
        <v>366</v>
      </c>
    </row>
    <row r="32" spans="1:8">
      <c r="A32" t="s">
        <v>2672</v>
      </c>
      <c r="B32" t="s">
        <v>501</v>
      </c>
      <c r="C32" t="s">
        <v>113</v>
      </c>
      <c r="D32" t="s">
        <v>139</v>
      </c>
      <c r="E32" t="s">
        <v>135</v>
      </c>
      <c r="F32">
        <v>3</v>
      </c>
      <c r="G32" t="s">
        <v>2537</v>
      </c>
      <c r="H32" t="s">
        <v>502</v>
      </c>
    </row>
    <row r="33" spans="1:8">
      <c r="A33" t="s">
        <v>2673</v>
      </c>
      <c r="B33" t="s">
        <v>876</v>
      </c>
      <c r="C33" t="s">
        <v>113</v>
      </c>
      <c r="D33" t="s">
        <v>154</v>
      </c>
      <c r="E33" t="s">
        <v>511</v>
      </c>
      <c r="F33">
        <v>4</v>
      </c>
      <c r="G33" t="s">
        <v>2674</v>
      </c>
      <c r="H33" t="s">
        <v>126</v>
      </c>
    </row>
    <row r="34" spans="1:8">
      <c r="A34" t="s">
        <v>2675</v>
      </c>
      <c r="B34" t="s">
        <v>1309</v>
      </c>
      <c r="C34" t="s">
        <v>117</v>
      </c>
      <c r="D34" t="s">
        <v>42</v>
      </c>
      <c r="E34" t="s">
        <v>217</v>
      </c>
      <c r="G34" t="s">
        <v>2676</v>
      </c>
      <c r="H34" t="s">
        <v>126</v>
      </c>
    </row>
    <row r="35" spans="1:8">
      <c r="A35" t="s">
        <v>2677</v>
      </c>
      <c r="B35" t="s">
        <v>935</v>
      </c>
      <c r="C35" t="s">
        <v>113</v>
      </c>
      <c r="D35" t="s">
        <v>42</v>
      </c>
      <c r="E35" t="s">
        <v>65</v>
      </c>
      <c r="G35" t="s">
        <v>1986</v>
      </c>
      <c r="H35" t="s">
        <v>126</v>
      </c>
    </row>
    <row r="36" spans="1:8">
      <c r="A36" t="s">
        <v>2678</v>
      </c>
      <c r="B36" t="s">
        <v>583</v>
      </c>
      <c r="C36" t="s">
        <v>113</v>
      </c>
      <c r="D36" t="s">
        <v>233</v>
      </c>
      <c r="E36" t="s">
        <v>135</v>
      </c>
      <c r="F36">
        <v>2</v>
      </c>
      <c r="G36" t="s">
        <v>2679</v>
      </c>
      <c r="H36" t="s">
        <v>126</v>
      </c>
    </row>
    <row r="37" spans="1:8">
      <c r="A37" t="s">
        <v>2680</v>
      </c>
      <c r="B37" t="s">
        <v>207</v>
      </c>
      <c r="C37" t="s">
        <v>113</v>
      </c>
      <c r="D37" t="s">
        <v>208</v>
      </c>
      <c r="E37" t="s">
        <v>209</v>
      </c>
      <c r="F37">
        <v>1</v>
      </c>
      <c r="G37" t="s">
        <v>2681</v>
      </c>
      <c r="H37" t="s">
        <v>210</v>
      </c>
    </row>
    <row r="38" spans="1:8">
      <c r="A38" t="s">
        <v>2682</v>
      </c>
      <c r="B38" t="s">
        <v>823</v>
      </c>
      <c r="C38" t="s">
        <v>113</v>
      </c>
      <c r="D38" t="s">
        <v>154</v>
      </c>
      <c r="E38" t="s">
        <v>63</v>
      </c>
      <c r="F38">
        <v>2</v>
      </c>
      <c r="G38" t="s">
        <v>1896</v>
      </c>
      <c r="H38" t="s">
        <v>824</v>
      </c>
    </row>
    <row r="39" spans="1:8">
      <c r="A39" t="s">
        <v>2683</v>
      </c>
      <c r="B39" t="s">
        <v>350</v>
      </c>
      <c r="C39" t="s">
        <v>113</v>
      </c>
      <c r="D39" t="s">
        <v>63</v>
      </c>
      <c r="E39" t="s">
        <v>172</v>
      </c>
      <c r="G39" t="s">
        <v>2268</v>
      </c>
      <c r="H39" t="s">
        <v>126</v>
      </c>
    </row>
    <row r="40" spans="1:8">
      <c r="A40" t="s">
        <v>2684</v>
      </c>
      <c r="B40" t="s">
        <v>1140</v>
      </c>
      <c r="C40" t="s">
        <v>113</v>
      </c>
      <c r="D40" t="s">
        <v>154</v>
      </c>
      <c r="E40" t="s">
        <v>160</v>
      </c>
      <c r="F40">
        <v>3</v>
      </c>
      <c r="G40" t="s">
        <v>1914</v>
      </c>
      <c r="H40" t="s">
        <v>126</v>
      </c>
    </row>
    <row r="41" spans="1:8">
      <c r="A41" t="s">
        <v>2685</v>
      </c>
      <c r="B41" t="s">
        <v>530</v>
      </c>
      <c r="C41" t="s">
        <v>113</v>
      </c>
      <c r="D41" t="s">
        <v>135</v>
      </c>
      <c r="E41" t="s">
        <v>136</v>
      </c>
      <c r="F41">
        <v>2</v>
      </c>
      <c r="G41" t="s">
        <v>2376</v>
      </c>
      <c r="H41" t="s">
        <v>531</v>
      </c>
    </row>
    <row r="42" spans="1:8">
      <c r="A42" t="s">
        <v>2686</v>
      </c>
      <c r="B42" t="s">
        <v>2687</v>
      </c>
      <c r="C42" t="s">
        <v>113</v>
      </c>
      <c r="D42" t="s">
        <v>63</v>
      </c>
      <c r="E42" t="s">
        <v>172</v>
      </c>
      <c r="G42" t="s">
        <v>2002</v>
      </c>
      <c r="H42" t="s">
        <v>126</v>
      </c>
    </row>
    <row r="43" spans="1:8">
      <c r="A43" t="s">
        <v>2688</v>
      </c>
      <c r="B43" t="s">
        <v>408</v>
      </c>
      <c r="C43" t="s">
        <v>113</v>
      </c>
      <c r="D43" t="s">
        <v>42</v>
      </c>
      <c r="E43" t="s">
        <v>172</v>
      </c>
      <c r="G43" t="s">
        <v>2239</v>
      </c>
      <c r="H43" t="s">
        <v>409</v>
      </c>
    </row>
    <row r="44" spans="1:8">
      <c r="A44" t="s">
        <v>2689</v>
      </c>
      <c r="B44" t="s">
        <v>958</v>
      </c>
      <c r="C44" t="s">
        <v>117</v>
      </c>
      <c r="D44" t="s">
        <v>154</v>
      </c>
      <c r="E44" t="s">
        <v>959</v>
      </c>
      <c r="G44" t="s">
        <v>2690</v>
      </c>
      <c r="H44" t="s">
        <v>126</v>
      </c>
    </row>
    <row r="45" spans="1:8">
      <c r="A45" t="s">
        <v>2691</v>
      </c>
      <c r="B45" t="s">
        <v>1040</v>
      </c>
      <c r="C45" t="s">
        <v>272</v>
      </c>
      <c r="D45" t="s">
        <v>117</v>
      </c>
      <c r="E45" t="s">
        <v>204</v>
      </c>
      <c r="G45" t="s">
        <v>2587</v>
      </c>
      <c r="H45" t="s">
        <v>126</v>
      </c>
    </row>
    <row r="46" spans="1:8">
      <c r="A46" t="s">
        <v>2692</v>
      </c>
      <c r="B46" t="s">
        <v>2693</v>
      </c>
      <c r="C46" t="s">
        <v>125</v>
      </c>
      <c r="D46" t="s">
        <v>126</v>
      </c>
      <c r="E46" t="s">
        <v>126</v>
      </c>
      <c r="G46" t="s">
        <v>2694</v>
      </c>
      <c r="H46" t="s">
        <v>126</v>
      </c>
    </row>
    <row r="47" spans="1:8">
      <c r="A47" t="s">
        <v>2695</v>
      </c>
      <c r="B47" t="s">
        <v>1378</v>
      </c>
      <c r="C47" t="s">
        <v>117</v>
      </c>
      <c r="D47" t="s">
        <v>42</v>
      </c>
      <c r="E47" t="s">
        <v>126</v>
      </c>
      <c r="G47" t="s">
        <v>1865</v>
      </c>
      <c r="H47" t="s">
        <v>126</v>
      </c>
    </row>
    <row r="48" spans="1:8">
      <c r="A48" t="s">
        <v>2696</v>
      </c>
      <c r="B48" t="s">
        <v>2697</v>
      </c>
      <c r="C48" t="s">
        <v>135</v>
      </c>
      <c r="D48" t="s">
        <v>136</v>
      </c>
      <c r="E48" t="s">
        <v>121</v>
      </c>
      <c r="F48">
        <v>1</v>
      </c>
      <c r="G48" t="s">
        <v>2698</v>
      </c>
      <c r="H48" t="s">
        <v>126</v>
      </c>
    </row>
    <row r="49" spans="1:8">
      <c r="A49" t="s">
        <v>2699</v>
      </c>
      <c r="B49" t="s">
        <v>1163</v>
      </c>
      <c r="C49" t="s">
        <v>117</v>
      </c>
      <c r="D49" t="s">
        <v>42</v>
      </c>
      <c r="E49" t="s">
        <v>126</v>
      </c>
      <c r="G49" t="s">
        <v>2073</v>
      </c>
      <c r="H49" t="s">
        <v>126</v>
      </c>
    </row>
    <row r="50" spans="1:8">
      <c r="A50" t="s">
        <v>2700</v>
      </c>
      <c r="B50" t="s">
        <v>874</v>
      </c>
      <c r="C50" t="s">
        <v>113</v>
      </c>
      <c r="D50" t="s">
        <v>139</v>
      </c>
      <c r="E50" t="s">
        <v>213</v>
      </c>
      <c r="G50" t="s">
        <v>2002</v>
      </c>
      <c r="H50" t="s">
        <v>126</v>
      </c>
    </row>
    <row r="51" spans="1:8">
      <c r="A51" t="s">
        <v>2701</v>
      </c>
      <c r="B51" t="s">
        <v>203</v>
      </c>
      <c r="C51" t="s">
        <v>136</v>
      </c>
      <c r="D51" t="s">
        <v>176</v>
      </c>
      <c r="E51" t="s">
        <v>204</v>
      </c>
      <c r="G51" t="s">
        <v>1833</v>
      </c>
      <c r="H51" t="s">
        <v>205</v>
      </c>
    </row>
    <row r="52" spans="1:8">
      <c r="A52" t="s">
        <v>2702</v>
      </c>
      <c r="B52" t="s">
        <v>2703</v>
      </c>
      <c r="C52" t="s">
        <v>125</v>
      </c>
      <c r="D52" t="s">
        <v>126</v>
      </c>
      <c r="E52" t="s">
        <v>126</v>
      </c>
      <c r="G52" t="s">
        <v>2519</v>
      </c>
      <c r="H52" t="s">
        <v>126</v>
      </c>
    </row>
    <row r="53" spans="1:8">
      <c r="A53" t="s">
        <v>2704</v>
      </c>
      <c r="B53" t="s">
        <v>1024</v>
      </c>
      <c r="C53" t="s">
        <v>113</v>
      </c>
      <c r="D53" t="s">
        <v>139</v>
      </c>
      <c r="E53" t="s">
        <v>63</v>
      </c>
      <c r="F53">
        <v>1</v>
      </c>
      <c r="G53" t="s">
        <v>1702</v>
      </c>
      <c r="H53" t="s">
        <v>126</v>
      </c>
    </row>
    <row r="54" spans="1:8">
      <c r="A54" t="s">
        <v>2705</v>
      </c>
      <c r="B54" t="s">
        <v>1133</v>
      </c>
      <c r="C54" t="s">
        <v>113</v>
      </c>
      <c r="D54" t="s">
        <v>272</v>
      </c>
      <c r="E54" t="s">
        <v>176</v>
      </c>
      <c r="F54">
        <v>4</v>
      </c>
      <c r="G54" t="s">
        <v>2082</v>
      </c>
      <c r="H54" t="s">
        <v>126</v>
      </c>
    </row>
    <row r="55" spans="1:8">
      <c r="A55" t="s">
        <v>2706</v>
      </c>
      <c r="B55" t="s">
        <v>1332</v>
      </c>
      <c r="C55" t="s">
        <v>139</v>
      </c>
      <c r="D55" t="s">
        <v>121</v>
      </c>
      <c r="E55" t="s">
        <v>126</v>
      </c>
      <c r="G55" t="s">
        <v>2503</v>
      </c>
      <c r="H55" t="s">
        <v>126</v>
      </c>
    </row>
    <row r="56" spans="1:8">
      <c r="A56" t="s">
        <v>2707</v>
      </c>
      <c r="B56" t="s">
        <v>459</v>
      </c>
      <c r="C56" t="s">
        <v>113</v>
      </c>
      <c r="D56" t="s">
        <v>135</v>
      </c>
      <c r="E56" t="s">
        <v>460</v>
      </c>
      <c r="G56" t="s">
        <v>2000</v>
      </c>
      <c r="H56" t="s">
        <v>126</v>
      </c>
    </row>
    <row r="57" spans="1:8">
      <c r="A57" t="s">
        <v>2708</v>
      </c>
      <c r="B57" t="s">
        <v>1301</v>
      </c>
      <c r="C57" t="s">
        <v>139</v>
      </c>
      <c r="D57" t="s">
        <v>233</v>
      </c>
      <c r="E57" t="s">
        <v>117</v>
      </c>
      <c r="F57">
        <v>2</v>
      </c>
      <c r="G57" t="s">
        <v>2505</v>
      </c>
      <c r="H57" t="s">
        <v>126</v>
      </c>
    </row>
    <row r="58" spans="1:8">
      <c r="A58" t="s">
        <v>2709</v>
      </c>
      <c r="B58" t="s">
        <v>1357</v>
      </c>
      <c r="C58" t="s">
        <v>113</v>
      </c>
      <c r="D58" t="s">
        <v>42</v>
      </c>
      <c r="E58" t="s">
        <v>126</v>
      </c>
      <c r="G58" t="s">
        <v>1947</v>
      </c>
      <c r="H58" t="s">
        <v>126</v>
      </c>
    </row>
    <row r="59" spans="1:8">
      <c r="A59" t="s">
        <v>2710</v>
      </c>
      <c r="B59" t="s">
        <v>2711</v>
      </c>
      <c r="C59" t="s">
        <v>113</v>
      </c>
      <c r="D59" t="s">
        <v>154</v>
      </c>
      <c r="E59" t="s">
        <v>511</v>
      </c>
      <c r="F59">
        <v>4</v>
      </c>
      <c r="G59" t="s">
        <v>2712</v>
      </c>
      <c r="H59" t="s">
        <v>126</v>
      </c>
    </row>
    <row r="60" spans="1:8">
      <c r="A60" t="s">
        <v>2713</v>
      </c>
      <c r="B60" t="s">
        <v>2714</v>
      </c>
      <c r="C60" t="s">
        <v>113</v>
      </c>
      <c r="D60" t="s">
        <v>139</v>
      </c>
      <c r="E60" t="s">
        <v>233</v>
      </c>
      <c r="F60">
        <v>2</v>
      </c>
      <c r="G60" t="s">
        <v>2715</v>
      </c>
      <c r="H60" t="s">
        <v>126</v>
      </c>
    </row>
    <row r="61" spans="1:8">
      <c r="A61" t="s">
        <v>2716</v>
      </c>
      <c r="B61" t="s">
        <v>1343</v>
      </c>
      <c r="C61" t="s">
        <v>113</v>
      </c>
      <c r="D61" t="s">
        <v>154</v>
      </c>
      <c r="E61" t="s">
        <v>63</v>
      </c>
      <c r="F61">
        <v>3</v>
      </c>
      <c r="G61" t="s">
        <v>1674</v>
      </c>
      <c r="H61" t="s">
        <v>126</v>
      </c>
    </row>
    <row r="62" spans="1:8">
      <c r="A62" t="s">
        <v>2717</v>
      </c>
      <c r="B62" t="s">
        <v>950</v>
      </c>
      <c r="C62" t="s">
        <v>113</v>
      </c>
      <c r="D62" t="s">
        <v>184</v>
      </c>
      <c r="E62" t="s">
        <v>797</v>
      </c>
      <c r="G62" t="s">
        <v>1798</v>
      </c>
      <c r="H62" t="s">
        <v>126</v>
      </c>
    </row>
    <row r="63" spans="1:8">
      <c r="A63" t="s">
        <v>2718</v>
      </c>
      <c r="B63" t="s">
        <v>2719</v>
      </c>
      <c r="C63" t="s">
        <v>113</v>
      </c>
      <c r="D63" t="s">
        <v>208</v>
      </c>
      <c r="E63" t="s">
        <v>797</v>
      </c>
      <c r="G63" t="s">
        <v>1690</v>
      </c>
      <c r="H63" t="s">
        <v>126</v>
      </c>
    </row>
    <row r="64" spans="1:8">
      <c r="A64" t="s">
        <v>2720</v>
      </c>
      <c r="B64" t="s">
        <v>1380</v>
      </c>
      <c r="C64" t="s">
        <v>113</v>
      </c>
      <c r="D64" t="s">
        <v>42</v>
      </c>
      <c r="E64" t="s">
        <v>135</v>
      </c>
      <c r="F64">
        <v>1</v>
      </c>
      <c r="G64" t="s">
        <v>1865</v>
      </c>
      <c r="H64" t="s">
        <v>126</v>
      </c>
    </row>
    <row r="65" spans="1:8">
      <c r="A65" t="s">
        <v>2721</v>
      </c>
      <c r="B65" t="s">
        <v>943</v>
      </c>
      <c r="C65" t="s">
        <v>233</v>
      </c>
      <c r="D65" t="s">
        <v>58</v>
      </c>
      <c r="E65" t="s">
        <v>126</v>
      </c>
      <c r="G65" t="s">
        <v>1735</v>
      </c>
      <c r="H65" t="s">
        <v>126</v>
      </c>
    </row>
    <row r="66" spans="1:8">
      <c r="A66" t="s">
        <v>2722</v>
      </c>
      <c r="B66" t="s">
        <v>1010</v>
      </c>
      <c r="C66" t="s">
        <v>113</v>
      </c>
      <c r="D66" t="s">
        <v>139</v>
      </c>
      <c r="E66" t="s">
        <v>42</v>
      </c>
      <c r="F66">
        <v>1</v>
      </c>
      <c r="G66" t="s">
        <v>2411</v>
      </c>
      <c r="H66" t="s">
        <v>126</v>
      </c>
    </row>
    <row r="67" spans="1:8">
      <c r="A67" t="s">
        <v>2723</v>
      </c>
      <c r="B67" t="s">
        <v>236</v>
      </c>
      <c r="C67" t="s">
        <v>113</v>
      </c>
      <c r="D67" t="s">
        <v>63</v>
      </c>
      <c r="E67" t="s">
        <v>172</v>
      </c>
      <c r="F67">
        <v>1</v>
      </c>
      <c r="G67" t="s">
        <v>2724</v>
      </c>
      <c r="H67" t="s">
        <v>237</v>
      </c>
    </row>
    <row r="68" spans="1:8">
      <c r="A68" t="s">
        <v>2725</v>
      </c>
      <c r="B68" t="s">
        <v>1325</v>
      </c>
      <c r="C68" t="s">
        <v>113</v>
      </c>
      <c r="D68" t="s">
        <v>42</v>
      </c>
      <c r="E68" t="s">
        <v>217</v>
      </c>
      <c r="G68" t="s">
        <v>2726</v>
      </c>
      <c r="H68" t="s">
        <v>126</v>
      </c>
    </row>
    <row r="69" spans="1:8">
      <c r="A69" t="s">
        <v>2727</v>
      </c>
      <c r="B69" t="s">
        <v>1307</v>
      </c>
      <c r="C69" t="s">
        <v>113</v>
      </c>
      <c r="D69" t="s">
        <v>139</v>
      </c>
      <c r="E69" t="s">
        <v>63</v>
      </c>
      <c r="G69" t="s">
        <v>2728</v>
      </c>
      <c r="H69" t="s">
        <v>126</v>
      </c>
    </row>
    <row r="70" spans="1:8">
      <c r="A70" t="s">
        <v>2729</v>
      </c>
      <c r="B70" t="s">
        <v>1355</v>
      </c>
      <c r="C70" t="s">
        <v>272</v>
      </c>
      <c r="D70" t="s">
        <v>117</v>
      </c>
      <c r="E70" t="s">
        <v>154</v>
      </c>
      <c r="G70" t="s">
        <v>2730</v>
      </c>
      <c r="H70" t="s">
        <v>126</v>
      </c>
    </row>
    <row r="71" spans="1:8">
      <c r="A71" t="s">
        <v>2731</v>
      </c>
      <c r="B71" t="s">
        <v>1461</v>
      </c>
      <c r="C71" t="s">
        <v>113</v>
      </c>
      <c r="D71" t="s">
        <v>156</v>
      </c>
      <c r="E71" t="s">
        <v>126</v>
      </c>
      <c r="G71" t="s">
        <v>1668</v>
      </c>
      <c r="H71" t="s">
        <v>126</v>
      </c>
    </row>
    <row r="72" spans="1:8">
      <c r="A72" t="s">
        <v>2732</v>
      </c>
      <c r="B72" t="s">
        <v>1406</v>
      </c>
      <c r="C72" t="s">
        <v>113</v>
      </c>
      <c r="D72" t="s">
        <v>117</v>
      </c>
      <c r="E72" t="s">
        <v>42</v>
      </c>
      <c r="F72">
        <v>3</v>
      </c>
      <c r="G72" t="s">
        <v>2733</v>
      </c>
      <c r="H72" t="s">
        <v>126</v>
      </c>
    </row>
    <row r="73" spans="1:8">
      <c r="A73" t="s">
        <v>2734</v>
      </c>
      <c r="B73" t="s">
        <v>474</v>
      </c>
      <c r="C73" t="s">
        <v>113</v>
      </c>
      <c r="D73" t="s">
        <v>176</v>
      </c>
      <c r="E73" t="s">
        <v>121</v>
      </c>
      <c r="F73">
        <v>3</v>
      </c>
      <c r="G73" t="s">
        <v>2632</v>
      </c>
      <c r="H73" t="s">
        <v>475</v>
      </c>
    </row>
    <row r="74" spans="1:8">
      <c r="A74" t="s">
        <v>2735</v>
      </c>
      <c r="B74" t="s">
        <v>831</v>
      </c>
      <c r="C74" t="s">
        <v>113</v>
      </c>
      <c r="D74" t="s">
        <v>139</v>
      </c>
      <c r="E74" t="s">
        <v>42</v>
      </c>
      <c r="F74">
        <v>2</v>
      </c>
      <c r="G74" t="s">
        <v>2187</v>
      </c>
      <c r="H74" t="s">
        <v>126</v>
      </c>
    </row>
    <row r="75" spans="1:8">
      <c r="A75" t="s">
        <v>2736</v>
      </c>
      <c r="B75" t="s">
        <v>1546</v>
      </c>
      <c r="C75" t="s">
        <v>113</v>
      </c>
      <c r="D75" t="s">
        <v>139</v>
      </c>
      <c r="E75" t="s">
        <v>233</v>
      </c>
      <c r="F75">
        <v>1</v>
      </c>
      <c r="G75" t="s">
        <v>2737</v>
      </c>
      <c r="H75" t="s">
        <v>126</v>
      </c>
    </row>
    <row r="76" spans="1:8">
      <c r="A76" t="s">
        <v>2738</v>
      </c>
      <c r="B76" t="s">
        <v>436</v>
      </c>
      <c r="C76" t="s">
        <v>113</v>
      </c>
      <c r="D76" t="s">
        <v>42</v>
      </c>
      <c r="E76" t="s">
        <v>126</v>
      </c>
      <c r="G76" t="s">
        <v>2010</v>
      </c>
      <c r="H76" t="s">
        <v>126</v>
      </c>
    </row>
    <row r="77" spans="1:8">
      <c r="A77" t="s">
        <v>2739</v>
      </c>
      <c r="B77" t="s">
        <v>1167</v>
      </c>
      <c r="C77" t="s">
        <v>113</v>
      </c>
      <c r="D77" t="s">
        <v>154</v>
      </c>
      <c r="E77" t="s">
        <v>160</v>
      </c>
      <c r="F77">
        <v>2</v>
      </c>
      <c r="G77" t="s">
        <v>2740</v>
      </c>
      <c r="H77" t="s">
        <v>126</v>
      </c>
    </row>
    <row r="78" spans="1:8">
      <c r="A78" t="s">
        <v>2741</v>
      </c>
      <c r="B78" t="s">
        <v>1232</v>
      </c>
      <c r="C78" t="s">
        <v>113</v>
      </c>
      <c r="D78" t="s">
        <v>135</v>
      </c>
      <c r="E78" t="s">
        <v>121</v>
      </c>
      <c r="F78">
        <v>1</v>
      </c>
      <c r="G78" t="s">
        <v>2742</v>
      </c>
      <c r="H78" t="s">
        <v>126</v>
      </c>
    </row>
    <row r="79" spans="1:8">
      <c r="A79" t="s">
        <v>2743</v>
      </c>
      <c r="B79" t="s">
        <v>2744</v>
      </c>
      <c r="C79" t="s">
        <v>113</v>
      </c>
      <c r="D79" t="s">
        <v>272</v>
      </c>
      <c r="E79" t="s">
        <v>154</v>
      </c>
      <c r="F79">
        <v>1</v>
      </c>
      <c r="G79" t="s">
        <v>2366</v>
      </c>
      <c r="H79" t="s">
        <v>126</v>
      </c>
    </row>
    <row r="80" spans="1:8">
      <c r="A80" t="s">
        <v>2745</v>
      </c>
      <c r="B80" t="s">
        <v>1217</v>
      </c>
      <c r="C80" t="s">
        <v>176</v>
      </c>
      <c r="D80" t="s">
        <v>121</v>
      </c>
      <c r="E80" t="s">
        <v>126</v>
      </c>
      <c r="G80" t="s">
        <v>1747</v>
      </c>
      <c r="H80" t="s">
        <v>126</v>
      </c>
    </row>
    <row r="81" spans="1:8">
      <c r="A81" t="s">
        <v>2746</v>
      </c>
      <c r="B81" t="s">
        <v>1633</v>
      </c>
      <c r="C81" t="s">
        <v>113</v>
      </c>
      <c r="D81" t="s">
        <v>176</v>
      </c>
      <c r="E81" t="s">
        <v>86</v>
      </c>
      <c r="G81" t="s">
        <v>2747</v>
      </c>
      <c r="H81" t="s">
        <v>126</v>
      </c>
    </row>
    <row r="82" spans="1:8">
      <c r="A82" t="s">
        <v>2748</v>
      </c>
      <c r="B82" t="s">
        <v>2749</v>
      </c>
      <c r="C82" t="s">
        <v>113</v>
      </c>
      <c r="D82" t="s">
        <v>233</v>
      </c>
      <c r="E82" t="s">
        <v>511</v>
      </c>
      <c r="F82">
        <v>3</v>
      </c>
      <c r="G82" t="s">
        <v>1929</v>
      </c>
      <c r="H82" t="s">
        <v>126</v>
      </c>
    </row>
    <row r="83" spans="1:8">
      <c r="A83" t="s">
        <v>2750</v>
      </c>
      <c r="B83" t="s">
        <v>1553</v>
      </c>
      <c r="C83" t="s">
        <v>113</v>
      </c>
      <c r="D83" t="s">
        <v>42</v>
      </c>
      <c r="E83" t="s">
        <v>160</v>
      </c>
      <c r="F83">
        <v>5</v>
      </c>
      <c r="G83" t="s">
        <v>1737</v>
      </c>
      <c r="H83" t="s">
        <v>126</v>
      </c>
    </row>
    <row r="84" spans="1:8">
      <c r="A84" t="s">
        <v>2751</v>
      </c>
      <c r="B84" t="s">
        <v>1385</v>
      </c>
      <c r="C84" t="s">
        <v>126</v>
      </c>
      <c r="D84" t="s">
        <v>126</v>
      </c>
      <c r="E84" t="s">
        <v>126</v>
      </c>
      <c r="G84" t="s">
        <v>2476</v>
      </c>
      <c r="H84" t="s">
        <v>1386</v>
      </c>
    </row>
    <row r="85" spans="1:8">
      <c r="A85" t="s">
        <v>2752</v>
      </c>
      <c r="B85" t="s">
        <v>183</v>
      </c>
      <c r="C85" t="s">
        <v>121</v>
      </c>
      <c r="D85" t="s">
        <v>155</v>
      </c>
      <c r="E85" t="s">
        <v>184</v>
      </c>
      <c r="F85">
        <v>1</v>
      </c>
      <c r="G85" t="s">
        <v>2337</v>
      </c>
      <c r="H85" t="s">
        <v>185</v>
      </c>
    </row>
    <row r="86" spans="1:8">
      <c r="A86" t="s">
        <v>2753</v>
      </c>
      <c r="B86" t="s">
        <v>815</v>
      </c>
      <c r="C86" t="s">
        <v>113</v>
      </c>
      <c r="D86" t="s">
        <v>42</v>
      </c>
      <c r="E86" t="s">
        <v>135</v>
      </c>
      <c r="F86">
        <v>2</v>
      </c>
      <c r="G86" t="s">
        <v>2491</v>
      </c>
      <c r="H86" t="s">
        <v>126</v>
      </c>
    </row>
    <row r="87" spans="1:8">
      <c r="A87" t="s">
        <v>2754</v>
      </c>
      <c r="B87" t="s">
        <v>2755</v>
      </c>
      <c r="C87" t="s">
        <v>113</v>
      </c>
      <c r="D87" t="s">
        <v>233</v>
      </c>
      <c r="E87" t="s">
        <v>126</v>
      </c>
      <c r="G87" t="s">
        <v>2756</v>
      </c>
      <c r="H87" t="s">
        <v>126</v>
      </c>
    </row>
    <row r="88" spans="1:8">
      <c r="A88" t="s">
        <v>2757</v>
      </c>
      <c r="B88" t="s">
        <v>667</v>
      </c>
      <c r="C88" t="s">
        <v>126</v>
      </c>
      <c r="D88" t="s">
        <v>126</v>
      </c>
      <c r="E88" t="s">
        <v>126</v>
      </c>
      <c r="G88" t="s">
        <v>2069</v>
      </c>
      <c r="H88" t="s">
        <v>126</v>
      </c>
    </row>
    <row r="89" spans="1:8">
      <c r="A89" t="s">
        <v>2758</v>
      </c>
      <c r="B89" t="s">
        <v>1526</v>
      </c>
      <c r="C89" t="s">
        <v>113</v>
      </c>
      <c r="D89" t="s">
        <v>154</v>
      </c>
      <c r="E89" t="s">
        <v>63</v>
      </c>
      <c r="F89">
        <v>4</v>
      </c>
      <c r="G89" t="s">
        <v>2759</v>
      </c>
      <c r="H89" t="s">
        <v>126</v>
      </c>
    </row>
    <row r="90" spans="1:8">
      <c r="A90" t="s">
        <v>2760</v>
      </c>
      <c r="B90" t="s">
        <v>1145</v>
      </c>
      <c r="C90" t="s">
        <v>117</v>
      </c>
      <c r="D90" t="s">
        <v>63</v>
      </c>
      <c r="E90" t="s">
        <v>126</v>
      </c>
      <c r="G90" t="s">
        <v>2761</v>
      </c>
      <c r="H90" t="s">
        <v>126</v>
      </c>
    </row>
    <row r="91" spans="1:8">
      <c r="A91" t="s">
        <v>2762</v>
      </c>
      <c r="B91" t="s">
        <v>2763</v>
      </c>
      <c r="C91" t="s">
        <v>126</v>
      </c>
      <c r="D91" t="s">
        <v>126</v>
      </c>
      <c r="E91" t="s">
        <v>126</v>
      </c>
      <c r="G91" t="s">
        <v>2641</v>
      </c>
      <c r="H91" t="s">
        <v>2764</v>
      </c>
    </row>
    <row r="92" spans="1:8">
      <c r="A92" t="s">
        <v>2765</v>
      </c>
      <c r="B92" t="s">
        <v>1408</v>
      </c>
      <c r="C92" t="s">
        <v>113</v>
      </c>
      <c r="D92" t="s">
        <v>233</v>
      </c>
      <c r="E92" t="s">
        <v>42</v>
      </c>
      <c r="F92">
        <v>2</v>
      </c>
      <c r="G92" t="s">
        <v>2733</v>
      </c>
      <c r="H92" t="s">
        <v>126</v>
      </c>
    </row>
    <row r="93" spans="1:8">
      <c r="A93" t="s">
        <v>2766</v>
      </c>
      <c r="B93" t="s">
        <v>2767</v>
      </c>
      <c r="C93" t="s">
        <v>126</v>
      </c>
      <c r="D93" t="s">
        <v>126</v>
      </c>
      <c r="E93" t="s">
        <v>126</v>
      </c>
      <c r="G93" t="s">
        <v>2768</v>
      </c>
      <c r="H93" t="s">
        <v>126</v>
      </c>
    </row>
    <row r="94" spans="1:8">
      <c r="A94" t="s">
        <v>2769</v>
      </c>
      <c r="B94" t="s">
        <v>491</v>
      </c>
      <c r="C94" t="s">
        <v>121</v>
      </c>
      <c r="D94" t="s">
        <v>184</v>
      </c>
      <c r="E94" t="s">
        <v>83</v>
      </c>
      <c r="G94" t="s">
        <v>1727</v>
      </c>
      <c r="H94" t="s">
        <v>492</v>
      </c>
    </row>
    <row r="95" spans="1:8">
      <c r="A95" t="s">
        <v>2770</v>
      </c>
      <c r="B95" t="s">
        <v>2771</v>
      </c>
      <c r="C95" t="s">
        <v>125</v>
      </c>
      <c r="D95" t="s">
        <v>126</v>
      </c>
      <c r="E95" t="s">
        <v>126</v>
      </c>
      <c r="G95" t="s">
        <v>2726</v>
      </c>
      <c r="H95" t="s">
        <v>2772</v>
      </c>
    </row>
    <row r="96" spans="1:8">
      <c r="A96" t="s">
        <v>2773</v>
      </c>
      <c r="B96" t="s">
        <v>2774</v>
      </c>
      <c r="C96" t="s">
        <v>113</v>
      </c>
      <c r="D96" t="s">
        <v>154</v>
      </c>
      <c r="E96" t="s">
        <v>126</v>
      </c>
      <c r="G96" t="s">
        <v>2587</v>
      </c>
      <c r="H96" t="s">
        <v>126</v>
      </c>
    </row>
    <row r="97" spans="1:8">
      <c r="A97" t="s">
        <v>2775</v>
      </c>
      <c r="B97" t="s">
        <v>989</v>
      </c>
      <c r="C97" t="s">
        <v>113</v>
      </c>
      <c r="D97" t="s">
        <v>233</v>
      </c>
      <c r="E97" t="s">
        <v>180</v>
      </c>
      <c r="F97">
        <v>1</v>
      </c>
      <c r="G97" t="s">
        <v>2088</v>
      </c>
      <c r="H97" t="s">
        <v>990</v>
      </c>
    </row>
    <row r="98" spans="1:8">
      <c r="A98" t="s">
        <v>2776</v>
      </c>
      <c r="B98" t="s">
        <v>1421</v>
      </c>
      <c r="C98" t="s">
        <v>113</v>
      </c>
      <c r="D98" t="s">
        <v>139</v>
      </c>
      <c r="E98" t="s">
        <v>154</v>
      </c>
      <c r="F98">
        <v>5</v>
      </c>
      <c r="G98" t="s">
        <v>2777</v>
      </c>
      <c r="H98" t="s">
        <v>126</v>
      </c>
    </row>
    <row r="99" spans="1:8">
      <c r="A99" t="s">
        <v>2778</v>
      </c>
      <c r="B99" t="s">
        <v>2779</v>
      </c>
      <c r="C99" t="s">
        <v>121</v>
      </c>
      <c r="D99" t="s">
        <v>184</v>
      </c>
      <c r="E99" t="s">
        <v>83</v>
      </c>
      <c r="G99" t="s">
        <v>2780</v>
      </c>
      <c r="H99" t="s">
        <v>126</v>
      </c>
    </row>
    <row r="100" spans="1:8">
      <c r="A100" t="s">
        <v>2781</v>
      </c>
      <c r="B100" t="s">
        <v>1278</v>
      </c>
      <c r="C100" t="s">
        <v>233</v>
      </c>
      <c r="D100" t="s">
        <v>117</v>
      </c>
      <c r="E100" t="s">
        <v>42</v>
      </c>
      <c r="G100" t="s">
        <v>2715</v>
      </c>
      <c r="H100" t="s">
        <v>126</v>
      </c>
    </row>
    <row r="101" spans="1:8">
      <c r="A101" t="s">
        <v>2782</v>
      </c>
      <c r="B101" t="s">
        <v>2783</v>
      </c>
      <c r="C101" t="s">
        <v>125</v>
      </c>
      <c r="D101" t="s">
        <v>126</v>
      </c>
      <c r="E101" t="s">
        <v>126</v>
      </c>
      <c r="G101" t="s">
        <v>2784</v>
      </c>
      <c r="H101" t="s">
        <v>2785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0D71-BA3E-443C-8545-E3A43B2CB656}">
  <sheetPr codeName="Sheet9"/>
  <dimension ref="A1:I970"/>
  <sheetViews>
    <sheetView topLeftCell="A128" workbookViewId="0">
      <selection activeCell="C6" sqref="C6"/>
    </sheetView>
  </sheetViews>
  <sheetFormatPr defaultRowHeight="14.5"/>
  <cols>
    <col min="1" max="1" width="67.54296875" bestFit="1" customWidth="1"/>
    <col min="2" max="2" width="80.7265625" bestFit="1" customWidth="1"/>
    <col min="3" max="4" width="20.54296875" bestFit="1" customWidth="1"/>
    <col min="5" max="5" width="21.54296875" bestFit="1" customWidth="1"/>
    <col min="6" max="6" width="80.7265625" bestFit="1" customWidth="1"/>
    <col min="7" max="7" width="7.453125" bestFit="1" customWidth="1"/>
    <col min="8" max="8" width="11" bestFit="1" customWidth="1"/>
    <col min="9" max="9" width="13.453125" bestFit="1" customWidth="1"/>
  </cols>
  <sheetData>
    <row r="1" spans="1:9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1664</v>
      </c>
      <c r="H1" t="s">
        <v>109</v>
      </c>
      <c r="I1" t="s">
        <v>110</v>
      </c>
    </row>
    <row r="2" spans="1:9">
      <c r="A2" t="s">
        <v>2786</v>
      </c>
      <c r="B2" t="s">
        <v>2787</v>
      </c>
      <c r="C2" t="s">
        <v>117</v>
      </c>
      <c r="D2" t="s">
        <v>160</v>
      </c>
      <c r="E2" t="s">
        <v>797</v>
      </c>
      <c r="F2" t="s">
        <v>2788</v>
      </c>
      <c r="G2" t="s">
        <v>2789</v>
      </c>
      <c r="H2" t="s">
        <v>126</v>
      </c>
    </row>
    <row r="3" spans="1:9">
      <c r="A3" t="s">
        <v>1722</v>
      </c>
      <c r="B3" t="s">
        <v>1723</v>
      </c>
      <c r="C3" t="s">
        <v>113</v>
      </c>
      <c r="D3" t="s">
        <v>797</v>
      </c>
      <c r="E3" t="s">
        <v>1081</v>
      </c>
      <c r="F3" t="s">
        <v>126</v>
      </c>
      <c r="G3" t="s">
        <v>1666</v>
      </c>
      <c r="H3" t="s">
        <v>27</v>
      </c>
    </row>
    <row r="4" spans="1:9">
      <c r="A4" t="s">
        <v>1743</v>
      </c>
      <c r="B4" t="s">
        <v>1744</v>
      </c>
      <c r="C4" t="s">
        <v>113</v>
      </c>
      <c r="D4" t="s">
        <v>117</v>
      </c>
      <c r="E4" t="s">
        <v>84</v>
      </c>
      <c r="F4" t="s">
        <v>126</v>
      </c>
      <c r="G4" t="s">
        <v>1745</v>
      </c>
      <c r="H4" t="s">
        <v>27</v>
      </c>
    </row>
    <row r="5" spans="1:9">
      <c r="A5" t="s">
        <v>1748</v>
      </c>
      <c r="B5" t="s">
        <v>1749</v>
      </c>
      <c r="C5" t="s">
        <v>113</v>
      </c>
      <c r="D5" t="s">
        <v>42</v>
      </c>
      <c r="E5" t="s">
        <v>126</v>
      </c>
      <c r="F5" t="s">
        <v>1750</v>
      </c>
      <c r="G5" t="s">
        <v>1751</v>
      </c>
      <c r="H5" t="s">
        <v>27</v>
      </c>
    </row>
    <row r="6" spans="1:9">
      <c r="A6" t="s">
        <v>1752</v>
      </c>
      <c r="B6" t="s">
        <v>1753</v>
      </c>
      <c r="C6" t="s">
        <v>113</v>
      </c>
      <c r="D6" t="s">
        <v>117</v>
      </c>
      <c r="E6" t="s">
        <v>136</v>
      </c>
      <c r="F6" t="s">
        <v>1754</v>
      </c>
      <c r="G6" t="s">
        <v>1755</v>
      </c>
      <c r="H6" t="s">
        <v>27</v>
      </c>
      <c r="I6">
        <v>3</v>
      </c>
    </row>
    <row r="7" spans="1:9">
      <c r="A7" t="s">
        <v>1756</v>
      </c>
      <c r="B7" t="s">
        <v>1757</v>
      </c>
      <c r="C7" t="s">
        <v>272</v>
      </c>
      <c r="D7" t="s">
        <v>160</v>
      </c>
      <c r="E7" t="s">
        <v>135</v>
      </c>
      <c r="F7" t="s">
        <v>1758</v>
      </c>
      <c r="G7" t="s">
        <v>1759</v>
      </c>
      <c r="H7" t="s">
        <v>27</v>
      </c>
      <c r="I7">
        <v>4</v>
      </c>
    </row>
    <row r="8" spans="1:9">
      <c r="A8" t="s">
        <v>1766</v>
      </c>
      <c r="B8" t="s">
        <v>1767</v>
      </c>
      <c r="C8" t="s">
        <v>113</v>
      </c>
      <c r="D8" t="s">
        <v>233</v>
      </c>
      <c r="E8" t="s">
        <v>172</v>
      </c>
      <c r="F8" t="s">
        <v>1768</v>
      </c>
      <c r="G8" t="s">
        <v>1769</v>
      </c>
      <c r="H8" t="s">
        <v>27</v>
      </c>
      <c r="I8">
        <v>1</v>
      </c>
    </row>
    <row r="9" spans="1:9">
      <c r="A9" t="s">
        <v>1774</v>
      </c>
      <c r="B9" t="s">
        <v>1775</v>
      </c>
      <c r="C9" t="s">
        <v>113</v>
      </c>
      <c r="D9" t="s">
        <v>154</v>
      </c>
      <c r="E9" t="s">
        <v>136</v>
      </c>
      <c r="F9" t="s">
        <v>1776</v>
      </c>
      <c r="G9" t="s">
        <v>1777</v>
      </c>
      <c r="H9" t="s">
        <v>27</v>
      </c>
      <c r="I9">
        <v>2</v>
      </c>
    </row>
    <row r="10" spans="1:9">
      <c r="A10" t="s">
        <v>1778</v>
      </c>
      <c r="B10" t="s">
        <v>1779</v>
      </c>
      <c r="C10" t="s">
        <v>113</v>
      </c>
      <c r="D10" t="s">
        <v>139</v>
      </c>
      <c r="E10" t="s">
        <v>180</v>
      </c>
      <c r="F10" t="s">
        <v>1780</v>
      </c>
      <c r="G10" t="s">
        <v>1781</v>
      </c>
      <c r="H10" t="s">
        <v>27</v>
      </c>
    </row>
    <row r="11" spans="1:9">
      <c r="A11" t="s">
        <v>1785</v>
      </c>
      <c r="B11" t="s">
        <v>1786</v>
      </c>
      <c r="C11" t="s">
        <v>113</v>
      </c>
      <c r="D11" t="s">
        <v>176</v>
      </c>
      <c r="E11" t="s">
        <v>65</v>
      </c>
      <c r="F11" t="s">
        <v>1787</v>
      </c>
      <c r="G11" t="s">
        <v>1788</v>
      </c>
      <c r="H11" t="s">
        <v>27</v>
      </c>
    </row>
    <row r="12" spans="1:9">
      <c r="A12" t="s">
        <v>1807</v>
      </c>
      <c r="B12" t="s">
        <v>1808</v>
      </c>
      <c r="C12" t="s">
        <v>139</v>
      </c>
      <c r="D12" t="s">
        <v>117</v>
      </c>
      <c r="E12" t="s">
        <v>63</v>
      </c>
      <c r="F12" t="s">
        <v>1809</v>
      </c>
      <c r="G12" t="s">
        <v>1810</v>
      </c>
      <c r="H12" t="s">
        <v>27</v>
      </c>
      <c r="I12">
        <v>3</v>
      </c>
    </row>
    <row r="13" spans="1:9">
      <c r="A13" t="s">
        <v>1822</v>
      </c>
      <c r="B13" t="s">
        <v>1823</v>
      </c>
      <c r="C13" t="s">
        <v>113</v>
      </c>
      <c r="D13" t="s">
        <v>117</v>
      </c>
      <c r="E13" t="s">
        <v>44</v>
      </c>
      <c r="F13" t="s">
        <v>126</v>
      </c>
      <c r="G13" t="s">
        <v>1781</v>
      </c>
      <c r="H13" t="s">
        <v>27</v>
      </c>
      <c r="I13">
        <v>1</v>
      </c>
    </row>
    <row r="14" spans="1:9">
      <c r="A14" t="s">
        <v>1826</v>
      </c>
      <c r="B14" t="s">
        <v>1827</v>
      </c>
      <c r="C14" t="s">
        <v>113</v>
      </c>
      <c r="D14" t="s">
        <v>117</v>
      </c>
      <c r="E14" t="s">
        <v>44</v>
      </c>
      <c r="F14" t="s">
        <v>1828</v>
      </c>
      <c r="G14" t="s">
        <v>1829</v>
      </c>
      <c r="H14" t="s">
        <v>27</v>
      </c>
      <c r="I14">
        <v>1</v>
      </c>
    </row>
    <row r="15" spans="1:9">
      <c r="A15" t="s">
        <v>1830</v>
      </c>
      <c r="B15" t="s">
        <v>1831</v>
      </c>
      <c r="C15" t="s">
        <v>117</v>
      </c>
      <c r="D15" t="s">
        <v>135</v>
      </c>
      <c r="E15" t="s">
        <v>136</v>
      </c>
      <c r="F15" t="s">
        <v>1832</v>
      </c>
      <c r="G15" t="s">
        <v>1833</v>
      </c>
      <c r="H15" t="s">
        <v>27</v>
      </c>
      <c r="I15">
        <v>1</v>
      </c>
    </row>
    <row r="16" spans="1:9">
      <c r="A16" t="s">
        <v>1834</v>
      </c>
      <c r="B16" t="s">
        <v>1835</v>
      </c>
      <c r="C16" t="s">
        <v>135</v>
      </c>
      <c r="D16" t="s">
        <v>136</v>
      </c>
      <c r="E16" t="s">
        <v>217</v>
      </c>
      <c r="F16" t="s">
        <v>1836</v>
      </c>
      <c r="G16" t="s">
        <v>1837</v>
      </c>
      <c r="H16" t="s">
        <v>27</v>
      </c>
    </row>
    <row r="17" spans="1:9">
      <c r="A17" t="s">
        <v>1848</v>
      </c>
      <c r="B17" t="s">
        <v>1849</v>
      </c>
      <c r="C17" t="s">
        <v>113</v>
      </c>
      <c r="D17" t="s">
        <v>42</v>
      </c>
      <c r="E17" t="s">
        <v>217</v>
      </c>
      <c r="F17" t="s">
        <v>1850</v>
      </c>
      <c r="G17" t="s">
        <v>1851</v>
      </c>
      <c r="H17" t="s">
        <v>27</v>
      </c>
    </row>
    <row r="18" spans="1:9">
      <c r="A18" t="s">
        <v>1854</v>
      </c>
      <c r="B18" t="s">
        <v>1855</v>
      </c>
      <c r="C18" t="s">
        <v>117</v>
      </c>
      <c r="D18" t="s">
        <v>42</v>
      </c>
      <c r="E18" t="s">
        <v>126</v>
      </c>
      <c r="F18" t="s">
        <v>126</v>
      </c>
      <c r="G18" t="s">
        <v>1856</v>
      </c>
      <c r="H18" t="s">
        <v>27</v>
      </c>
    </row>
    <row r="19" spans="1:9">
      <c r="A19" t="s">
        <v>1866</v>
      </c>
      <c r="B19" t="s">
        <v>1867</v>
      </c>
      <c r="C19" t="s">
        <v>44</v>
      </c>
      <c r="D19" t="s">
        <v>1081</v>
      </c>
      <c r="E19" t="s">
        <v>126</v>
      </c>
      <c r="F19" t="s">
        <v>1868</v>
      </c>
      <c r="G19" t="s">
        <v>1869</v>
      </c>
      <c r="H19" t="s">
        <v>27</v>
      </c>
    </row>
    <row r="20" spans="1:9">
      <c r="A20" t="s">
        <v>1872</v>
      </c>
      <c r="B20" t="s">
        <v>1873</v>
      </c>
      <c r="C20" t="s">
        <v>113</v>
      </c>
      <c r="D20" t="s">
        <v>117</v>
      </c>
      <c r="E20" t="s">
        <v>136</v>
      </c>
      <c r="F20" t="s">
        <v>1874</v>
      </c>
      <c r="G20" t="s">
        <v>1875</v>
      </c>
      <c r="H20" t="s">
        <v>27</v>
      </c>
      <c r="I20">
        <v>5</v>
      </c>
    </row>
    <row r="21" spans="1:9">
      <c r="A21" t="s">
        <v>1881</v>
      </c>
      <c r="B21" t="s">
        <v>1882</v>
      </c>
      <c r="C21" t="s">
        <v>113</v>
      </c>
      <c r="D21" t="s">
        <v>117</v>
      </c>
      <c r="E21" t="s">
        <v>63</v>
      </c>
      <c r="F21" t="s">
        <v>1883</v>
      </c>
      <c r="G21" t="s">
        <v>1884</v>
      </c>
      <c r="H21" t="s">
        <v>27</v>
      </c>
      <c r="I21">
        <v>2</v>
      </c>
    </row>
    <row r="22" spans="1:9">
      <c r="A22" t="s">
        <v>1887</v>
      </c>
      <c r="B22" t="s">
        <v>1888</v>
      </c>
      <c r="C22" t="s">
        <v>113</v>
      </c>
      <c r="D22" t="s">
        <v>139</v>
      </c>
      <c r="E22" t="s">
        <v>213</v>
      </c>
      <c r="F22" t="s">
        <v>1889</v>
      </c>
      <c r="G22" t="s">
        <v>1890</v>
      </c>
      <c r="H22" t="s">
        <v>27</v>
      </c>
    </row>
    <row r="23" spans="1:9">
      <c r="A23" t="s">
        <v>1893</v>
      </c>
      <c r="B23" t="s">
        <v>1894</v>
      </c>
      <c r="C23" t="s">
        <v>113</v>
      </c>
      <c r="D23" t="s">
        <v>42</v>
      </c>
      <c r="E23" t="s">
        <v>65</v>
      </c>
      <c r="F23" t="s">
        <v>1895</v>
      </c>
      <c r="G23" t="s">
        <v>1896</v>
      </c>
      <c r="H23" t="s">
        <v>27</v>
      </c>
    </row>
    <row r="24" spans="1:9">
      <c r="A24" t="s">
        <v>1897</v>
      </c>
      <c r="B24" t="s">
        <v>1898</v>
      </c>
      <c r="C24" t="s">
        <v>125</v>
      </c>
      <c r="D24" t="s">
        <v>126</v>
      </c>
      <c r="E24" t="s">
        <v>126</v>
      </c>
      <c r="F24" t="s">
        <v>1899</v>
      </c>
      <c r="G24" t="s">
        <v>1900</v>
      </c>
      <c r="H24" t="s">
        <v>27</v>
      </c>
    </row>
    <row r="25" spans="1:9">
      <c r="A25" t="s">
        <v>1901</v>
      </c>
      <c r="B25" t="s">
        <v>1902</v>
      </c>
      <c r="C25" t="s">
        <v>125</v>
      </c>
      <c r="D25" t="s">
        <v>126</v>
      </c>
      <c r="E25" t="s">
        <v>126</v>
      </c>
      <c r="F25" t="s">
        <v>126</v>
      </c>
      <c r="G25" t="s">
        <v>1903</v>
      </c>
      <c r="H25" t="s">
        <v>27</v>
      </c>
    </row>
    <row r="26" spans="1:9">
      <c r="A26" t="s">
        <v>1904</v>
      </c>
      <c r="B26" t="s">
        <v>1905</v>
      </c>
      <c r="C26" t="s">
        <v>125</v>
      </c>
      <c r="D26" t="s">
        <v>126</v>
      </c>
      <c r="E26" t="s">
        <v>126</v>
      </c>
      <c r="F26" t="s">
        <v>1906</v>
      </c>
      <c r="G26" t="s">
        <v>1886</v>
      </c>
      <c r="H26" t="s">
        <v>27</v>
      </c>
    </row>
    <row r="27" spans="1:9">
      <c r="A27" t="s">
        <v>1909</v>
      </c>
      <c r="B27" t="s">
        <v>1910</v>
      </c>
      <c r="C27" t="s">
        <v>139</v>
      </c>
      <c r="D27" t="s">
        <v>117</v>
      </c>
      <c r="E27" t="s">
        <v>155</v>
      </c>
      <c r="F27" t="s">
        <v>1911</v>
      </c>
      <c r="G27" t="s">
        <v>1912</v>
      </c>
      <c r="H27" t="s">
        <v>27</v>
      </c>
      <c r="I27">
        <v>2</v>
      </c>
    </row>
    <row r="28" spans="1:9">
      <c r="A28" t="s">
        <v>1919</v>
      </c>
      <c r="B28" t="s">
        <v>1920</v>
      </c>
      <c r="C28" t="s">
        <v>125</v>
      </c>
      <c r="D28" t="s">
        <v>126</v>
      </c>
      <c r="E28" t="s">
        <v>126</v>
      </c>
      <c r="F28" t="s">
        <v>1921</v>
      </c>
      <c r="G28" t="s">
        <v>1922</v>
      </c>
      <c r="H28" t="s">
        <v>27</v>
      </c>
    </row>
    <row r="29" spans="1:9">
      <c r="A29" t="s">
        <v>1923</v>
      </c>
      <c r="B29" t="s">
        <v>1924</v>
      </c>
      <c r="C29" t="s">
        <v>125</v>
      </c>
      <c r="D29" t="s">
        <v>126</v>
      </c>
      <c r="E29" t="s">
        <v>126</v>
      </c>
      <c r="F29" t="s">
        <v>1925</v>
      </c>
      <c r="G29" t="s">
        <v>1678</v>
      </c>
      <c r="H29" t="s">
        <v>27</v>
      </c>
    </row>
    <row r="30" spans="1:9">
      <c r="A30" t="s">
        <v>1930</v>
      </c>
      <c r="B30" t="s">
        <v>1931</v>
      </c>
      <c r="C30" t="s">
        <v>113</v>
      </c>
      <c r="D30" t="s">
        <v>121</v>
      </c>
      <c r="E30" t="s">
        <v>155</v>
      </c>
      <c r="F30" t="s">
        <v>1932</v>
      </c>
      <c r="G30" t="s">
        <v>1721</v>
      </c>
      <c r="H30" t="s">
        <v>27</v>
      </c>
      <c r="I30">
        <v>2</v>
      </c>
    </row>
    <row r="31" spans="1:9">
      <c r="A31" t="s">
        <v>1937</v>
      </c>
      <c r="B31" t="s">
        <v>1938</v>
      </c>
      <c r="C31" t="s">
        <v>117</v>
      </c>
      <c r="D31" t="s">
        <v>136</v>
      </c>
      <c r="E31" t="s">
        <v>155</v>
      </c>
      <c r="F31" t="s">
        <v>1939</v>
      </c>
      <c r="G31" t="s">
        <v>1940</v>
      </c>
      <c r="H31" t="s">
        <v>27</v>
      </c>
      <c r="I31">
        <v>4</v>
      </c>
    </row>
    <row r="32" spans="1:9">
      <c r="A32" t="s">
        <v>1941</v>
      </c>
      <c r="B32" t="s">
        <v>1942</v>
      </c>
      <c r="C32" t="s">
        <v>113</v>
      </c>
      <c r="D32" t="s">
        <v>154</v>
      </c>
      <c r="E32" t="s">
        <v>213</v>
      </c>
      <c r="F32" t="s">
        <v>1943</v>
      </c>
      <c r="G32" t="s">
        <v>1806</v>
      </c>
      <c r="H32" t="s">
        <v>27</v>
      </c>
    </row>
    <row r="33" spans="1:9">
      <c r="A33" t="s">
        <v>1944</v>
      </c>
      <c r="B33" t="s">
        <v>1945</v>
      </c>
      <c r="C33" t="s">
        <v>113</v>
      </c>
      <c r="D33" t="s">
        <v>42</v>
      </c>
      <c r="E33" t="s">
        <v>126</v>
      </c>
      <c r="F33" t="s">
        <v>1946</v>
      </c>
      <c r="G33" t="s">
        <v>1947</v>
      </c>
      <c r="H33" t="s">
        <v>27</v>
      </c>
    </row>
    <row r="34" spans="1:9">
      <c r="A34" t="s">
        <v>1948</v>
      </c>
      <c r="B34" t="s">
        <v>1949</v>
      </c>
      <c r="C34" t="s">
        <v>233</v>
      </c>
      <c r="D34" t="s">
        <v>126</v>
      </c>
      <c r="E34" t="s">
        <v>126</v>
      </c>
      <c r="F34" t="s">
        <v>1950</v>
      </c>
      <c r="G34" t="s">
        <v>1951</v>
      </c>
      <c r="H34" t="s">
        <v>27</v>
      </c>
    </row>
    <row r="35" spans="1:9">
      <c r="A35" t="s">
        <v>1960</v>
      </c>
      <c r="B35" t="s">
        <v>1961</v>
      </c>
      <c r="C35" t="s">
        <v>113</v>
      </c>
      <c r="D35" t="s">
        <v>300</v>
      </c>
      <c r="E35" t="s">
        <v>156</v>
      </c>
      <c r="F35" t="s">
        <v>1962</v>
      </c>
      <c r="G35" t="s">
        <v>1806</v>
      </c>
      <c r="H35" t="s">
        <v>27</v>
      </c>
      <c r="I35">
        <v>5</v>
      </c>
    </row>
    <row r="36" spans="1:9">
      <c r="A36" t="s">
        <v>1970</v>
      </c>
      <c r="B36" t="s">
        <v>1971</v>
      </c>
      <c r="C36" t="s">
        <v>139</v>
      </c>
      <c r="D36" t="s">
        <v>136</v>
      </c>
      <c r="E36" t="s">
        <v>217</v>
      </c>
      <c r="F36" t="s">
        <v>1972</v>
      </c>
      <c r="G36" t="s">
        <v>1973</v>
      </c>
      <c r="H36" t="s">
        <v>27</v>
      </c>
    </row>
    <row r="37" spans="1:9">
      <c r="A37" t="s">
        <v>1975</v>
      </c>
      <c r="B37" t="s">
        <v>1976</v>
      </c>
      <c r="C37" t="s">
        <v>43</v>
      </c>
      <c r="D37" t="s">
        <v>160</v>
      </c>
      <c r="E37" t="s">
        <v>155</v>
      </c>
      <c r="F37" t="s">
        <v>1977</v>
      </c>
      <c r="G37" t="s">
        <v>1978</v>
      </c>
      <c r="H37" t="s">
        <v>27</v>
      </c>
      <c r="I37">
        <v>2</v>
      </c>
    </row>
    <row r="38" spans="1:9">
      <c r="A38" t="s">
        <v>1983</v>
      </c>
      <c r="B38" t="s">
        <v>1984</v>
      </c>
      <c r="C38" t="s">
        <v>117</v>
      </c>
      <c r="D38" t="s">
        <v>42</v>
      </c>
      <c r="E38" t="s">
        <v>209</v>
      </c>
      <c r="F38" t="s">
        <v>1985</v>
      </c>
      <c r="G38" t="s">
        <v>1986</v>
      </c>
      <c r="H38" t="s">
        <v>27</v>
      </c>
    </row>
    <row r="39" spans="1:9">
      <c r="A39" t="s">
        <v>2003</v>
      </c>
      <c r="B39" t="s">
        <v>2004</v>
      </c>
      <c r="C39" t="s">
        <v>113</v>
      </c>
      <c r="D39" t="s">
        <v>172</v>
      </c>
      <c r="E39" t="s">
        <v>184</v>
      </c>
      <c r="F39" t="s">
        <v>2005</v>
      </c>
      <c r="G39" t="s">
        <v>2006</v>
      </c>
      <c r="H39" t="s">
        <v>27</v>
      </c>
    </row>
    <row r="40" spans="1:9">
      <c r="A40" t="s">
        <v>2015</v>
      </c>
      <c r="B40" t="s">
        <v>2016</v>
      </c>
      <c r="C40" t="s">
        <v>233</v>
      </c>
      <c r="D40" t="s">
        <v>117</v>
      </c>
      <c r="E40" t="s">
        <v>160</v>
      </c>
      <c r="F40" t="s">
        <v>2017</v>
      </c>
      <c r="G40" t="s">
        <v>2018</v>
      </c>
      <c r="H40" t="s">
        <v>27</v>
      </c>
      <c r="I40">
        <v>1</v>
      </c>
    </row>
    <row r="41" spans="1:9">
      <c r="A41" t="s">
        <v>2021</v>
      </c>
      <c r="B41" t="s">
        <v>2022</v>
      </c>
      <c r="C41" t="s">
        <v>113</v>
      </c>
      <c r="D41" t="s">
        <v>154</v>
      </c>
      <c r="E41" t="s">
        <v>126</v>
      </c>
      <c r="F41" t="s">
        <v>2023</v>
      </c>
      <c r="G41" t="s">
        <v>1700</v>
      </c>
      <c r="H41" t="s">
        <v>27</v>
      </c>
    </row>
    <row r="42" spans="1:9">
      <c r="A42" t="s">
        <v>2128</v>
      </c>
      <c r="B42" t="s">
        <v>2129</v>
      </c>
      <c r="C42" t="s">
        <v>113</v>
      </c>
      <c r="D42" t="s">
        <v>160</v>
      </c>
      <c r="E42" t="s">
        <v>191</v>
      </c>
      <c r="F42" t="s">
        <v>2130</v>
      </c>
      <c r="G42" t="s">
        <v>2131</v>
      </c>
      <c r="H42" t="s">
        <v>27</v>
      </c>
    </row>
    <row r="43" spans="1:9">
      <c r="A43" t="s">
        <v>2132</v>
      </c>
      <c r="B43" t="s">
        <v>2133</v>
      </c>
      <c r="C43" t="s">
        <v>233</v>
      </c>
      <c r="D43" t="s">
        <v>42</v>
      </c>
      <c r="E43" t="s">
        <v>126</v>
      </c>
      <c r="F43" t="s">
        <v>126</v>
      </c>
      <c r="G43" t="s">
        <v>1698</v>
      </c>
      <c r="H43" t="s">
        <v>27</v>
      </c>
    </row>
    <row r="44" spans="1:9">
      <c r="A44" t="s">
        <v>2136</v>
      </c>
      <c r="B44" t="s">
        <v>2137</v>
      </c>
      <c r="C44" t="s">
        <v>233</v>
      </c>
      <c r="D44" t="s">
        <v>44</v>
      </c>
      <c r="E44" t="s">
        <v>126</v>
      </c>
      <c r="F44" t="s">
        <v>2138</v>
      </c>
      <c r="G44" t="s">
        <v>2041</v>
      </c>
      <c r="H44" t="s">
        <v>27</v>
      </c>
    </row>
    <row r="45" spans="1:9">
      <c r="A45" t="s">
        <v>2143</v>
      </c>
      <c r="B45" t="s">
        <v>2144</v>
      </c>
      <c r="C45" t="s">
        <v>125</v>
      </c>
      <c r="D45" t="s">
        <v>126</v>
      </c>
      <c r="E45" t="s">
        <v>126</v>
      </c>
      <c r="F45" t="s">
        <v>2145</v>
      </c>
      <c r="G45" t="s">
        <v>2069</v>
      </c>
      <c r="H45" t="s">
        <v>27</v>
      </c>
    </row>
    <row r="46" spans="1:9">
      <c r="A46" t="s">
        <v>2148</v>
      </c>
      <c r="B46" t="s">
        <v>2149</v>
      </c>
      <c r="C46" t="s">
        <v>113</v>
      </c>
      <c r="D46" t="s">
        <v>1027</v>
      </c>
      <c r="E46" t="s">
        <v>126</v>
      </c>
      <c r="F46" t="s">
        <v>126</v>
      </c>
      <c r="G46" t="s">
        <v>2150</v>
      </c>
      <c r="H46" t="s">
        <v>27</v>
      </c>
    </row>
    <row r="47" spans="1:9">
      <c r="A47" t="s">
        <v>2152</v>
      </c>
      <c r="B47" t="s">
        <v>2153</v>
      </c>
      <c r="C47" t="s">
        <v>125</v>
      </c>
      <c r="D47" t="s">
        <v>126</v>
      </c>
      <c r="E47" t="s">
        <v>126</v>
      </c>
      <c r="F47" t="s">
        <v>126</v>
      </c>
      <c r="G47" t="s">
        <v>2041</v>
      </c>
      <c r="H47" t="s">
        <v>27</v>
      </c>
    </row>
    <row r="48" spans="1:9">
      <c r="A48" t="s">
        <v>2156</v>
      </c>
      <c r="B48" t="s">
        <v>2157</v>
      </c>
      <c r="C48" t="s">
        <v>139</v>
      </c>
      <c r="D48" t="s">
        <v>117</v>
      </c>
      <c r="E48" t="s">
        <v>126</v>
      </c>
      <c r="F48" t="s">
        <v>2158</v>
      </c>
      <c r="G48" t="s">
        <v>1714</v>
      </c>
      <c r="H48" t="s">
        <v>27</v>
      </c>
    </row>
    <row r="49" spans="1:9">
      <c r="A49" t="s">
        <v>2161</v>
      </c>
      <c r="B49" t="s">
        <v>2162</v>
      </c>
      <c r="C49" t="s">
        <v>125</v>
      </c>
      <c r="D49" t="s">
        <v>126</v>
      </c>
      <c r="E49" t="s">
        <v>126</v>
      </c>
      <c r="F49" t="s">
        <v>2163</v>
      </c>
      <c r="G49" t="s">
        <v>2164</v>
      </c>
      <c r="H49" t="s">
        <v>27</v>
      </c>
    </row>
    <row r="50" spans="1:9">
      <c r="A50" t="s">
        <v>2166</v>
      </c>
      <c r="B50" t="s">
        <v>2167</v>
      </c>
      <c r="C50" t="s">
        <v>180</v>
      </c>
      <c r="D50" t="s">
        <v>121</v>
      </c>
      <c r="E50" t="s">
        <v>184</v>
      </c>
      <c r="F50" t="s">
        <v>2168</v>
      </c>
      <c r="G50" t="s">
        <v>2111</v>
      </c>
      <c r="H50" t="s">
        <v>27</v>
      </c>
      <c r="I50">
        <v>1</v>
      </c>
    </row>
    <row r="51" spans="1:9">
      <c r="A51" t="s">
        <v>2172</v>
      </c>
      <c r="B51" t="s">
        <v>2173</v>
      </c>
      <c r="C51" t="s">
        <v>233</v>
      </c>
      <c r="D51" t="s">
        <v>63</v>
      </c>
      <c r="E51" t="s">
        <v>172</v>
      </c>
      <c r="F51" t="s">
        <v>2174</v>
      </c>
      <c r="G51" t="s">
        <v>2175</v>
      </c>
      <c r="H51" t="s">
        <v>27</v>
      </c>
      <c r="I51">
        <v>1</v>
      </c>
    </row>
    <row r="52" spans="1:9">
      <c r="A52" t="s">
        <v>2180</v>
      </c>
      <c r="B52" t="s">
        <v>2181</v>
      </c>
      <c r="C52" t="s">
        <v>125</v>
      </c>
      <c r="D52" t="s">
        <v>126</v>
      </c>
      <c r="E52" t="s">
        <v>126</v>
      </c>
      <c r="F52" t="s">
        <v>2182</v>
      </c>
      <c r="G52" t="s">
        <v>2183</v>
      </c>
      <c r="H52" t="s">
        <v>27</v>
      </c>
    </row>
    <row r="53" spans="1:9">
      <c r="A53" t="s">
        <v>2184</v>
      </c>
      <c r="B53" t="s">
        <v>2185</v>
      </c>
      <c r="C53" t="s">
        <v>113</v>
      </c>
      <c r="D53" t="s">
        <v>233</v>
      </c>
      <c r="E53" t="s">
        <v>63</v>
      </c>
      <c r="F53" t="s">
        <v>2186</v>
      </c>
      <c r="G53" t="s">
        <v>2187</v>
      </c>
      <c r="H53" t="s">
        <v>27</v>
      </c>
      <c r="I53">
        <v>1</v>
      </c>
    </row>
    <row r="54" spans="1:9">
      <c r="A54" t="s">
        <v>2193</v>
      </c>
      <c r="B54" t="s">
        <v>2194</v>
      </c>
      <c r="C54" t="s">
        <v>117</v>
      </c>
      <c r="D54" t="s">
        <v>42</v>
      </c>
      <c r="E54" t="s">
        <v>126</v>
      </c>
      <c r="F54" t="s">
        <v>2195</v>
      </c>
      <c r="G54" t="s">
        <v>1927</v>
      </c>
      <c r="H54" t="s">
        <v>27</v>
      </c>
    </row>
    <row r="55" spans="1:9">
      <c r="A55" t="s">
        <v>2201</v>
      </c>
      <c r="B55" t="s">
        <v>2202</v>
      </c>
      <c r="C55" t="s">
        <v>125</v>
      </c>
      <c r="D55" t="s">
        <v>126</v>
      </c>
      <c r="E55" t="s">
        <v>126</v>
      </c>
      <c r="F55" t="s">
        <v>126</v>
      </c>
      <c r="G55" t="s">
        <v>1821</v>
      </c>
      <c r="H55" t="s">
        <v>27</v>
      </c>
    </row>
    <row r="56" spans="1:9">
      <c r="A56" t="s">
        <v>2203</v>
      </c>
      <c r="B56" t="s">
        <v>2204</v>
      </c>
      <c r="C56" t="s">
        <v>113</v>
      </c>
      <c r="D56" t="s">
        <v>154</v>
      </c>
      <c r="E56" t="s">
        <v>126</v>
      </c>
      <c r="F56" t="s">
        <v>2205</v>
      </c>
      <c r="G56" t="s">
        <v>2206</v>
      </c>
      <c r="H56" t="s">
        <v>27</v>
      </c>
    </row>
    <row r="57" spans="1:9">
      <c r="A57" t="s">
        <v>2210</v>
      </c>
      <c r="B57" t="s">
        <v>2211</v>
      </c>
      <c r="C57" t="s">
        <v>113</v>
      </c>
      <c r="D57" t="s">
        <v>42</v>
      </c>
      <c r="E57" t="s">
        <v>126</v>
      </c>
      <c r="F57" t="s">
        <v>126</v>
      </c>
      <c r="G57" t="s">
        <v>1698</v>
      </c>
      <c r="H57" t="s">
        <v>27</v>
      </c>
    </row>
    <row r="58" spans="1:9">
      <c r="A58" t="s">
        <v>2216</v>
      </c>
      <c r="B58" t="s">
        <v>2217</v>
      </c>
      <c r="C58" t="s">
        <v>233</v>
      </c>
      <c r="D58" t="s">
        <v>42</v>
      </c>
      <c r="E58" t="s">
        <v>126</v>
      </c>
      <c r="F58" t="s">
        <v>2218</v>
      </c>
      <c r="G58" t="s">
        <v>1759</v>
      </c>
      <c r="H58" t="s">
        <v>27</v>
      </c>
    </row>
    <row r="59" spans="1:9">
      <c r="A59" t="s">
        <v>2221</v>
      </c>
      <c r="B59" t="s">
        <v>2222</v>
      </c>
      <c r="C59" t="s">
        <v>113</v>
      </c>
      <c r="D59" t="s">
        <v>511</v>
      </c>
      <c r="E59" t="s">
        <v>1081</v>
      </c>
      <c r="F59" t="s">
        <v>2223</v>
      </c>
      <c r="G59" t="s">
        <v>2224</v>
      </c>
      <c r="H59" t="s">
        <v>27</v>
      </c>
    </row>
    <row r="60" spans="1:9">
      <c r="A60" t="s">
        <v>2244</v>
      </c>
      <c r="B60" t="s">
        <v>2245</v>
      </c>
      <c r="C60" t="s">
        <v>125</v>
      </c>
      <c r="D60" t="s">
        <v>126</v>
      </c>
      <c r="E60" t="s">
        <v>126</v>
      </c>
      <c r="F60" t="s">
        <v>126</v>
      </c>
      <c r="G60" t="s">
        <v>1912</v>
      </c>
      <c r="H60" t="s">
        <v>27</v>
      </c>
    </row>
    <row r="61" spans="1:9">
      <c r="A61" t="s">
        <v>2258</v>
      </c>
      <c r="B61" t="s">
        <v>2259</v>
      </c>
      <c r="C61" t="s">
        <v>125</v>
      </c>
      <c r="D61" t="s">
        <v>126</v>
      </c>
      <c r="E61" t="s">
        <v>126</v>
      </c>
      <c r="F61" t="s">
        <v>126</v>
      </c>
      <c r="G61" t="s">
        <v>2260</v>
      </c>
      <c r="H61" t="s">
        <v>27</v>
      </c>
    </row>
    <row r="62" spans="1:9">
      <c r="A62" t="s">
        <v>2266</v>
      </c>
      <c r="B62" t="s">
        <v>2267</v>
      </c>
      <c r="C62" t="s">
        <v>125</v>
      </c>
      <c r="D62" t="s">
        <v>126</v>
      </c>
      <c r="E62" t="s">
        <v>126</v>
      </c>
      <c r="F62" t="s">
        <v>126</v>
      </c>
      <c r="G62" t="s">
        <v>2268</v>
      </c>
      <c r="H62" t="s">
        <v>27</v>
      </c>
    </row>
    <row r="63" spans="1:9">
      <c r="A63" t="s">
        <v>2279</v>
      </c>
      <c r="B63" t="s">
        <v>2280</v>
      </c>
      <c r="C63" t="s">
        <v>125</v>
      </c>
      <c r="D63" t="s">
        <v>126</v>
      </c>
      <c r="E63" t="s">
        <v>126</v>
      </c>
      <c r="F63" t="s">
        <v>126</v>
      </c>
      <c r="G63" t="s">
        <v>2155</v>
      </c>
      <c r="H63" t="s">
        <v>27</v>
      </c>
    </row>
    <row r="64" spans="1:9">
      <c r="A64" t="s">
        <v>2298</v>
      </c>
      <c r="B64" t="s">
        <v>2299</v>
      </c>
      <c r="C64" t="s">
        <v>125</v>
      </c>
      <c r="D64" t="s">
        <v>126</v>
      </c>
      <c r="E64" t="s">
        <v>126</v>
      </c>
      <c r="F64" t="s">
        <v>2300</v>
      </c>
      <c r="G64" t="s">
        <v>2301</v>
      </c>
      <c r="H64" t="s">
        <v>27</v>
      </c>
    </row>
    <row r="65" spans="1:9">
      <c r="A65" t="s">
        <v>2313</v>
      </c>
      <c r="B65" t="s">
        <v>2314</v>
      </c>
      <c r="C65" t="s">
        <v>135</v>
      </c>
      <c r="D65" t="s">
        <v>136</v>
      </c>
      <c r="E65" t="s">
        <v>126</v>
      </c>
      <c r="F65" t="s">
        <v>126</v>
      </c>
      <c r="G65" t="s">
        <v>2315</v>
      </c>
      <c r="H65" t="s">
        <v>27</v>
      </c>
    </row>
    <row r="66" spans="1:9">
      <c r="A66" t="s">
        <v>2326</v>
      </c>
      <c r="B66" t="s">
        <v>2327</v>
      </c>
      <c r="C66" t="s">
        <v>42</v>
      </c>
      <c r="D66" t="s">
        <v>121</v>
      </c>
      <c r="E66" t="s">
        <v>126</v>
      </c>
      <c r="F66" t="s">
        <v>2328</v>
      </c>
      <c r="G66" t="s">
        <v>1845</v>
      </c>
      <c r="H66" t="s">
        <v>27</v>
      </c>
    </row>
    <row r="67" spans="1:9">
      <c r="A67" t="s">
        <v>2341</v>
      </c>
      <c r="B67" t="s">
        <v>2342</v>
      </c>
      <c r="C67" t="s">
        <v>117</v>
      </c>
      <c r="D67" t="s">
        <v>160</v>
      </c>
      <c r="E67" t="s">
        <v>135</v>
      </c>
      <c r="F67" t="s">
        <v>126</v>
      </c>
      <c r="G67" t="s">
        <v>2343</v>
      </c>
      <c r="H67" t="s">
        <v>27</v>
      </c>
      <c r="I67">
        <v>1</v>
      </c>
    </row>
    <row r="68" spans="1:9">
      <c r="A68" t="s">
        <v>2359</v>
      </c>
      <c r="B68" t="s">
        <v>2360</v>
      </c>
      <c r="C68" t="s">
        <v>125</v>
      </c>
      <c r="D68" t="s">
        <v>126</v>
      </c>
      <c r="E68" t="s">
        <v>126</v>
      </c>
      <c r="F68" t="s">
        <v>2361</v>
      </c>
      <c r="G68" t="s">
        <v>1912</v>
      </c>
      <c r="H68" t="s">
        <v>27</v>
      </c>
    </row>
    <row r="69" spans="1:9">
      <c r="A69" t="s">
        <v>2364</v>
      </c>
      <c r="B69" t="s">
        <v>2365</v>
      </c>
      <c r="C69" t="s">
        <v>125</v>
      </c>
      <c r="D69" t="s">
        <v>126</v>
      </c>
      <c r="E69" t="s">
        <v>126</v>
      </c>
      <c r="F69" t="s">
        <v>126</v>
      </c>
      <c r="G69" t="s">
        <v>2366</v>
      </c>
      <c r="H69" t="s">
        <v>27</v>
      </c>
    </row>
    <row r="70" spans="1:9">
      <c r="A70" t="s">
        <v>2369</v>
      </c>
      <c r="B70" t="s">
        <v>2370</v>
      </c>
      <c r="C70" t="s">
        <v>125</v>
      </c>
      <c r="D70" t="s">
        <v>126</v>
      </c>
      <c r="E70" t="s">
        <v>126</v>
      </c>
      <c r="F70" t="s">
        <v>126</v>
      </c>
      <c r="G70" t="s">
        <v>2371</v>
      </c>
      <c r="H70" t="s">
        <v>27</v>
      </c>
    </row>
    <row r="71" spans="1:9">
      <c r="A71" t="s">
        <v>2383</v>
      </c>
      <c r="B71" t="s">
        <v>2384</v>
      </c>
      <c r="C71" t="s">
        <v>42</v>
      </c>
      <c r="D71" t="s">
        <v>126</v>
      </c>
      <c r="E71" t="s">
        <v>126</v>
      </c>
      <c r="F71" t="s">
        <v>126</v>
      </c>
      <c r="G71" t="s">
        <v>2385</v>
      </c>
      <c r="H71" t="s">
        <v>27</v>
      </c>
    </row>
    <row r="72" spans="1:9">
      <c r="A72" t="s">
        <v>2390</v>
      </c>
      <c r="B72" t="s">
        <v>2391</v>
      </c>
      <c r="C72" t="s">
        <v>113</v>
      </c>
      <c r="D72" t="s">
        <v>42</v>
      </c>
      <c r="E72" t="s">
        <v>126</v>
      </c>
      <c r="F72" t="s">
        <v>126</v>
      </c>
      <c r="G72" t="s">
        <v>1940</v>
      </c>
      <c r="H72" t="s">
        <v>27</v>
      </c>
    </row>
    <row r="73" spans="1:9">
      <c r="A73" t="s">
        <v>2395</v>
      </c>
      <c r="B73" t="s">
        <v>2396</v>
      </c>
      <c r="C73" t="s">
        <v>180</v>
      </c>
      <c r="D73" t="s">
        <v>121</v>
      </c>
      <c r="E73" t="s">
        <v>2397</v>
      </c>
      <c r="F73" t="s">
        <v>126</v>
      </c>
      <c r="G73" t="s">
        <v>2398</v>
      </c>
      <c r="H73" t="s">
        <v>27</v>
      </c>
    </row>
    <row r="74" spans="1:9">
      <c r="A74" t="s">
        <v>2407</v>
      </c>
      <c r="B74" t="s">
        <v>2408</v>
      </c>
      <c r="C74" t="s">
        <v>125</v>
      </c>
      <c r="D74" t="s">
        <v>126</v>
      </c>
      <c r="E74" t="s">
        <v>126</v>
      </c>
      <c r="F74" t="s">
        <v>126</v>
      </c>
      <c r="G74" t="s">
        <v>2409</v>
      </c>
      <c r="H74" t="s">
        <v>27</v>
      </c>
    </row>
    <row r="75" spans="1:9">
      <c r="A75" t="s">
        <v>2417</v>
      </c>
      <c r="B75" t="s">
        <v>2418</v>
      </c>
      <c r="C75" t="s">
        <v>113</v>
      </c>
      <c r="D75" t="s">
        <v>139</v>
      </c>
      <c r="E75" t="s">
        <v>63</v>
      </c>
      <c r="F75" t="s">
        <v>126</v>
      </c>
      <c r="G75" t="s">
        <v>2419</v>
      </c>
      <c r="H75" t="s">
        <v>27</v>
      </c>
      <c r="I75">
        <v>1</v>
      </c>
    </row>
    <row r="76" spans="1:9">
      <c r="A76" t="s">
        <v>2435</v>
      </c>
      <c r="B76" t="s">
        <v>2436</v>
      </c>
      <c r="C76" t="s">
        <v>272</v>
      </c>
      <c r="D76" t="s">
        <v>117</v>
      </c>
      <c r="E76" t="s">
        <v>126</v>
      </c>
      <c r="F76" t="s">
        <v>126</v>
      </c>
      <c r="G76" t="s">
        <v>2334</v>
      </c>
      <c r="H76" t="s">
        <v>27</v>
      </c>
    </row>
    <row r="77" spans="1:9">
      <c r="A77" t="s">
        <v>2451</v>
      </c>
      <c r="B77" t="s">
        <v>2452</v>
      </c>
      <c r="C77" t="s">
        <v>125</v>
      </c>
      <c r="D77" t="s">
        <v>126</v>
      </c>
      <c r="E77" t="s">
        <v>126</v>
      </c>
      <c r="F77" t="s">
        <v>126</v>
      </c>
      <c r="G77" t="s">
        <v>1716</v>
      </c>
      <c r="H77" t="s">
        <v>27</v>
      </c>
    </row>
    <row r="78" spans="1:9">
      <c r="A78" t="s">
        <v>2457</v>
      </c>
      <c r="B78" t="s">
        <v>2458</v>
      </c>
      <c r="C78" t="s">
        <v>125</v>
      </c>
      <c r="D78" t="s">
        <v>126</v>
      </c>
      <c r="E78" t="s">
        <v>126</v>
      </c>
      <c r="F78" t="s">
        <v>126</v>
      </c>
      <c r="G78" t="s">
        <v>2459</v>
      </c>
      <c r="H78" t="s">
        <v>27</v>
      </c>
    </row>
    <row r="79" spans="1:9">
      <c r="A79" t="s">
        <v>2460</v>
      </c>
      <c r="B79" t="s">
        <v>2461</v>
      </c>
      <c r="C79" t="s">
        <v>125</v>
      </c>
      <c r="D79" t="s">
        <v>126</v>
      </c>
      <c r="E79" t="s">
        <v>126</v>
      </c>
      <c r="F79" t="s">
        <v>126</v>
      </c>
      <c r="G79" t="s">
        <v>1863</v>
      </c>
      <c r="H79" t="s">
        <v>27</v>
      </c>
    </row>
    <row r="80" spans="1:9">
      <c r="A80" t="s">
        <v>2464</v>
      </c>
      <c r="B80" t="s">
        <v>2465</v>
      </c>
      <c r="C80" t="s">
        <v>113</v>
      </c>
      <c r="D80" t="s">
        <v>233</v>
      </c>
      <c r="E80" t="s">
        <v>624</v>
      </c>
      <c r="F80" t="s">
        <v>126</v>
      </c>
      <c r="G80" t="s">
        <v>2115</v>
      </c>
      <c r="H80" t="s">
        <v>27</v>
      </c>
    </row>
    <row r="81" spans="1:9">
      <c r="A81" t="s">
        <v>2473</v>
      </c>
      <c r="B81" t="s">
        <v>2474</v>
      </c>
      <c r="C81" t="s">
        <v>113</v>
      </c>
      <c r="D81" t="s">
        <v>233</v>
      </c>
      <c r="E81" t="s">
        <v>154</v>
      </c>
      <c r="F81" t="s">
        <v>126</v>
      </c>
      <c r="G81" t="s">
        <v>2447</v>
      </c>
      <c r="H81" t="s">
        <v>27</v>
      </c>
      <c r="I81">
        <v>2</v>
      </c>
    </row>
    <row r="82" spans="1:9">
      <c r="A82" t="s">
        <v>2480</v>
      </c>
      <c r="B82" t="s">
        <v>2481</v>
      </c>
      <c r="C82" t="s">
        <v>125</v>
      </c>
      <c r="D82" t="s">
        <v>126</v>
      </c>
      <c r="E82" t="s">
        <v>126</v>
      </c>
      <c r="F82" t="s">
        <v>2483</v>
      </c>
      <c r="G82" t="s">
        <v>2482</v>
      </c>
      <c r="H82" t="s">
        <v>27</v>
      </c>
    </row>
    <row r="83" spans="1:9">
      <c r="A83" t="s">
        <v>2493</v>
      </c>
      <c r="B83" t="s">
        <v>2494</v>
      </c>
      <c r="C83" t="s">
        <v>125</v>
      </c>
      <c r="D83" t="s">
        <v>126</v>
      </c>
      <c r="E83" t="s">
        <v>126</v>
      </c>
      <c r="F83" t="s">
        <v>2495</v>
      </c>
      <c r="G83" t="s">
        <v>1739</v>
      </c>
      <c r="H83" t="s">
        <v>27</v>
      </c>
    </row>
    <row r="84" spans="1:9">
      <c r="A84" t="s">
        <v>2496</v>
      </c>
      <c r="B84" t="s">
        <v>2497</v>
      </c>
      <c r="C84" t="s">
        <v>233</v>
      </c>
      <c r="D84" t="s">
        <v>42</v>
      </c>
      <c r="E84" t="s">
        <v>135</v>
      </c>
      <c r="F84" t="s">
        <v>126</v>
      </c>
      <c r="G84" t="s">
        <v>2164</v>
      </c>
      <c r="H84" t="s">
        <v>27</v>
      </c>
      <c r="I84">
        <v>2</v>
      </c>
    </row>
    <row r="85" spans="1:9">
      <c r="A85" t="s">
        <v>2499</v>
      </c>
      <c r="B85" t="s">
        <v>2500</v>
      </c>
      <c r="C85" t="s">
        <v>125</v>
      </c>
      <c r="D85" t="s">
        <v>126</v>
      </c>
      <c r="E85" t="s">
        <v>126</v>
      </c>
      <c r="F85" t="s">
        <v>126</v>
      </c>
      <c r="G85" t="s">
        <v>2247</v>
      </c>
      <c r="H85" t="s">
        <v>27</v>
      </c>
    </row>
    <row r="86" spans="1:9">
      <c r="A86" t="s">
        <v>2535</v>
      </c>
      <c r="B86" t="s">
        <v>2536</v>
      </c>
      <c r="C86" t="s">
        <v>125</v>
      </c>
      <c r="D86" t="s">
        <v>126</v>
      </c>
      <c r="E86" t="s">
        <v>126</v>
      </c>
      <c r="F86" t="s">
        <v>126</v>
      </c>
      <c r="G86" t="s">
        <v>2537</v>
      </c>
      <c r="H86" t="s">
        <v>27</v>
      </c>
    </row>
    <row r="87" spans="1:9">
      <c r="A87" t="s">
        <v>2539</v>
      </c>
      <c r="B87" t="s">
        <v>2540</v>
      </c>
      <c r="C87" t="s">
        <v>113</v>
      </c>
      <c r="D87" t="s">
        <v>121</v>
      </c>
      <c r="E87" t="s">
        <v>65</v>
      </c>
      <c r="F87" t="s">
        <v>126</v>
      </c>
      <c r="G87" t="s">
        <v>1680</v>
      </c>
      <c r="H87" t="s">
        <v>27</v>
      </c>
    </row>
    <row r="88" spans="1:9">
      <c r="A88" t="s">
        <v>2547</v>
      </c>
      <c r="B88" t="s">
        <v>2548</v>
      </c>
      <c r="C88" t="s">
        <v>113</v>
      </c>
      <c r="D88" t="s">
        <v>42</v>
      </c>
      <c r="E88" t="s">
        <v>126</v>
      </c>
      <c r="F88" t="s">
        <v>126</v>
      </c>
      <c r="G88" t="s">
        <v>2549</v>
      </c>
      <c r="H88" t="s">
        <v>27</v>
      </c>
    </row>
    <row r="89" spans="1:9">
      <c r="A89" t="s">
        <v>2552</v>
      </c>
      <c r="B89" t="s">
        <v>2553</v>
      </c>
      <c r="C89" t="s">
        <v>125</v>
      </c>
      <c r="D89" t="s">
        <v>126</v>
      </c>
      <c r="E89" t="s">
        <v>126</v>
      </c>
      <c r="F89" t="s">
        <v>2554</v>
      </c>
      <c r="G89" t="s">
        <v>2380</v>
      </c>
      <c r="H89" t="s">
        <v>27</v>
      </c>
    </row>
    <row r="90" spans="1:9">
      <c r="A90" t="s">
        <v>2559</v>
      </c>
      <c r="B90" t="s">
        <v>2560</v>
      </c>
      <c r="C90" t="s">
        <v>113</v>
      </c>
      <c r="D90" t="s">
        <v>156</v>
      </c>
      <c r="E90" t="s">
        <v>86</v>
      </c>
      <c r="F90" t="s">
        <v>126</v>
      </c>
      <c r="G90" t="s">
        <v>2051</v>
      </c>
      <c r="H90" t="s">
        <v>27</v>
      </c>
    </row>
    <row r="91" spans="1:9">
      <c r="A91" t="s">
        <v>2564</v>
      </c>
      <c r="B91" t="s">
        <v>2565</v>
      </c>
      <c r="C91" t="s">
        <v>125</v>
      </c>
      <c r="D91" t="s">
        <v>126</v>
      </c>
      <c r="E91" t="s">
        <v>126</v>
      </c>
      <c r="F91" t="s">
        <v>2566</v>
      </c>
      <c r="G91" t="s">
        <v>1796</v>
      </c>
      <c r="H91" t="s">
        <v>27</v>
      </c>
    </row>
    <row r="92" spans="1:9">
      <c r="A92" t="s">
        <v>2575</v>
      </c>
      <c r="B92" t="s">
        <v>2576</v>
      </c>
      <c r="C92" t="s">
        <v>125</v>
      </c>
      <c r="D92" t="s">
        <v>126</v>
      </c>
      <c r="E92" t="s">
        <v>126</v>
      </c>
      <c r="F92" t="s">
        <v>126</v>
      </c>
      <c r="G92" t="s">
        <v>2441</v>
      </c>
      <c r="H92" t="s">
        <v>27</v>
      </c>
    </row>
    <row r="93" spans="1:9">
      <c r="A93" t="s">
        <v>2578</v>
      </c>
      <c r="B93" t="s">
        <v>2579</v>
      </c>
      <c r="C93" t="s">
        <v>136</v>
      </c>
      <c r="D93" t="s">
        <v>176</v>
      </c>
      <c r="E93" t="s">
        <v>204</v>
      </c>
      <c r="F93" t="s">
        <v>2581</v>
      </c>
      <c r="G93" t="s">
        <v>2580</v>
      </c>
      <c r="H93" t="s">
        <v>27</v>
      </c>
    </row>
    <row r="94" spans="1:9">
      <c r="A94" t="s">
        <v>2592</v>
      </c>
      <c r="B94" t="s">
        <v>2593</v>
      </c>
      <c r="C94" t="s">
        <v>42</v>
      </c>
      <c r="D94" t="s">
        <v>82</v>
      </c>
      <c r="E94" t="s">
        <v>204</v>
      </c>
      <c r="F94" t="s">
        <v>126</v>
      </c>
      <c r="G94" t="s">
        <v>1959</v>
      </c>
      <c r="H94" t="s">
        <v>27</v>
      </c>
    </row>
    <row r="95" spans="1:9">
      <c r="A95" t="s">
        <v>2595</v>
      </c>
      <c r="B95" t="s">
        <v>2596</v>
      </c>
      <c r="C95" t="s">
        <v>125</v>
      </c>
      <c r="D95" t="s">
        <v>126</v>
      </c>
      <c r="E95" t="s">
        <v>126</v>
      </c>
      <c r="F95" t="s">
        <v>126</v>
      </c>
      <c r="G95" t="s">
        <v>1922</v>
      </c>
      <c r="H95" t="s">
        <v>27</v>
      </c>
    </row>
    <row r="96" spans="1:9">
      <c r="A96" t="s">
        <v>2597</v>
      </c>
      <c r="B96" t="s">
        <v>2598</v>
      </c>
      <c r="C96" t="s">
        <v>125</v>
      </c>
      <c r="D96" t="s">
        <v>126</v>
      </c>
      <c r="E96" t="s">
        <v>126</v>
      </c>
      <c r="F96" t="s">
        <v>126</v>
      </c>
      <c r="G96" t="s">
        <v>2260</v>
      </c>
      <c r="H96" t="s">
        <v>27</v>
      </c>
    </row>
    <row r="97" spans="1:9">
      <c r="A97" t="s">
        <v>2599</v>
      </c>
      <c r="B97" t="s">
        <v>2600</v>
      </c>
      <c r="C97" t="s">
        <v>139</v>
      </c>
      <c r="D97" t="s">
        <v>160</v>
      </c>
      <c r="E97" t="s">
        <v>155</v>
      </c>
      <c r="F97" t="s">
        <v>126</v>
      </c>
      <c r="G97" t="s">
        <v>2601</v>
      </c>
      <c r="H97" t="s">
        <v>27</v>
      </c>
      <c r="I97">
        <v>1</v>
      </c>
    </row>
    <row r="98" spans="1:9">
      <c r="A98" t="s">
        <v>2606</v>
      </c>
      <c r="B98" t="s">
        <v>2607</v>
      </c>
      <c r="C98" t="s">
        <v>42</v>
      </c>
      <c r="D98" t="s">
        <v>63</v>
      </c>
      <c r="E98" t="s">
        <v>126</v>
      </c>
      <c r="F98" t="s">
        <v>126</v>
      </c>
      <c r="G98" t="s">
        <v>2524</v>
      </c>
      <c r="H98" t="s">
        <v>27</v>
      </c>
    </row>
    <row r="99" spans="1:9">
      <c r="A99" t="s">
        <v>2611</v>
      </c>
      <c r="B99" t="s">
        <v>2612</v>
      </c>
      <c r="C99" t="s">
        <v>113</v>
      </c>
      <c r="D99" t="s">
        <v>135</v>
      </c>
      <c r="E99" t="s">
        <v>136</v>
      </c>
      <c r="F99" t="s">
        <v>126</v>
      </c>
      <c r="G99" t="s">
        <v>2613</v>
      </c>
      <c r="H99" t="s">
        <v>27</v>
      </c>
      <c r="I99">
        <v>1</v>
      </c>
    </row>
    <row r="100" spans="1:9">
      <c r="A100" t="s">
        <v>2624</v>
      </c>
      <c r="B100" t="s">
        <v>2625</v>
      </c>
      <c r="C100" t="s">
        <v>113</v>
      </c>
      <c r="D100" t="s">
        <v>136</v>
      </c>
      <c r="E100" t="s">
        <v>180</v>
      </c>
      <c r="F100" t="s">
        <v>126</v>
      </c>
      <c r="G100" t="s">
        <v>1798</v>
      </c>
      <c r="H100" t="s">
        <v>27</v>
      </c>
      <c r="I100">
        <v>1</v>
      </c>
    </row>
    <row r="101" spans="1:9">
      <c r="A101" t="s">
        <v>2628</v>
      </c>
      <c r="B101" t="s">
        <v>2629</v>
      </c>
      <c r="C101" t="s">
        <v>42</v>
      </c>
      <c r="D101" t="s">
        <v>135</v>
      </c>
      <c r="E101" t="s">
        <v>204</v>
      </c>
      <c r="F101" t="s">
        <v>126</v>
      </c>
      <c r="G101" t="s">
        <v>2630</v>
      </c>
      <c r="H101" t="s">
        <v>27</v>
      </c>
    </row>
    <row r="102" spans="1:9">
      <c r="A102" t="s">
        <v>2643</v>
      </c>
      <c r="B102" t="s">
        <v>2644</v>
      </c>
      <c r="C102" t="s">
        <v>113</v>
      </c>
      <c r="D102" t="s">
        <v>42</v>
      </c>
      <c r="E102" t="s">
        <v>160</v>
      </c>
      <c r="F102" t="s">
        <v>2645</v>
      </c>
      <c r="G102" t="s">
        <v>2366</v>
      </c>
      <c r="H102" t="s">
        <v>27</v>
      </c>
      <c r="I102">
        <v>1</v>
      </c>
    </row>
    <row r="103" spans="1:9">
      <c r="A103" t="s">
        <v>2647</v>
      </c>
      <c r="B103" t="s">
        <v>2648</v>
      </c>
      <c r="C103" t="s">
        <v>113</v>
      </c>
      <c r="D103" t="s">
        <v>42</v>
      </c>
      <c r="E103" t="s">
        <v>126</v>
      </c>
      <c r="G103" t="s">
        <v>2301</v>
      </c>
    </row>
    <row r="104" spans="1:9">
      <c r="A104" t="s">
        <v>2650</v>
      </c>
      <c r="B104" t="s">
        <v>2651</v>
      </c>
      <c r="C104" t="s">
        <v>125</v>
      </c>
      <c r="D104" t="s">
        <v>126</v>
      </c>
      <c r="E104" t="s">
        <v>126</v>
      </c>
      <c r="G104" t="s">
        <v>2652</v>
      </c>
    </row>
    <row r="105" spans="1:9">
      <c r="A105" t="s">
        <v>2654</v>
      </c>
      <c r="B105" t="s">
        <v>2655</v>
      </c>
      <c r="C105" t="s">
        <v>113</v>
      </c>
      <c r="D105" t="s">
        <v>180</v>
      </c>
      <c r="E105" t="s">
        <v>121</v>
      </c>
      <c r="G105" t="s">
        <v>2656</v>
      </c>
      <c r="I105">
        <v>3</v>
      </c>
    </row>
    <row r="106" spans="1:9">
      <c r="A106" t="s">
        <v>2666</v>
      </c>
      <c r="B106" t="s">
        <v>2667</v>
      </c>
      <c r="C106" t="s">
        <v>113</v>
      </c>
      <c r="D106" t="s">
        <v>42</v>
      </c>
      <c r="E106" t="s">
        <v>204</v>
      </c>
      <c r="G106" t="s">
        <v>2537</v>
      </c>
    </row>
    <row r="107" spans="1:9">
      <c r="A107" t="s">
        <v>2686</v>
      </c>
      <c r="B107" t="s">
        <v>2687</v>
      </c>
      <c r="C107" t="s">
        <v>113</v>
      </c>
      <c r="D107" t="s">
        <v>63</v>
      </c>
      <c r="E107" t="s">
        <v>172</v>
      </c>
      <c r="G107" t="s">
        <v>2002</v>
      </c>
    </row>
    <row r="108" spans="1:9">
      <c r="A108" t="s">
        <v>2692</v>
      </c>
      <c r="B108" t="s">
        <v>2693</v>
      </c>
      <c r="C108" t="s">
        <v>125</v>
      </c>
      <c r="D108" t="s">
        <v>126</v>
      </c>
      <c r="E108" t="s">
        <v>126</v>
      </c>
      <c r="G108" t="s">
        <v>2694</v>
      </c>
    </row>
    <row r="109" spans="1:9">
      <c r="A109" t="s">
        <v>2696</v>
      </c>
      <c r="B109" t="s">
        <v>2697</v>
      </c>
      <c r="C109" t="s">
        <v>135</v>
      </c>
      <c r="D109" t="s">
        <v>136</v>
      </c>
      <c r="E109" t="s">
        <v>121</v>
      </c>
      <c r="G109" t="s">
        <v>2698</v>
      </c>
      <c r="I109">
        <v>1</v>
      </c>
    </row>
    <row r="110" spans="1:9">
      <c r="A110" t="s">
        <v>2702</v>
      </c>
      <c r="B110" t="s">
        <v>2703</v>
      </c>
      <c r="C110" t="s">
        <v>125</v>
      </c>
      <c r="D110" t="s">
        <v>126</v>
      </c>
      <c r="E110" t="s">
        <v>126</v>
      </c>
      <c r="G110" t="s">
        <v>2519</v>
      </c>
    </row>
    <row r="111" spans="1:9">
      <c r="A111" t="s">
        <v>2710</v>
      </c>
      <c r="B111" t="s">
        <v>2711</v>
      </c>
      <c r="C111" t="s">
        <v>113</v>
      </c>
      <c r="D111" t="s">
        <v>154</v>
      </c>
      <c r="E111" t="s">
        <v>511</v>
      </c>
      <c r="G111" t="s">
        <v>2712</v>
      </c>
      <c r="I111">
        <v>4</v>
      </c>
    </row>
    <row r="112" spans="1:9">
      <c r="A112" t="s">
        <v>2713</v>
      </c>
      <c r="B112" t="s">
        <v>2714</v>
      </c>
      <c r="C112" t="s">
        <v>113</v>
      </c>
      <c r="D112" t="s">
        <v>139</v>
      </c>
      <c r="E112" t="s">
        <v>233</v>
      </c>
      <c r="G112" t="s">
        <v>2715</v>
      </c>
      <c r="I112">
        <v>2</v>
      </c>
    </row>
    <row r="113" spans="1:9">
      <c r="A113" t="s">
        <v>2718</v>
      </c>
      <c r="B113" t="s">
        <v>2719</v>
      </c>
      <c r="C113" t="s">
        <v>113</v>
      </c>
      <c r="D113" t="s">
        <v>208</v>
      </c>
      <c r="E113" t="s">
        <v>797</v>
      </c>
      <c r="G113" t="s">
        <v>1690</v>
      </c>
    </row>
    <row r="114" spans="1:9">
      <c r="A114" t="s">
        <v>2743</v>
      </c>
      <c r="B114" t="s">
        <v>2744</v>
      </c>
      <c r="C114" t="s">
        <v>113</v>
      </c>
      <c r="D114" t="s">
        <v>272</v>
      </c>
      <c r="E114" t="s">
        <v>154</v>
      </c>
      <c r="G114" t="s">
        <v>2366</v>
      </c>
      <c r="I114">
        <v>1</v>
      </c>
    </row>
    <row r="115" spans="1:9">
      <c r="A115" t="s">
        <v>2748</v>
      </c>
      <c r="B115" t="s">
        <v>2749</v>
      </c>
      <c r="C115" t="s">
        <v>113</v>
      </c>
      <c r="D115" t="s">
        <v>233</v>
      </c>
      <c r="E115" t="s">
        <v>511</v>
      </c>
      <c r="G115" t="s">
        <v>1929</v>
      </c>
      <c r="I115">
        <v>3</v>
      </c>
    </row>
    <row r="116" spans="1:9">
      <c r="A116" t="s">
        <v>2754</v>
      </c>
      <c r="B116" t="s">
        <v>2755</v>
      </c>
      <c r="C116" t="s">
        <v>113</v>
      </c>
      <c r="D116" t="s">
        <v>233</v>
      </c>
      <c r="E116" t="s">
        <v>126</v>
      </c>
      <c r="G116" t="s">
        <v>2756</v>
      </c>
    </row>
    <row r="117" spans="1:9">
      <c r="A117" t="s">
        <v>2762</v>
      </c>
      <c r="B117" t="s">
        <v>2763</v>
      </c>
      <c r="C117" t="s">
        <v>126</v>
      </c>
      <c r="D117" t="s">
        <v>126</v>
      </c>
      <c r="E117" t="s">
        <v>126</v>
      </c>
      <c r="G117" t="s">
        <v>2641</v>
      </c>
    </row>
    <row r="118" spans="1:9">
      <c r="A118" t="s">
        <v>2766</v>
      </c>
      <c r="B118" t="s">
        <v>2767</v>
      </c>
      <c r="C118" t="s">
        <v>126</v>
      </c>
      <c r="D118" t="s">
        <v>126</v>
      </c>
      <c r="E118" t="s">
        <v>126</v>
      </c>
      <c r="G118" t="s">
        <v>2768</v>
      </c>
    </row>
    <row r="119" spans="1:9">
      <c r="A119" t="s">
        <v>2770</v>
      </c>
      <c r="B119" t="s">
        <v>2771</v>
      </c>
      <c r="C119" t="s">
        <v>125</v>
      </c>
      <c r="D119" t="s">
        <v>126</v>
      </c>
      <c r="E119" t="s">
        <v>126</v>
      </c>
      <c r="G119" t="s">
        <v>2726</v>
      </c>
    </row>
    <row r="120" spans="1:9">
      <c r="A120" t="s">
        <v>2773</v>
      </c>
      <c r="B120" t="s">
        <v>2774</v>
      </c>
      <c r="C120" t="s">
        <v>113</v>
      </c>
      <c r="D120" t="s">
        <v>154</v>
      </c>
      <c r="E120" t="s">
        <v>126</v>
      </c>
      <c r="G120" t="s">
        <v>2587</v>
      </c>
    </row>
    <row r="121" spans="1:9">
      <c r="A121" t="s">
        <v>2778</v>
      </c>
      <c r="B121" t="s">
        <v>2779</v>
      </c>
      <c r="C121" t="s">
        <v>121</v>
      </c>
      <c r="D121" t="s">
        <v>184</v>
      </c>
      <c r="E121" t="s">
        <v>83</v>
      </c>
      <c r="G121" t="s">
        <v>2780</v>
      </c>
    </row>
    <row r="122" spans="1:9">
      <c r="A122" t="s">
        <v>2782</v>
      </c>
      <c r="B122" t="s">
        <v>2783</v>
      </c>
      <c r="C122" t="s">
        <v>125</v>
      </c>
      <c r="D122" t="s">
        <v>126</v>
      </c>
      <c r="E122" t="s">
        <v>126</v>
      </c>
      <c r="G122" t="s">
        <v>2784</v>
      </c>
    </row>
    <row r="123" spans="1:9">
      <c r="A123" t="s">
        <v>2790</v>
      </c>
      <c r="B123" t="s">
        <v>2791</v>
      </c>
      <c r="C123" t="s">
        <v>125</v>
      </c>
      <c r="D123" t="s">
        <v>126</v>
      </c>
      <c r="E123" t="s">
        <v>126</v>
      </c>
      <c r="G123" t="s">
        <v>1733</v>
      </c>
    </row>
    <row r="124" spans="1:9">
      <c r="A124" t="s">
        <v>2792</v>
      </c>
      <c r="B124" t="s">
        <v>2793</v>
      </c>
      <c r="C124" t="s">
        <v>126</v>
      </c>
      <c r="D124" t="s">
        <v>126</v>
      </c>
      <c r="E124" t="s">
        <v>126</v>
      </c>
      <c r="G124" t="s">
        <v>1953</v>
      </c>
    </row>
    <row r="125" spans="1:9">
      <c r="A125" t="s">
        <v>2794</v>
      </c>
      <c r="B125" t="s">
        <v>2795</v>
      </c>
      <c r="C125" t="s">
        <v>126</v>
      </c>
      <c r="D125" t="s">
        <v>126</v>
      </c>
      <c r="E125" t="s">
        <v>126</v>
      </c>
      <c r="G125" t="s">
        <v>2345</v>
      </c>
    </row>
    <row r="126" spans="1:9">
      <c r="A126" t="s">
        <v>2796</v>
      </c>
      <c r="B126" t="s">
        <v>2797</v>
      </c>
      <c r="C126" t="s">
        <v>126</v>
      </c>
      <c r="D126" t="s">
        <v>126</v>
      </c>
      <c r="E126" t="s">
        <v>126</v>
      </c>
      <c r="G126" t="s">
        <v>2798</v>
      </c>
    </row>
    <row r="127" spans="1:9">
      <c r="A127" t="s">
        <v>2799</v>
      </c>
      <c r="B127" t="s">
        <v>2800</v>
      </c>
      <c r="C127" t="s">
        <v>511</v>
      </c>
      <c r="D127" t="s">
        <v>135</v>
      </c>
      <c r="E127" t="s">
        <v>204</v>
      </c>
      <c r="G127" t="s">
        <v>1951</v>
      </c>
    </row>
    <row r="128" spans="1:9">
      <c r="A128" t="s">
        <v>2801</v>
      </c>
      <c r="B128" t="s">
        <v>2802</v>
      </c>
      <c r="C128" t="s">
        <v>126</v>
      </c>
      <c r="D128" t="s">
        <v>126</v>
      </c>
      <c r="E128" t="s">
        <v>126</v>
      </c>
      <c r="G128" t="s">
        <v>2803</v>
      </c>
    </row>
    <row r="129" spans="1:9">
      <c r="A129" t="s">
        <v>2804</v>
      </c>
      <c r="B129" t="s">
        <v>2805</v>
      </c>
      <c r="C129" t="s">
        <v>113</v>
      </c>
      <c r="D129" t="s">
        <v>176</v>
      </c>
      <c r="E129" t="s">
        <v>65</v>
      </c>
      <c r="G129" t="s">
        <v>2297</v>
      </c>
    </row>
    <row r="130" spans="1:9">
      <c r="A130" t="s">
        <v>2806</v>
      </c>
      <c r="B130" t="s">
        <v>2807</v>
      </c>
      <c r="C130" t="s">
        <v>113</v>
      </c>
      <c r="D130" t="s">
        <v>154</v>
      </c>
      <c r="E130" t="s">
        <v>172</v>
      </c>
      <c r="G130" t="s">
        <v>2568</v>
      </c>
      <c r="I130">
        <v>1</v>
      </c>
    </row>
    <row r="131" spans="1:9">
      <c r="A131" t="s">
        <v>2808</v>
      </c>
      <c r="B131" t="s">
        <v>2809</v>
      </c>
      <c r="C131" t="s">
        <v>113</v>
      </c>
      <c r="D131" t="s">
        <v>233</v>
      </c>
      <c r="E131" t="s">
        <v>272</v>
      </c>
      <c r="G131" t="s">
        <v>2810</v>
      </c>
      <c r="I131">
        <v>3</v>
      </c>
    </row>
    <row r="132" spans="1:9">
      <c r="A132" t="s">
        <v>2811</v>
      </c>
      <c r="B132" t="s">
        <v>2812</v>
      </c>
      <c r="C132" t="s">
        <v>233</v>
      </c>
      <c r="D132" t="s">
        <v>42</v>
      </c>
      <c r="E132" t="s">
        <v>263</v>
      </c>
      <c r="G132" t="s">
        <v>2813</v>
      </c>
    </row>
    <row r="133" spans="1:9">
      <c r="A133" t="s">
        <v>2814</v>
      </c>
      <c r="B133" t="s">
        <v>2815</v>
      </c>
      <c r="C133" t="s">
        <v>113</v>
      </c>
      <c r="D133" t="s">
        <v>300</v>
      </c>
      <c r="E133" t="s">
        <v>156</v>
      </c>
      <c r="G133" t="s">
        <v>2031</v>
      </c>
    </row>
    <row r="134" spans="1:9">
      <c r="A134" t="s">
        <v>2816</v>
      </c>
      <c r="B134" t="s">
        <v>2817</v>
      </c>
      <c r="C134" t="s">
        <v>233</v>
      </c>
      <c r="D134" t="s">
        <v>263</v>
      </c>
      <c r="E134" t="s">
        <v>126</v>
      </c>
      <c r="G134" t="s">
        <v>1721</v>
      </c>
    </row>
    <row r="135" spans="1:9">
      <c r="A135" t="s">
        <v>2818</v>
      </c>
      <c r="B135" t="s">
        <v>2819</v>
      </c>
      <c r="C135" t="s">
        <v>113</v>
      </c>
      <c r="D135" t="s">
        <v>233</v>
      </c>
      <c r="E135" t="s">
        <v>154</v>
      </c>
      <c r="G135" t="s">
        <v>2431</v>
      </c>
      <c r="I135">
        <v>1</v>
      </c>
    </row>
    <row r="136" spans="1:9">
      <c r="A136" t="s">
        <v>2820</v>
      </c>
      <c r="B136" t="s">
        <v>2821</v>
      </c>
      <c r="C136" t="s">
        <v>113</v>
      </c>
      <c r="D136" t="s">
        <v>42</v>
      </c>
      <c r="E136" t="s">
        <v>208</v>
      </c>
      <c r="G136" t="s">
        <v>2822</v>
      </c>
      <c r="I136">
        <v>2</v>
      </c>
    </row>
    <row r="137" spans="1:9">
      <c r="A137" t="s">
        <v>2823</v>
      </c>
      <c r="B137" t="s">
        <v>2824</v>
      </c>
      <c r="C137" t="s">
        <v>125</v>
      </c>
      <c r="D137" t="s">
        <v>126</v>
      </c>
      <c r="E137" t="s">
        <v>126</v>
      </c>
      <c r="G137" t="s">
        <v>2825</v>
      </c>
    </row>
    <row r="138" spans="1:9">
      <c r="A138" t="s">
        <v>2826</v>
      </c>
      <c r="B138" t="s">
        <v>2827</v>
      </c>
      <c r="C138" t="s">
        <v>125</v>
      </c>
      <c r="D138" t="s">
        <v>126</v>
      </c>
      <c r="E138" t="s">
        <v>126</v>
      </c>
      <c r="G138" t="s">
        <v>2828</v>
      </c>
    </row>
    <row r="139" spans="1:9">
      <c r="A139" t="s">
        <v>2829</v>
      </c>
      <c r="B139" t="s">
        <v>2830</v>
      </c>
      <c r="C139" t="s">
        <v>125</v>
      </c>
      <c r="D139" t="s">
        <v>126</v>
      </c>
      <c r="E139" t="s">
        <v>126</v>
      </c>
      <c r="G139" t="s">
        <v>2831</v>
      </c>
    </row>
    <row r="140" spans="1:9">
      <c r="A140" t="s">
        <v>2832</v>
      </c>
      <c r="B140" t="s">
        <v>2833</v>
      </c>
      <c r="C140" t="s">
        <v>113</v>
      </c>
      <c r="D140" t="s">
        <v>233</v>
      </c>
      <c r="E140" t="s">
        <v>300</v>
      </c>
      <c r="G140" t="s">
        <v>2834</v>
      </c>
      <c r="I140">
        <v>1</v>
      </c>
    </row>
    <row r="141" spans="1:9">
      <c r="A141" t="s">
        <v>2835</v>
      </c>
      <c r="B141" t="s">
        <v>2836</v>
      </c>
      <c r="C141" t="s">
        <v>113</v>
      </c>
      <c r="D141" t="s">
        <v>42</v>
      </c>
      <c r="E141" t="s">
        <v>126</v>
      </c>
      <c r="G141" t="s">
        <v>2768</v>
      </c>
    </row>
    <row r="142" spans="1:9">
      <c r="A142" t="s">
        <v>2837</v>
      </c>
      <c r="B142" t="s">
        <v>2838</v>
      </c>
      <c r="C142" t="s">
        <v>113</v>
      </c>
      <c r="D142" t="s">
        <v>209</v>
      </c>
      <c r="E142" t="s">
        <v>647</v>
      </c>
      <c r="G142" t="s">
        <v>2839</v>
      </c>
      <c r="I142">
        <v>2</v>
      </c>
    </row>
    <row r="143" spans="1:9">
      <c r="A143" t="s">
        <v>2840</v>
      </c>
      <c r="B143" t="s">
        <v>2841</v>
      </c>
      <c r="C143" t="s">
        <v>125</v>
      </c>
      <c r="D143" t="s">
        <v>126</v>
      </c>
      <c r="E143" t="s">
        <v>126</v>
      </c>
      <c r="G143" t="s">
        <v>2842</v>
      </c>
    </row>
    <row r="144" spans="1:9">
      <c r="A144" t="s">
        <v>2843</v>
      </c>
      <c r="B144" t="s">
        <v>2844</v>
      </c>
      <c r="C144" t="s">
        <v>125</v>
      </c>
      <c r="D144" t="s">
        <v>126</v>
      </c>
      <c r="E144" t="s">
        <v>126</v>
      </c>
      <c r="G144" t="s">
        <v>2845</v>
      </c>
    </row>
    <row r="145" spans="1:9">
      <c r="A145" t="s">
        <v>2846</v>
      </c>
      <c r="B145" t="s">
        <v>2847</v>
      </c>
      <c r="C145" t="s">
        <v>125</v>
      </c>
      <c r="D145" t="s">
        <v>126</v>
      </c>
      <c r="E145" t="s">
        <v>126</v>
      </c>
      <c r="G145" t="s">
        <v>1781</v>
      </c>
    </row>
    <row r="146" spans="1:9">
      <c r="A146" t="s">
        <v>2848</v>
      </c>
      <c r="B146" t="s">
        <v>2849</v>
      </c>
      <c r="C146" t="s">
        <v>125</v>
      </c>
      <c r="D146" t="s">
        <v>126</v>
      </c>
      <c r="E146" t="s">
        <v>126</v>
      </c>
      <c r="G146" t="s">
        <v>2106</v>
      </c>
    </row>
    <row r="147" spans="1:9">
      <c r="A147" t="s">
        <v>2850</v>
      </c>
      <c r="B147" t="s">
        <v>2851</v>
      </c>
      <c r="C147" t="s">
        <v>117</v>
      </c>
      <c r="D147" t="s">
        <v>63</v>
      </c>
      <c r="E147" t="s">
        <v>172</v>
      </c>
      <c r="G147" t="s">
        <v>2160</v>
      </c>
      <c r="I147">
        <v>1</v>
      </c>
    </row>
    <row r="148" spans="1:9">
      <c r="A148" t="s">
        <v>2852</v>
      </c>
      <c r="B148" t="s">
        <v>2853</v>
      </c>
      <c r="C148" t="s">
        <v>125</v>
      </c>
      <c r="D148" t="s">
        <v>126</v>
      </c>
      <c r="E148" t="s">
        <v>126</v>
      </c>
      <c r="G148" t="s">
        <v>2421</v>
      </c>
    </row>
    <row r="149" spans="1:9">
      <c r="A149" t="s">
        <v>2854</v>
      </c>
      <c r="B149" t="s">
        <v>2855</v>
      </c>
      <c r="C149" t="s">
        <v>139</v>
      </c>
      <c r="D149" t="s">
        <v>117</v>
      </c>
      <c r="E149" t="s">
        <v>154</v>
      </c>
      <c r="G149" t="s">
        <v>2444</v>
      </c>
      <c r="I149">
        <v>1</v>
      </c>
    </row>
    <row r="150" spans="1:9">
      <c r="A150" t="s">
        <v>2856</v>
      </c>
      <c r="B150" t="s">
        <v>2857</v>
      </c>
      <c r="C150" t="s">
        <v>113</v>
      </c>
      <c r="D150" t="s">
        <v>82</v>
      </c>
      <c r="E150" t="s">
        <v>176</v>
      </c>
      <c r="G150" t="s">
        <v>2858</v>
      </c>
    </row>
    <row r="151" spans="1:9">
      <c r="A151" t="s">
        <v>2859</v>
      </c>
      <c r="B151" t="s">
        <v>2860</v>
      </c>
      <c r="C151" t="s">
        <v>125</v>
      </c>
      <c r="D151" t="s">
        <v>126</v>
      </c>
      <c r="E151" t="s">
        <v>126</v>
      </c>
      <c r="G151" t="s">
        <v>1927</v>
      </c>
    </row>
    <row r="152" spans="1:9">
      <c r="A152" t="s">
        <v>2861</v>
      </c>
      <c r="B152" t="s">
        <v>2862</v>
      </c>
      <c r="C152" t="s">
        <v>125</v>
      </c>
      <c r="D152" t="s">
        <v>126</v>
      </c>
      <c r="E152" t="s">
        <v>126</v>
      </c>
      <c r="G152" t="s">
        <v>1861</v>
      </c>
    </row>
    <row r="153" spans="1:9">
      <c r="A153" t="s">
        <v>2863</v>
      </c>
      <c r="B153" t="s">
        <v>2864</v>
      </c>
      <c r="C153" t="s">
        <v>125</v>
      </c>
      <c r="D153" t="s">
        <v>126</v>
      </c>
      <c r="E153" t="s">
        <v>126</v>
      </c>
      <c r="G153" t="s">
        <v>1765</v>
      </c>
    </row>
    <row r="154" spans="1:9">
      <c r="A154" t="s">
        <v>2865</v>
      </c>
      <c r="B154" t="s">
        <v>2866</v>
      </c>
      <c r="C154" t="s">
        <v>113</v>
      </c>
      <c r="D154" t="s">
        <v>154</v>
      </c>
      <c r="E154" t="s">
        <v>126</v>
      </c>
      <c r="G154" t="s">
        <v>2690</v>
      </c>
    </row>
    <row r="155" spans="1:9">
      <c r="A155" t="s">
        <v>2867</v>
      </c>
      <c r="B155" t="s">
        <v>2868</v>
      </c>
      <c r="C155" t="s">
        <v>125</v>
      </c>
      <c r="D155" t="s">
        <v>126</v>
      </c>
      <c r="E155" t="s">
        <v>126</v>
      </c>
      <c r="G155" t="s">
        <v>2545</v>
      </c>
    </row>
    <row r="156" spans="1:9">
      <c r="A156" t="s">
        <v>2869</v>
      </c>
      <c r="B156" t="s">
        <v>2870</v>
      </c>
      <c r="C156" t="s">
        <v>125</v>
      </c>
      <c r="D156" t="s">
        <v>126</v>
      </c>
      <c r="E156" t="s">
        <v>126</v>
      </c>
      <c r="G156" t="s">
        <v>2150</v>
      </c>
    </row>
    <row r="157" spans="1:9">
      <c r="A157" t="s">
        <v>2871</v>
      </c>
      <c r="B157" t="s">
        <v>2872</v>
      </c>
      <c r="C157" t="s">
        <v>113</v>
      </c>
      <c r="D157" t="s">
        <v>42</v>
      </c>
      <c r="E157" t="s">
        <v>126</v>
      </c>
      <c r="G157" t="s">
        <v>2111</v>
      </c>
    </row>
    <row r="158" spans="1:9">
      <c r="A158" t="s">
        <v>2873</v>
      </c>
      <c r="B158" t="s">
        <v>2874</v>
      </c>
      <c r="C158" t="s">
        <v>113</v>
      </c>
      <c r="D158" t="s">
        <v>139</v>
      </c>
      <c r="E158" t="s">
        <v>117</v>
      </c>
      <c r="G158" t="s">
        <v>2376</v>
      </c>
      <c r="I158">
        <v>3</v>
      </c>
    </row>
    <row r="159" spans="1:9">
      <c r="A159" t="s">
        <v>2875</v>
      </c>
      <c r="B159" t="s">
        <v>2876</v>
      </c>
      <c r="C159" t="s">
        <v>113</v>
      </c>
      <c r="D159" t="s">
        <v>139</v>
      </c>
      <c r="E159" t="s">
        <v>42</v>
      </c>
      <c r="G159" t="s">
        <v>1916</v>
      </c>
    </row>
    <row r="160" spans="1:9">
      <c r="A160" t="s">
        <v>2877</v>
      </c>
      <c r="B160" t="s">
        <v>2878</v>
      </c>
      <c r="C160" t="s">
        <v>135</v>
      </c>
      <c r="D160" t="s">
        <v>136</v>
      </c>
      <c r="E160" t="s">
        <v>126</v>
      </c>
      <c r="G160" t="s">
        <v>1742</v>
      </c>
    </row>
    <row r="161" spans="1:9">
      <c r="A161" t="s">
        <v>2879</v>
      </c>
      <c r="B161" t="s">
        <v>2880</v>
      </c>
      <c r="C161" t="s">
        <v>139</v>
      </c>
      <c r="D161" t="s">
        <v>117</v>
      </c>
      <c r="E161" t="s">
        <v>209</v>
      </c>
      <c r="G161" t="s">
        <v>2881</v>
      </c>
    </row>
    <row r="162" spans="1:9">
      <c r="A162" t="s">
        <v>2882</v>
      </c>
      <c r="B162" t="s">
        <v>2883</v>
      </c>
      <c r="C162" t="s">
        <v>113</v>
      </c>
      <c r="D162" t="s">
        <v>160</v>
      </c>
      <c r="E162" t="s">
        <v>65</v>
      </c>
      <c r="G162" t="s">
        <v>2046</v>
      </c>
      <c r="I162">
        <v>1</v>
      </c>
    </row>
    <row r="163" spans="1:9">
      <c r="A163" t="s">
        <v>2884</v>
      </c>
      <c r="B163" t="s">
        <v>2885</v>
      </c>
      <c r="C163" t="s">
        <v>125</v>
      </c>
      <c r="D163" t="s">
        <v>126</v>
      </c>
      <c r="E163" t="s">
        <v>126</v>
      </c>
      <c r="G163" t="s">
        <v>2886</v>
      </c>
    </row>
    <row r="164" spans="1:9">
      <c r="A164" t="s">
        <v>2887</v>
      </c>
      <c r="B164" t="s">
        <v>2888</v>
      </c>
      <c r="C164" t="s">
        <v>139</v>
      </c>
      <c r="D164" t="s">
        <v>154</v>
      </c>
      <c r="E164" t="s">
        <v>155</v>
      </c>
      <c r="G164" t="s">
        <v>1790</v>
      </c>
      <c r="I164">
        <v>4</v>
      </c>
    </row>
    <row r="165" spans="1:9">
      <c r="A165" t="s">
        <v>2889</v>
      </c>
      <c r="B165" t="s">
        <v>2890</v>
      </c>
      <c r="C165" t="s">
        <v>113</v>
      </c>
      <c r="D165" t="s">
        <v>136</v>
      </c>
      <c r="E165" t="s">
        <v>147</v>
      </c>
      <c r="G165" t="s">
        <v>2265</v>
      </c>
    </row>
    <row r="166" spans="1:9">
      <c r="A166" t="s">
        <v>2891</v>
      </c>
      <c r="B166" t="s">
        <v>2892</v>
      </c>
      <c r="C166" t="s">
        <v>125</v>
      </c>
      <c r="D166" t="s">
        <v>126</v>
      </c>
      <c r="E166" t="s">
        <v>126</v>
      </c>
      <c r="G166" t="s">
        <v>2893</v>
      </c>
    </row>
    <row r="167" spans="1:9">
      <c r="A167" t="s">
        <v>2894</v>
      </c>
      <c r="B167" t="s">
        <v>2895</v>
      </c>
      <c r="C167" t="s">
        <v>113</v>
      </c>
      <c r="D167" t="s">
        <v>136</v>
      </c>
      <c r="E167" t="s">
        <v>121</v>
      </c>
      <c r="G167" t="s">
        <v>1908</v>
      </c>
    </row>
    <row r="168" spans="1:9">
      <c r="A168" t="s">
        <v>2896</v>
      </c>
      <c r="B168" t="s">
        <v>2897</v>
      </c>
      <c r="C168" t="s">
        <v>125</v>
      </c>
      <c r="D168" t="s">
        <v>126</v>
      </c>
      <c r="E168" t="s">
        <v>126</v>
      </c>
      <c r="G168" t="s">
        <v>1886</v>
      </c>
    </row>
    <row r="169" spans="1:9">
      <c r="A169" t="s">
        <v>2898</v>
      </c>
      <c r="B169" t="s">
        <v>2899</v>
      </c>
      <c r="C169" t="s">
        <v>125</v>
      </c>
      <c r="D169" t="s">
        <v>126</v>
      </c>
      <c r="E169" t="s">
        <v>126</v>
      </c>
      <c r="G169" t="s">
        <v>2086</v>
      </c>
    </row>
    <row r="170" spans="1:9">
      <c r="A170" t="s">
        <v>2900</v>
      </c>
      <c r="B170" t="s">
        <v>2901</v>
      </c>
      <c r="C170" t="s">
        <v>272</v>
      </c>
      <c r="D170" t="s">
        <v>117</v>
      </c>
      <c r="E170" t="s">
        <v>126</v>
      </c>
      <c r="G170" t="s">
        <v>1796</v>
      </c>
    </row>
    <row r="171" spans="1:9">
      <c r="A171" t="s">
        <v>2902</v>
      </c>
      <c r="B171" t="s">
        <v>2903</v>
      </c>
      <c r="C171" t="s">
        <v>113</v>
      </c>
      <c r="D171" t="s">
        <v>139</v>
      </c>
      <c r="E171" t="s">
        <v>233</v>
      </c>
      <c r="G171" t="s">
        <v>1729</v>
      </c>
      <c r="I171">
        <v>1</v>
      </c>
    </row>
    <row r="172" spans="1:9" hidden="1">
      <c r="A172" t="s">
        <v>2904</v>
      </c>
      <c r="B172" t="s">
        <v>1561</v>
      </c>
      <c r="C172" t="s">
        <v>113</v>
      </c>
      <c r="D172" t="s">
        <v>42</v>
      </c>
      <c r="E172" t="s">
        <v>204</v>
      </c>
      <c r="G172" t="s">
        <v>2905</v>
      </c>
    </row>
    <row r="173" spans="1:9" hidden="1">
      <c r="A173" t="s">
        <v>2906</v>
      </c>
      <c r="B173" t="s">
        <v>1234</v>
      </c>
      <c r="C173" t="s">
        <v>233</v>
      </c>
      <c r="D173" t="s">
        <v>42</v>
      </c>
      <c r="E173" t="s">
        <v>217</v>
      </c>
      <c r="G173" t="s">
        <v>2742</v>
      </c>
    </row>
    <row r="174" spans="1:9">
      <c r="A174" t="s">
        <v>2859</v>
      </c>
      <c r="B174" t="s">
        <v>2860</v>
      </c>
      <c r="C174" t="s">
        <v>125</v>
      </c>
      <c r="D174" t="s">
        <v>126</v>
      </c>
      <c r="E174" t="s">
        <v>126</v>
      </c>
      <c r="G174" t="s">
        <v>1927</v>
      </c>
    </row>
    <row r="175" spans="1:9" hidden="1">
      <c r="A175" t="s">
        <v>2907</v>
      </c>
      <c r="B175" t="s">
        <v>1639</v>
      </c>
      <c r="C175" t="s">
        <v>113</v>
      </c>
      <c r="D175" t="s">
        <v>154</v>
      </c>
      <c r="E175" t="s">
        <v>300</v>
      </c>
      <c r="G175" t="s">
        <v>2908</v>
      </c>
      <c r="I175">
        <v>1</v>
      </c>
    </row>
    <row r="176" spans="1:9" hidden="1">
      <c r="A176" t="s">
        <v>2909</v>
      </c>
      <c r="B176" t="s">
        <v>1637</v>
      </c>
      <c r="C176" t="s">
        <v>113</v>
      </c>
      <c r="D176" t="s">
        <v>511</v>
      </c>
      <c r="E176" t="s">
        <v>204</v>
      </c>
      <c r="G176" t="s">
        <v>2910</v>
      </c>
    </row>
    <row r="177" spans="1:9" hidden="1">
      <c r="A177" t="s">
        <v>2911</v>
      </c>
      <c r="B177" t="s">
        <v>1429</v>
      </c>
      <c r="C177" t="s">
        <v>113</v>
      </c>
      <c r="D177" t="s">
        <v>154</v>
      </c>
      <c r="E177" t="s">
        <v>82</v>
      </c>
      <c r="G177" t="s">
        <v>2912</v>
      </c>
      <c r="I177">
        <v>1</v>
      </c>
    </row>
    <row r="178" spans="1:9" hidden="1">
      <c r="A178" t="s">
        <v>2913</v>
      </c>
      <c r="B178" t="s">
        <v>1542</v>
      </c>
      <c r="C178" t="s">
        <v>113</v>
      </c>
      <c r="D178" t="s">
        <v>139</v>
      </c>
      <c r="E178" t="s">
        <v>42</v>
      </c>
      <c r="G178" t="s">
        <v>2914</v>
      </c>
    </row>
    <row r="179" spans="1:9" hidden="1">
      <c r="A179" t="s">
        <v>2915</v>
      </c>
      <c r="B179" t="s">
        <v>1589</v>
      </c>
      <c r="C179" t="s">
        <v>113</v>
      </c>
      <c r="D179" t="s">
        <v>42</v>
      </c>
      <c r="E179" t="s">
        <v>82</v>
      </c>
      <c r="G179" t="s">
        <v>2916</v>
      </c>
    </row>
    <row r="180" spans="1:9" hidden="1">
      <c r="A180" t="s">
        <v>2917</v>
      </c>
      <c r="B180" t="s">
        <v>1509</v>
      </c>
      <c r="C180" t="s">
        <v>113</v>
      </c>
      <c r="D180" t="s">
        <v>300</v>
      </c>
      <c r="E180" t="s">
        <v>156</v>
      </c>
      <c r="G180" t="s">
        <v>2558</v>
      </c>
    </row>
    <row r="181" spans="1:9">
      <c r="A181" t="s">
        <v>2861</v>
      </c>
      <c r="B181" t="s">
        <v>2862</v>
      </c>
      <c r="C181" t="s">
        <v>125</v>
      </c>
      <c r="D181" t="s">
        <v>126</v>
      </c>
      <c r="E181" t="s">
        <v>126</v>
      </c>
      <c r="G181" t="s">
        <v>1861</v>
      </c>
    </row>
    <row r="182" spans="1:9" hidden="1">
      <c r="A182" t="s">
        <v>2918</v>
      </c>
      <c r="B182" t="s">
        <v>1334</v>
      </c>
      <c r="C182" t="s">
        <v>113</v>
      </c>
      <c r="D182" t="s">
        <v>42</v>
      </c>
      <c r="E182" t="s">
        <v>126</v>
      </c>
      <c r="G182" t="s">
        <v>2919</v>
      </c>
    </row>
    <row r="183" spans="1:9" hidden="1">
      <c r="A183" t="s">
        <v>2920</v>
      </c>
      <c r="B183" t="s">
        <v>1243</v>
      </c>
      <c r="C183" t="s">
        <v>113</v>
      </c>
      <c r="D183" t="s">
        <v>65</v>
      </c>
      <c r="E183" t="s">
        <v>959</v>
      </c>
      <c r="G183" t="s">
        <v>2603</v>
      </c>
    </row>
    <row r="184" spans="1:9" hidden="1">
      <c r="A184" t="s">
        <v>2921</v>
      </c>
      <c r="B184" t="s">
        <v>438</v>
      </c>
      <c r="C184" t="s">
        <v>135</v>
      </c>
      <c r="D184" t="s">
        <v>136</v>
      </c>
      <c r="E184" t="s">
        <v>204</v>
      </c>
      <c r="G184" t="s">
        <v>2922</v>
      </c>
    </row>
    <row r="185" spans="1:9" hidden="1">
      <c r="A185" t="s">
        <v>2923</v>
      </c>
      <c r="B185" t="s">
        <v>1316</v>
      </c>
      <c r="C185" t="s">
        <v>113</v>
      </c>
      <c r="D185" t="s">
        <v>154</v>
      </c>
      <c r="E185" t="s">
        <v>82</v>
      </c>
      <c r="G185" t="s">
        <v>2924</v>
      </c>
      <c r="I185">
        <v>1</v>
      </c>
    </row>
    <row r="186" spans="1:9" hidden="1">
      <c r="A186" t="s">
        <v>2925</v>
      </c>
      <c r="B186" t="s">
        <v>1599</v>
      </c>
      <c r="C186" t="s">
        <v>113</v>
      </c>
      <c r="D186" t="s">
        <v>117</v>
      </c>
      <c r="E186" t="s">
        <v>42</v>
      </c>
      <c r="G186" t="s">
        <v>2926</v>
      </c>
      <c r="I186">
        <v>1</v>
      </c>
    </row>
    <row r="187" spans="1:9">
      <c r="A187" t="s">
        <v>2863</v>
      </c>
      <c r="B187" t="s">
        <v>2864</v>
      </c>
      <c r="C187" t="s">
        <v>125</v>
      </c>
      <c r="D187" t="s">
        <v>126</v>
      </c>
      <c r="E187" t="s">
        <v>126</v>
      </c>
      <c r="G187" t="s">
        <v>1765</v>
      </c>
    </row>
    <row r="188" spans="1:9" hidden="1">
      <c r="A188" t="s">
        <v>2927</v>
      </c>
      <c r="B188" t="s">
        <v>525</v>
      </c>
      <c r="C188" t="s">
        <v>113</v>
      </c>
      <c r="D188" t="s">
        <v>63</v>
      </c>
      <c r="E188" t="s">
        <v>172</v>
      </c>
      <c r="G188" t="s">
        <v>2928</v>
      </c>
    </row>
    <row r="189" spans="1:9" hidden="1">
      <c r="A189" t="s">
        <v>2929</v>
      </c>
      <c r="B189" t="s">
        <v>1536</v>
      </c>
      <c r="C189" t="s">
        <v>113</v>
      </c>
      <c r="D189" t="s">
        <v>42</v>
      </c>
      <c r="E189" t="s">
        <v>65</v>
      </c>
      <c r="G189" t="s">
        <v>2930</v>
      </c>
      <c r="I189">
        <v>1</v>
      </c>
    </row>
    <row r="190" spans="1:9" hidden="1">
      <c r="A190" t="s">
        <v>2931</v>
      </c>
      <c r="B190" t="s">
        <v>1169</v>
      </c>
      <c r="C190" t="s">
        <v>113</v>
      </c>
      <c r="D190" t="s">
        <v>42</v>
      </c>
      <c r="E190" t="s">
        <v>160</v>
      </c>
      <c r="G190" t="s">
        <v>2740</v>
      </c>
      <c r="I190">
        <v>2</v>
      </c>
    </row>
    <row r="191" spans="1:9">
      <c r="A191" t="s">
        <v>2865</v>
      </c>
      <c r="B191" t="s">
        <v>2866</v>
      </c>
      <c r="C191" t="s">
        <v>113</v>
      </c>
      <c r="D191" t="s">
        <v>154</v>
      </c>
      <c r="E191" t="s">
        <v>126</v>
      </c>
      <c r="G191" t="s">
        <v>2690</v>
      </c>
    </row>
    <row r="192" spans="1:9" hidden="1">
      <c r="A192" t="s">
        <v>2932</v>
      </c>
      <c r="B192" t="s">
        <v>1513</v>
      </c>
      <c r="C192" t="s">
        <v>113</v>
      </c>
      <c r="D192" t="s">
        <v>233</v>
      </c>
      <c r="E192" t="s">
        <v>136</v>
      </c>
      <c r="G192" t="s">
        <v>2933</v>
      </c>
      <c r="I192">
        <v>3</v>
      </c>
    </row>
    <row r="193" spans="1:9">
      <c r="A193" t="s">
        <v>2867</v>
      </c>
      <c r="B193" t="s">
        <v>2868</v>
      </c>
      <c r="C193" t="s">
        <v>125</v>
      </c>
      <c r="D193" t="s">
        <v>126</v>
      </c>
      <c r="E193" t="s">
        <v>126</v>
      </c>
      <c r="G193" t="s">
        <v>2545</v>
      </c>
    </row>
    <row r="194" spans="1:9" hidden="1">
      <c r="A194" t="s">
        <v>2934</v>
      </c>
      <c r="B194" t="s">
        <v>1530</v>
      </c>
      <c r="C194" t="s">
        <v>42</v>
      </c>
      <c r="D194" t="s">
        <v>135</v>
      </c>
      <c r="E194" t="s">
        <v>204</v>
      </c>
      <c r="G194" t="s">
        <v>2935</v>
      </c>
    </row>
    <row r="195" spans="1:9" hidden="1">
      <c r="A195" t="s">
        <v>2936</v>
      </c>
      <c r="B195" t="s">
        <v>1528</v>
      </c>
      <c r="C195" t="s">
        <v>113</v>
      </c>
      <c r="D195" t="s">
        <v>63</v>
      </c>
      <c r="E195" t="s">
        <v>121</v>
      </c>
      <c r="G195" t="s">
        <v>2937</v>
      </c>
      <c r="I195">
        <v>1</v>
      </c>
    </row>
    <row r="196" spans="1:9" hidden="1">
      <c r="A196" t="s">
        <v>2938</v>
      </c>
      <c r="B196" t="s">
        <v>1653</v>
      </c>
      <c r="C196" t="s">
        <v>113</v>
      </c>
      <c r="D196" t="s">
        <v>300</v>
      </c>
      <c r="E196" t="s">
        <v>126</v>
      </c>
      <c r="G196" t="s">
        <v>2939</v>
      </c>
    </row>
    <row r="197" spans="1:9" hidden="1">
      <c r="A197" t="s">
        <v>2940</v>
      </c>
      <c r="B197" t="s">
        <v>826</v>
      </c>
      <c r="C197" t="s">
        <v>113</v>
      </c>
      <c r="D197" t="s">
        <v>233</v>
      </c>
      <c r="E197" t="s">
        <v>42</v>
      </c>
      <c r="G197" t="s">
        <v>1896</v>
      </c>
      <c r="I197">
        <v>2</v>
      </c>
    </row>
    <row r="198" spans="1:9" hidden="1">
      <c r="A198" t="s">
        <v>2941</v>
      </c>
      <c r="B198" t="s">
        <v>1557</v>
      </c>
      <c r="C198" t="s">
        <v>113</v>
      </c>
      <c r="D198" t="s">
        <v>233</v>
      </c>
      <c r="E198" t="s">
        <v>42</v>
      </c>
      <c r="G198" t="s">
        <v>2942</v>
      </c>
      <c r="I198">
        <v>2</v>
      </c>
    </row>
    <row r="199" spans="1:9" hidden="1">
      <c r="A199" t="s">
        <v>2943</v>
      </c>
      <c r="B199" t="s">
        <v>1651</v>
      </c>
      <c r="C199" t="s">
        <v>113</v>
      </c>
      <c r="D199" t="s">
        <v>42</v>
      </c>
      <c r="E199" t="s">
        <v>65</v>
      </c>
      <c r="G199" t="s">
        <v>2944</v>
      </c>
      <c r="I199">
        <v>1</v>
      </c>
    </row>
    <row r="200" spans="1:9" hidden="1">
      <c r="A200" t="s">
        <v>2945</v>
      </c>
      <c r="B200" t="s">
        <v>1501</v>
      </c>
      <c r="C200" t="s">
        <v>113</v>
      </c>
      <c r="D200" t="s">
        <v>42</v>
      </c>
      <c r="E200" t="s">
        <v>65</v>
      </c>
      <c r="G200" t="s">
        <v>1710</v>
      </c>
      <c r="I200">
        <v>1</v>
      </c>
    </row>
    <row r="201" spans="1:9" hidden="1">
      <c r="A201" t="s">
        <v>2946</v>
      </c>
      <c r="B201" t="s">
        <v>1649</v>
      </c>
      <c r="C201" t="s">
        <v>233</v>
      </c>
      <c r="D201" t="s">
        <v>117</v>
      </c>
      <c r="E201" t="s">
        <v>42</v>
      </c>
      <c r="G201" t="s">
        <v>2947</v>
      </c>
      <c r="I201">
        <v>2</v>
      </c>
    </row>
    <row r="202" spans="1:9" hidden="1">
      <c r="A202" t="s">
        <v>2948</v>
      </c>
      <c r="B202" t="s">
        <v>1567</v>
      </c>
      <c r="C202" t="s">
        <v>113</v>
      </c>
      <c r="D202" t="s">
        <v>117</v>
      </c>
      <c r="E202" t="s">
        <v>154</v>
      </c>
      <c r="G202" t="s">
        <v>2949</v>
      </c>
      <c r="I202">
        <v>2</v>
      </c>
    </row>
    <row r="203" spans="1:9" hidden="1">
      <c r="A203" t="s">
        <v>2950</v>
      </c>
      <c r="B203" t="s">
        <v>1661</v>
      </c>
      <c r="C203" t="s">
        <v>113</v>
      </c>
      <c r="D203" t="s">
        <v>184</v>
      </c>
      <c r="E203" t="s">
        <v>797</v>
      </c>
      <c r="G203" t="s">
        <v>2951</v>
      </c>
    </row>
    <row r="204" spans="1:9" hidden="1">
      <c r="A204" t="s">
        <v>2952</v>
      </c>
      <c r="B204" t="s">
        <v>1577</v>
      </c>
      <c r="C204" t="s">
        <v>113</v>
      </c>
      <c r="D204" t="s">
        <v>139</v>
      </c>
      <c r="E204" t="s">
        <v>172</v>
      </c>
      <c r="G204" t="s">
        <v>2509</v>
      </c>
      <c r="I204">
        <v>2</v>
      </c>
    </row>
    <row r="205" spans="1:9">
      <c r="A205" t="s">
        <v>2869</v>
      </c>
      <c r="B205" t="s">
        <v>2870</v>
      </c>
      <c r="C205" t="s">
        <v>125</v>
      </c>
      <c r="D205" t="s">
        <v>126</v>
      </c>
      <c r="E205" t="s">
        <v>126</v>
      </c>
      <c r="G205" t="s">
        <v>2150</v>
      </c>
    </row>
    <row r="206" spans="1:9">
      <c r="A206" t="s">
        <v>2871</v>
      </c>
      <c r="B206" t="s">
        <v>2872</v>
      </c>
      <c r="C206" t="s">
        <v>113</v>
      </c>
      <c r="D206" t="s">
        <v>42</v>
      </c>
      <c r="E206" t="s">
        <v>126</v>
      </c>
      <c r="G206" t="s">
        <v>2111</v>
      </c>
    </row>
    <row r="207" spans="1:9" hidden="1">
      <c r="A207" t="s">
        <v>2953</v>
      </c>
      <c r="B207" t="s">
        <v>1416</v>
      </c>
      <c r="C207" t="s">
        <v>139</v>
      </c>
      <c r="D207" t="s">
        <v>233</v>
      </c>
      <c r="E207" t="s">
        <v>263</v>
      </c>
      <c r="G207" t="s">
        <v>2954</v>
      </c>
      <c r="I207">
        <v>1</v>
      </c>
    </row>
    <row r="208" spans="1:9" hidden="1">
      <c r="A208" t="s">
        <v>2955</v>
      </c>
      <c r="B208" t="s">
        <v>1165</v>
      </c>
      <c r="C208" t="s">
        <v>113</v>
      </c>
      <c r="D208" t="s">
        <v>63</v>
      </c>
      <c r="E208" t="s">
        <v>172</v>
      </c>
      <c r="G208" t="s">
        <v>2956</v>
      </c>
    </row>
    <row r="209" spans="1:9" hidden="1">
      <c r="A209" t="s">
        <v>2957</v>
      </c>
      <c r="B209" t="s">
        <v>1657</v>
      </c>
      <c r="C209" t="s">
        <v>113</v>
      </c>
      <c r="D209" t="s">
        <v>42</v>
      </c>
      <c r="E209" t="s">
        <v>217</v>
      </c>
      <c r="G209" t="s">
        <v>2958</v>
      </c>
    </row>
    <row r="210" spans="1:9" hidden="1">
      <c r="A210" t="s">
        <v>2959</v>
      </c>
      <c r="B210" t="s">
        <v>926</v>
      </c>
      <c r="C210" t="s">
        <v>113</v>
      </c>
      <c r="D210" t="s">
        <v>42</v>
      </c>
      <c r="E210" t="s">
        <v>126</v>
      </c>
      <c r="G210" t="s">
        <v>1788</v>
      </c>
    </row>
    <row r="211" spans="1:9">
      <c r="A211" t="s">
        <v>2873</v>
      </c>
      <c r="B211" t="s">
        <v>2874</v>
      </c>
      <c r="C211" t="s">
        <v>113</v>
      </c>
      <c r="D211" t="s">
        <v>139</v>
      </c>
      <c r="E211" t="s">
        <v>117</v>
      </c>
      <c r="G211" t="s">
        <v>2376</v>
      </c>
      <c r="I211">
        <v>3</v>
      </c>
    </row>
    <row r="212" spans="1:9" hidden="1">
      <c r="A212" t="s">
        <v>2960</v>
      </c>
      <c r="B212" t="s">
        <v>1351</v>
      </c>
      <c r="C212" t="s">
        <v>113</v>
      </c>
      <c r="D212" t="s">
        <v>233</v>
      </c>
      <c r="E212" t="s">
        <v>82</v>
      </c>
      <c r="G212" t="s">
        <v>2255</v>
      </c>
      <c r="I212">
        <v>3</v>
      </c>
    </row>
    <row r="213" spans="1:9" hidden="1">
      <c r="A213" t="s">
        <v>2961</v>
      </c>
      <c r="B213" t="s">
        <v>1617</v>
      </c>
      <c r="C213" t="s">
        <v>113</v>
      </c>
      <c r="D213" t="s">
        <v>42</v>
      </c>
      <c r="E213" t="s">
        <v>82</v>
      </c>
      <c r="G213" t="s">
        <v>2355</v>
      </c>
    </row>
    <row r="214" spans="1:9" hidden="1">
      <c r="A214" t="s">
        <v>2962</v>
      </c>
      <c r="B214" t="s">
        <v>1631</v>
      </c>
      <c r="C214" t="s">
        <v>113</v>
      </c>
      <c r="D214" t="s">
        <v>154</v>
      </c>
      <c r="E214" t="s">
        <v>172</v>
      </c>
      <c r="G214" t="s">
        <v>2963</v>
      </c>
    </row>
    <row r="215" spans="1:9" hidden="1">
      <c r="A215" t="s">
        <v>2964</v>
      </c>
      <c r="B215" t="s">
        <v>1619</v>
      </c>
      <c r="C215" t="s">
        <v>113</v>
      </c>
      <c r="D215" t="s">
        <v>117</v>
      </c>
      <c r="E215" t="s">
        <v>154</v>
      </c>
      <c r="G215" t="s">
        <v>2965</v>
      </c>
      <c r="I215">
        <v>5</v>
      </c>
    </row>
    <row r="216" spans="1:9" hidden="1">
      <c r="A216" t="s">
        <v>2966</v>
      </c>
      <c r="B216" t="s">
        <v>440</v>
      </c>
      <c r="C216" t="s">
        <v>139</v>
      </c>
      <c r="D216" t="s">
        <v>117</v>
      </c>
      <c r="E216" t="s">
        <v>209</v>
      </c>
      <c r="G216" t="s">
        <v>2922</v>
      </c>
    </row>
    <row r="217" spans="1:9">
      <c r="A217" t="s">
        <v>2875</v>
      </c>
      <c r="B217" t="s">
        <v>2876</v>
      </c>
      <c r="C217" t="s">
        <v>113</v>
      </c>
      <c r="D217" t="s">
        <v>139</v>
      </c>
      <c r="E217" t="s">
        <v>42</v>
      </c>
      <c r="G217" t="s">
        <v>1916</v>
      </c>
    </row>
    <row r="218" spans="1:9" hidden="1">
      <c r="A218" t="s">
        <v>2967</v>
      </c>
      <c r="B218" t="s">
        <v>1659</v>
      </c>
      <c r="C218" t="s">
        <v>117</v>
      </c>
      <c r="D218" t="s">
        <v>768</v>
      </c>
      <c r="E218" t="s">
        <v>126</v>
      </c>
      <c r="G218" t="s">
        <v>2968</v>
      </c>
    </row>
    <row r="219" spans="1:9" hidden="1">
      <c r="A219" t="s">
        <v>2969</v>
      </c>
      <c r="B219" t="s">
        <v>1435</v>
      </c>
      <c r="C219" t="s">
        <v>233</v>
      </c>
      <c r="D219" t="s">
        <v>82</v>
      </c>
      <c r="E219" t="s">
        <v>84</v>
      </c>
      <c r="G219" t="s">
        <v>2970</v>
      </c>
    </row>
    <row r="220" spans="1:9" hidden="1">
      <c r="A220" t="s">
        <v>2971</v>
      </c>
      <c r="B220" t="s">
        <v>1425</v>
      </c>
      <c r="C220" t="s">
        <v>113</v>
      </c>
      <c r="D220" t="s">
        <v>139</v>
      </c>
      <c r="E220" t="s">
        <v>121</v>
      </c>
      <c r="G220" t="s">
        <v>2777</v>
      </c>
      <c r="I220">
        <v>1</v>
      </c>
    </row>
    <row r="221" spans="1:9" hidden="1">
      <c r="A221" t="s">
        <v>2972</v>
      </c>
      <c r="B221" t="s">
        <v>1601</v>
      </c>
      <c r="C221" t="s">
        <v>113</v>
      </c>
      <c r="D221" t="s">
        <v>139</v>
      </c>
      <c r="E221" t="s">
        <v>233</v>
      </c>
      <c r="G221" t="s">
        <v>2973</v>
      </c>
      <c r="I221">
        <v>5</v>
      </c>
    </row>
    <row r="222" spans="1:9">
      <c r="A222" t="s">
        <v>2877</v>
      </c>
      <c r="B222" t="s">
        <v>2878</v>
      </c>
      <c r="C222" t="s">
        <v>135</v>
      </c>
      <c r="D222" t="s">
        <v>136</v>
      </c>
      <c r="E222" t="s">
        <v>126</v>
      </c>
      <c r="G222" t="s">
        <v>1742</v>
      </c>
    </row>
    <row r="223" spans="1:9" hidden="1">
      <c r="A223" t="s">
        <v>2974</v>
      </c>
      <c r="B223" t="s">
        <v>1188</v>
      </c>
      <c r="C223" t="s">
        <v>233</v>
      </c>
      <c r="D223" t="s">
        <v>42</v>
      </c>
      <c r="E223" t="s">
        <v>263</v>
      </c>
      <c r="G223" t="s">
        <v>1994</v>
      </c>
    </row>
    <row r="224" spans="1:9" hidden="1">
      <c r="A224" t="s">
        <v>2975</v>
      </c>
      <c r="B224" t="s">
        <v>1370</v>
      </c>
      <c r="C224" t="s">
        <v>117</v>
      </c>
      <c r="D224" t="s">
        <v>42</v>
      </c>
      <c r="E224" t="s">
        <v>126</v>
      </c>
      <c r="G224" t="s">
        <v>2061</v>
      </c>
    </row>
    <row r="225" spans="1:9" hidden="1">
      <c r="A225" t="s">
        <v>2976</v>
      </c>
      <c r="B225" t="s">
        <v>1643</v>
      </c>
      <c r="C225" t="s">
        <v>113</v>
      </c>
      <c r="D225" t="s">
        <v>139</v>
      </c>
      <c r="E225" t="s">
        <v>209</v>
      </c>
      <c r="G225" t="s">
        <v>2977</v>
      </c>
      <c r="I225">
        <v>1</v>
      </c>
    </row>
    <row r="226" spans="1:9" hidden="1">
      <c r="A226" t="s">
        <v>2978</v>
      </c>
      <c r="B226" t="s">
        <v>1597</v>
      </c>
      <c r="C226" t="s">
        <v>113</v>
      </c>
      <c r="D226" t="s">
        <v>139</v>
      </c>
      <c r="E226" t="s">
        <v>117</v>
      </c>
      <c r="G226" t="s">
        <v>2979</v>
      </c>
      <c r="I226">
        <v>3</v>
      </c>
    </row>
    <row r="227" spans="1:9">
      <c r="A227" t="s">
        <v>2879</v>
      </c>
      <c r="B227" t="s">
        <v>2880</v>
      </c>
      <c r="C227" t="s">
        <v>139</v>
      </c>
      <c r="D227" t="s">
        <v>117</v>
      </c>
      <c r="E227" t="s">
        <v>209</v>
      </c>
      <c r="G227" t="s">
        <v>2881</v>
      </c>
    </row>
    <row r="228" spans="1:9" hidden="1">
      <c r="A228" t="s">
        <v>2980</v>
      </c>
      <c r="B228" t="s">
        <v>1645</v>
      </c>
      <c r="C228" t="s">
        <v>117</v>
      </c>
      <c r="D228" t="s">
        <v>42</v>
      </c>
      <c r="E228" t="s">
        <v>213</v>
      </c>
      <c r="G228" t="s">
        <v>2981</v>
      </c>
    </row>
    <row r="229" spans="1:9" hidden="1">
      <c r="A229" t="s">
        <v>2982</v>
      </c>
      <c r="B229" t="s">
        <v>1154</v>
      </c>
      <c r="C229" t="s">
        <v>113</v>
      </c>
      <c r="D229" t="s">
        <v>233</v>
      </c>
      <c r="E229" t="s">
        <v>42</v>
      </c>
      <c r="G229" t="s">
        <v>1861</v>
      </c>
      <c r="I229">
        <v>1</v>
      </c>
    </row>
    <row r="230" spans="1:9" hidden="1">
      <c r="A230" t="s">
        <v>2983</v>
      </c>
      <c r="B230" t="s">
        <v>1353</v>
      </c>
      <c r="C230" t="s">
        <v>139</v>
      </c>
      <c r="D230" t="s">
        <v>233</v>
      </c>
      <c r="E230" t="s">
        <v>117</v>
      </c>
      <c r="G230" t="s">
        <v>2255</v>
      </c>
      <c r="I230">
        <v>2</v>
      </c>
    </row>
    <row r="231" spans="1:9" hidden="1">
      <c r="A231" t="s">
        <v>2984</v>
      </c>
      <c r="B231" t="s">
        <v>1641</v>
      </c>
      <c r="C231" t="s">
        <v>233</v>
      </c>
      <c r="D231" t="s">
        <v>117</v>
      </c>
      <c r="E231" t="s">
        <v>42</v>
      </c>
      <c r="G231" t="s">
        <v>2908</v>
      </c>
      <c r="I231">
        <v>1</v>
      </c>
    </row>
    <row r="232" spans="1:9" hidden="1">
      <c r="A232" t="s">
        <v>2985</v>
      </c>
      <c r="B232" t="s">
        <v>1147</v>
      </c>
      <c r="C232" t="s">
        <v>113</v>
      </c>
      <c r="D232" t="s">
        <v>154</v>
      </c>
      <c r="E232" t="s">
        <v>209</v>
      </c>
      <c r="G232" t="s">
        <v>2986</v>
      </c>
      <c r="I232">
        <v>2</v>
      </c>
    </row>
    <row r="233" spans="1:9" hidden="1">
      <c r="A233" t="s">
        <v>2987</v>
      </c>
      <c r="B233" t="s">
        <v>1663</v>
      </c>
      <c r="C233" t="s">
        <v>233</v>
      </c>
      <c r="D233" t="s">
        <v>117</v>
      </c>
      <c r="E233" t="s">
        <v>44</v>
      </c>
      <c r="G233" t="s">
        <v>2988</v>
      </c>
      <c r="I233">
        <v>2</v>
      </c>
    </row>
    <row r="234" spans="1:9" hidden="1">
      <c r="A234" t="s">
        <v>2989</v>
      </c>
      <c r="B234" t="s">
        <v>1439</v>
      </c>
      <c r="C234" t="s">
        <v>113</v>
      </c>
      <c r="D234" t="s">
        <v>139</v>
      </c>
      <c r="E234" t="s">
        <v>42</v>
      </c>
      <c r="G234" t="s">
        <v>2589</v>
      </c>
    </row>
    <row r="235" spans="1:9" hidden="1">
      <c r="A235" t="s">
        <v>2990</v>
      </c>
      <c r="B235" t="s">
        <v>1467</v>
      </c>
      <c r="C235" t="s">
        <v>233</v>
      </c>
      <c r="D235" t="s">
        <v>117</v>
      </c>
      <c r="E235" t="s">
        <v>42</v>
      </c>
      <c r="G235" t="s">
        <v>2991</v>
      </c>
      <c r="I235">
        <v>1</v>
      </c>
    </row>
    <row r="236" spans="1:9" hidden="1">
      <c r="A236" t="s">
        <v>2992</v>
      </c>
      <c r="B236" t="s">
        <v>1647</v>
      </c>
      <c r="C236" t="s">
        <v>113</v>
      </c>
      <c r="D236" t="s">
        <v>154</v>
      </c>
      <c r="E236" t="s">
        <v>63</v>
      </c>
      <c r="G236" t="s">
        <v>2993</v>
      </c>
    </row>
    <row r="237" spans="1:9">
      <c r="A237" t="s">
        <v>2882</v>
      </c>
      <c r="B237" t="s">
        <v>2883</v>
      </c>
      <c r="C237" t="s">
        <v>113</v>
      </c>
      <c r="D237" t="s">
        <v>160</v>
      </c>
      <c r="E237" t="s">
        <v>65</v>
      </c>
      <c r="G237" t="s">
        <v>2046</v>
      </c>
      <c r="I237">
        <v>1</v>
      </c>
    </row>
    <row r="238" spans="1:9" hidden="1">
      <c r="A238" t="s">
        <v>2994</v>
      </c>
      <c r="B238" t="s">
        <v>1075</v>
      </c>
      <c r="C238" t="s">
        <v>113</v>
      </c>
      <c r="D238" t="s">
        <v>42</v>
      </c>
      <c r="E238" t="s">
        <v>65</v>
      </c>
      <c r="G238" t="s">
        <v>2310</v>
      </c>
    </row>
    <row r="239" spans="1:9" hidden="1">
      <c r="A239" t="s">
        <v>2995</v>
      </c>
      <c r="B239" t="s">
        <v>1443</v>
      </c>
      <c r="C239" t="s">
        <v>42</v>
      </c>
      <c r="D239" t="s">
        <v>135</v>
      </c>
      <c r="E239" t="s">
        <v>136</v>
      </c>
      <c r="G239" t="s">
        <v>2570</v>
      </c>
    </row>
    <row r="240" spans="1:9">
      <c r="A240" t="s">
        <v>2884</v>
      </c>
      <c r="B240" t="s">
        <v>2885</v>
      </c>
      <c r="C240" t="s">
        <v>125</v>
      </c>
      <c r="D240" t="s">
        <v>126</v>
      </c>
      <c r="E240" t="s">
        <v>126</v>
      </c>
      <c r="G240" t="s">
        <v>2886</v>
      </c>
    </row>
    <row r="241" spans="1:9">
      <c r="A241" t="s">
        <v>2887</v>
      </c>
      <c r="B241" t="s">
        <v>2888</v>
      </c>
      <c r="C241" t="s">
        <v>139</v>
      </c>
      <c r="D241" t="s">
        <v>154</v>
      </c>
      <c r="E241" t="s">
        <v>155</v>
      </c>
      <c r="G241" t="s">
        <v>1790</v>
      </c>
      <c r="I241">
        <v>4</v>
      </c>
    </row>
    <row r="242" spans="1:9" hidden="1">
      <c r="A242" t="s">
        <v>2996</v>
      </c>
      <c r="B242" t="s">
        <v>445</v>
      </c>
      <c r="C242" t="s">
        <v>135</v>
      </c>
      <c r="D242" t="s">
        <v>136</v>
      </c>
      <c r="E242" t="s">
        <v>176</v>
      </c>
      <c r="G242" t="s">
        <v>2177</v>
      </c>
    </row>
    <row r="243" spans="1:9" hidden="1">
      <c r="A243" t="s">
        <v>2997</v>
      </c>
      <c r="B243" t="s">
        <v>124</v>
      </c>
      <c r="C243" t="s">
        <v>125</v>
      </c>
      <c r="D243" t="s">
        <v>126</v>
      </c>
      <c r="E243" t="s">
        <v>126</v>
      </c>
      <c r="G243" t="s">
        <v>2803</v>
      </c>
    </row>
    <row r="244" spans="1:9" hidden="1">
      <c r="A244" t="s">
        <v>2998</v>
      </c>
      <c r="B244" t="s">
        <v>1469</v>
      </c>
      <c r="C244" t="s">
        <v>113</v>
      </c>
      <c r="D244" t="s">
        <v>139</v>
      </c>
      <c r="E244" t="s">
        <v>233</v>
      </c>
      <c r="G244" t="s">
        <v>2991</v>
      </c>
      <c r="I244">
        <v>2</v>
      </c>
    </row>
    <row r="245" spans="1:9" hidden="1">
      <c r="A245" t="s">
        <v>2999</v>
      </c>
      <c r="B245" t="s">
        <v>1591</v>
      </c>
      <c r="C245" t="s">
        <v>113</v>
      </c>
      <c r="D245" t="s">
        <v>233</v>
      </c>
      <c r="E245" t="s">
        <v>300</v>
      </c>
      <c r="G245" t="s">
        <v>3000</v>
      </c>
      <c r="I245">
        <v>3</v>
      </c>
    </row>
    <row r="246" spans="1:9">
      <c r="A246" t="s">
        <v>2889</v>
      </c>
      <c r="B246" t="s">
        <v>2890</v>
      </c>
      <c r="C246" t="s">
        <v>113</v>
      </c>
      <c r="D246" t="s">
        <v>136</v>
      </c>
      <c r="E246" t="s">
        <v>147</v>
      </c>
      <c r="G246" t="s">
        <v>2265</v>
      </c>
    </row>
    <row r="247" spans="1:9">
      <c r="A247" t="s">
        <v>2891</v>
      </c>
      <c r="B247" t="s">
        <v>2892</v>
      </c>
      <c r="C247" t="s">
        <v>125</v>
      </c>
      <c r="D247" t="s">
        <v>126</v>
      </c>
      <c r="E247" t="s">
        <v>126</v>
      </c>
      <c r="G247" t="s">
        <v>2893</v>
      </c>
    </row>
    <row r="248" spans="1:9">
      <c r="A248" t="s">
        <v>2894</v>
      </c>
      <c r="B248" t="s">
        <v>2895</v>
      </c>
      <c r="C248" t="s">
        <v>113</v>
      </c>
      <c r="D248" t="s">
        <v>136</v>
      </c>
      <c r="E248" t="s">
        <v>121</v>
      </c>
      <c r="G248" t="s">
        <v>1908</v>
      </c>
    </row>
    <row r="249" spans="1:9" hidden="1">
      <c r="A249" t="s">
        <v>3001</v>
      </c>
      <c r="B249" t="s">
        <v>1548</v>
      </c>
      <c r="C249" t="s">
        <v>139</v>
      </c>
      <c r="D249" t="s">
        <v>117</v>
      </c>
      <c r="E249" t="s">
        <v>42</v>
      </c>
      <c r="G249" t="s">
        <v>3002</v>
      </c>
      <c r="I249">
        <v>2</v>
      </c>
    </row>
    <row r="250" spans="1:9">
      <c r="A250" t="s">
        <v>2896</v>
      </c>
      <c r="B250" t="s">
        <v>2897</v>
      </c>
      <c r="C250" t="s">
        <v>125</v>
      </c>
      <c r="D250" t="s">
        <v>126</v>
      </c>
      <c r="E250" t="s">
        <v>126</v>
      </c>
      <c r="G250" t="s">
        <v>1886</v>
      </c>
    </row>
    <row r="251" spans="1:9" hidden="1">
      <c r="A251" t="s">
        <v>3003</v>
      </c>
      <c r="B251" t="s">
        <v>1627</v>
      </c>
      <c r="C251" t="s">
        <v>113</v>
      </c>
      <c r="D251" t="s">
        <v>139</v>
      </c>
      <c r="E251" t="s">
        <v>233</v>
      </c>
      <c r="G251" t="s">
        <v>3004</v>
      </c>
      <c r="I251">
        <v>1</v>
      </c>
    </row>
    <row r="252" spans="1:9" hidden="1">
      <c r="A252" t="s">
        <v>3005</v>
      </c>
      <c r="B252" t="s">
        <v>1605</v>
      </c>
      <c r="C252" t="s">
        <v>113</v>
      </c>
      <c r="D252" t="s">
        <v>154</v>
      </c>
      <c r="E252" t="s">
        <v>959</v>
      </c>
      <c r="G252" t="s">
        <v>3006</v>
      </c>
    </row>
    <row r="253" spans="1:9" hidden="1">
      <c r="A253" t="s">
        <v>3007</v>
      </c>
      <c r="B253" t="s">
        <v>908</v>
      </c>
      <c r="C253" t="s">
        <v>117</v>
      </c>
      <c r="D253" t="s">
        <v>154</v>
      </c>
      <c r="E253" t="s">
        <v>126</v>
      </c>
      <c r="G253" t="s">
        <v>1716</v>
      </c>
    </row>
    <row r="254" spans="1:9">
      <c r="A254" t="s">
        <v>2898</v>
      </c>
      <c r="B254" t="s">
        <v>2899</v>
      </c>
      <c r="C254" t="s">
        <v>125</v>
      </c>
      <c r="D254" t="s">
        <v>126</v>
      </c>
      <c r="E254" t="s">
        <v>126</v>
      </c>
      <c r="G254" t="s">
        <v>2086</v>
      </c>
    </row>
    <row r="255" spans="1:9" hidden="1">
      <c r="A255" t="s">
        <v>3008</v>
      </c>
      <c r="B255" t="s">
        <v>1199</v>
      </c>
      <c r="C255" t="s">
        <v>233</v>
      </c>
      <c r="D255" t="s">
        <v>263</v>
      </c>
      <c r="E255" t="s">
        <v>126</v>
      </c>
      <c r="G255" t="s">
        <v>1806</v>
      </c>
    </row>
    <row r="256" spans="1:9">
      <c r="A256" t="s">
        <v>2900</v>
      </c>
      <c r="B256" t="s">
        <v>2901</v>
      </c>
      <c r="C256" t="s">
        <v>272</v>
      </c>
      <c r="D256" t="s">
        <v>117</v>
      </c>
      <c r="E256" t="s">
        <v>126</v>
      </c>
      <c r="G256" t="s">
        <v>1796</v>
      </c>
    </row>
    <row r="257" spans="1:9" hidden="1">
      <c r="A257" t="s">
        <v>3009</v>
      </c>
      <c r="B257" t="s">
        <v>1611</v>
      </c>
      <c r="C257" t="s">
        <v>113</v>
      </c>
      <c r="D257" t="s">
        <v>42</v>
      </c>
      <c r="E257" t="s">
        <v>156</v>
      </c>
      <c r="G257" t="s">
        <v>3010</v>
      </c>
    </row>
    <row r="258" spans="1:9" hidden="1">
      <c r="A258" t="s">
        <v>3011</v>
      </c>
      <c r="B258" t="s">
        <v>1374</v>
      </c>
      <c r="C258" t="s">
        <v>113</v>
      </c>
      <c r="D258" t="s">
        <v>154</v>
      </c>
      <c r="E258" t="s">
        <v>204</v>
      </c>
      <c r="G258" t="s">
        <v>3012</v>
      </c>
    </row>
    <row r="259" spans="1:9">
      <c r="A259" t="s">
        <v>2902</v>
      </c>
      <c r="B259" t="s">
        <v>2903</v>
      </c>
      <c r="C259" t="s">
        <v>113</v>
      </c>
      <c r="D259" t="s">
        <v>139</v>
      </c>
      <c r="E259" t="s">
        <v>233</v>
      </c>
      <c r="G259" t="s">
        <v>1729</v>
      </c>
      <c r="I259">
        <v>1</v>
      </c>
    </row>
    <row r="260" spans="1:9" hidden="1">
      <c r="A260" t="s">
        <v>3013</v>
      </c>
      <c r="B260" t="s">
        <v>1593</v>
      </c>
      <c r="C260" t="s">
        <v>113</v>
      </c>
      <c r="D260" t="s">
        <v>160</v>
      </c>
      <c r="E260" t="s">
        <v>156</v>
      </c>
      <c r="G260" t="s">
        <v>3014</v>
      </c>
      <c r="I260">
        <v>4</v>
      </c>
    </row>
    <row r="261" spans="1:9" hidden="1">
      <c r="A261" t="s">
        <v>3015</v>
      </c>
      <c r="B261" t="s">
        <v>1607</v>
      </c>
      <c r="C261" t="s">
        <v>113</v>
      </c>
      <c r="D261" t="s">
        <v>139</v>
      </c>
      <c r="E261" t="s">
        <v>135</v>
      </c>
      <c r="G261" t="s">
        <v>3016</v>
      </c>
      <c r="I261">
        <v>2</v>
      </c>
    </row>
    <row r="262" spans="1:9" hidden="1">
      <c r="A262" t="s">
        <v>3017</v>
      </c>
      <c r="B262" t="s">
        <v>1280</v>
      </c>
      <c r="C262" t="s">
        <v>233</v>
      </c>
      <c r="D262" t="s">
        <v>263</v>
      </c>
      <c r="E262" t="s">
        <v>126</v>
      </c>
      <c r="G262" t="s">
        <v>2715</v>
      </c>
    </row>
    <row r="263" spans="1:9" hidden="1">
      <c r="A263" t="s">
        <v>3018</v>
      </c>
      <c r="B263" t="s">
        <v>1555</v>
      </c>
      <c r="C263" t="s">
        <v>113</v>
      </c>
      <c r="D263" t="s">
        <v>233</v>
      </c>
      <c r="E263" t="s">
        <v>160</v>
      </c>
      <c r="G263" t="s">
        <v>1737</v>
      </c>
      <c r="I263">
        <v>1</v>
      </c>
    </row>
    <row r="264" spans="1:9" hidden="1">
      <c r="A264" t="s">
        <v>3019</v>
      </c>
      <c r="B264" t="s">
        <v>1563</v>
      </c>
      <c r="C264" t="s">
        <v>113</v>
      </c>
      <c r="D264" t="s">
        <v>117</v>
      </c>
      <c r="E264" t="s">
        <v>82</v>
      </c>
      <c r="G264" t="s">
        <v>2905</v>
      </c>
      <c r="I264">
        <v>3</v>
      </c>
    </row>
    <row r="265" spans="1:9" hidden="1">
      <c r="A265" t="s">
        <v>3020</v>
      </c>
      <c r="B265" t="s">
        <v>1635</v>
      </c>
      <c r="C265" t="s">
        <v>117</v>
      </c>
      <c r="D265" t="s">
        <v>42</v>
      </c>
      <c r="E265" t="s">
        <v>126</v>
      </c>
      <c r="G265" t="s">
        <v>2747</v>
      </c>
    </row>
    <row r="266" spans="1:9" hidden="1">
      <c r="A266" t="s">
        <v>3021</v>
      </c>
      <c r="B266" t="s">
        <v>1544</v>
      </c>
      <c r="C266" t="s">
        <v>113</v>
      </c>
      <c r="D266" t="s">
        <v>233</v>
      </c>
      <c r="E266" t="s">
        <v>42</v>
      </c>
      <c r="G266" t="s">
        <v>2914</v>
      </c>
      <c r="I266">
        <v>3</v>
      </c>
    </row>
    <row r="267" spans="1:9" hidden="1">
      <c r="A267" t="s">
        <v>3022</v>
      </c>
      <c r="B267" t="s">
        <v>1613</v>
      </c>
      <c r="C267" t="s">
        <v>117</v>
      </c>
      <c r="D267" t="s">
        <v>209</v>
      </c>
      <c r="E267" t="s">
        <v>959</v>
      </c>
      <c r="G267" t="s">
        <v>3010</v>
      </c>
      <c r="I267">
        <v>1</v>
      </c>
    </row>
    <row r="268" spans="1:9" hidden="1">
      <c r="A268" t="s">
        <v>3023</v>
      </c>
      <c r="B268" t="s">
        <v>1623</v>
      </c>
      <c r="C268" t="s">
        <v>117</v>
      </c>
      <c r="D268" t="s">
        <v>42</v>
      </c>
      <c r="E268" t="s">
        <v>126</v>
      </c>
      <c r="G268" t="s">
        <v>3024</v>
      </c>
    </row>
    <row r="269" spans="1:9" hidden="1">
      <c r="A269" t="s">
        <v>3025</v>
      </c>
      <c r="B269" t="s">
        <v>1573</v>
      </c>
      <c r="C269" t="s">
        <v>113</v>
      </c>
      <c r="D269" t="s">
        <v>154</v>
      </c>
      <c r="E269" t="s">
        <v>63</v>
      </c>
      <c r="G269" t="s">
        <v>3026</v>
      </c>
    </row>
    <row r="270" spans="1:9">
      <c r="A270" t="s">
        <v>2786</v>
      </c>
      <c r="B270" t="s">
        <v>2787</v>
      </c>
      <c r="C270" t="s">
        <v>117</v>
      </c>
      <c r="D270" t="s">
        <v>160</v>
      </c>
      <c r="E270" t="s">
        <v>797</v>
      </c>
      <c r="F270" t="s">
        <v>2788</v>
      </c>
      <c r="G270" t="s">
        <v>2789</v>
      </c>
      <c r="H270" t="s">
        <v>126</v>
      </c>
    </row>
    <row r="271" spans="1:9" hidden="1">
      <c r="A271" t="s">
        <v>1665</v>
      </c>
      <c r="B271" t="s">
        <v>970</v>
      </c>
      <c r="C271" t="s">
        <v>113</v>
      </c>
      <c r="D271" t="s">
        <v>154</v>
      </c>
      <c r="E271" t="s">
        <v>511</v>
      </c>
      <c r="F271" t="s">
        <v>971</v>
      </c>
      <c r="G271" t="s">
        <v>1666</v>
      </c>
      <c r="H271" t="s">
        <v>27</v>
      </c>
    </row>
    <row r="272" spans="1:9" hidden="1">
      <c r="A272" t="s">
        <v>1667</v>
      </c>
      <c r="B272" t="s">
        <v>1458</v>
      </c>
      <c r="C272" t="s">
        <v>117</v>
      </c>
      <c r="D272" t="s">
        <v>42</v>
      </c>
      <c r="E272" t="s">
        <v>84</v>
      </c>
      <c r="F272" t="s">
        <v>1459</v>
      </c>
      <c r="G272" t="s">
        <v>1668</v>
      </c>
      <c r="H272" t="s">
        <v>27</v>
      </c>
    </row>
    <row r="273" spans="1:9" hidden="1">
      <c r="A273" t="s">
        <v>1669</v>
      </c>
      <c r="B273" t="s">
        <v>510</v>
      </c>
      <c r="C273" t="s">
        <v>43</v>
      </c>
      <c r="D273" t="s">
        <v>511</v>
      </c>
      <c r="E273" t="s">
        <v>204</v>
      </c>
      <c r="F273" t="s">
        <v>512</v>
      </c>
      <c r="G273" t="s">
        <v>1670</v>
      </c>
      <c r="H273" t="s">
        <v>27</v>
      </c>
    </row>
    <row r="274" spans="1:9" hidden="1">
      <c r="A274" t="s">
        <v>1671</v>
      </c>
      <c r="B274" t="s">
        <v>334</v>
      </c>
      <c r="C274" t="s">
        <v>43</v>
      </c>
      <c r="D274" t="s">
        <v>84</v>
      </c>
      <c r="E274" t="s">
        <v>126</v>
      </c>
      <c r="F274" t="s">
        <v>335</v>
      </c>
      <c r="G274" t="s">
        <v>1672</v>
      </c>
      <c r="H274" t="s">
        <v>27</v>
      </c>
    </row>
    <row r="275" spans="1:9" hidden="1">
      <c r="A275" t="s">
        <v>1673</v>
      </c>
      <c r="B275" t="s">
        <v>1336</v>
      </c>
      <c r="C275" t="s">
        <v>139</v>
      </c>
      <c r="D275" t="s">
        <v>117</v>
      </c>
      <c r="E275" t="s">
        <v>209</v>
      </c>
      <c r="F275" t="s">
        <v>1337</v>
      </c>
      <c r="G275" t="s">
        <v>1674</v>
      </c>
      <c r="H275" t="s">
        <v>27</v>
      </c>
    </row>
    <row r="276" spans="1:9" hidden="1">
      <c r="A276" t="s">
        <v>1675</v>
      </c>
      <c r="B276" t="s">
        <v>1259</v>
      </c>
      <c r="C276" t="s">
        <v>117</v>
      </c>
      <c r="D276" t="s">
        <v>42</v>
      </c>
      <c r="E276" t="s">
        <v>160</v>
      </c>
      <c r="F276" t="s">
        <v>1260</v>
      </c>
      <c r="G276" t="s">
        <v>1676</v>
      </c>
      <c r="H276" t="s">
        <v>27</v>
      </c>
    </row>
    <row r="277" spans="1:9" hidden="1">
      <c r="A277" t="s">
        <v>1677</v>
      </c>
      <c r="B277" t="s">
        <v>285</v>
      </c>
      <c r="C277" t="s">
        <v>113</v>
      </c>
      <c r="D277" t="s">
        <v>139</v>
      </c>
      <c r="E277" t="s">
        <v>44</v>
      </c>
      <c r="F277" t="s">
        <v>286</v>
      </c>
      <c r="G277" t="s">
        <v>1678</v>
      </c>
      <c r="H277" t="s">
        <v>27</v>
      </c>
      <c r="I277">
        <v>1</v>
      </c>
    </row>
    <row r="278" spans="1:9" hidden="1">
      <c r="A278" t="s">
        <v>1679</v>
      </c>
      <c r="B278" t="s">
        <v>1056</v>
      </c>
      <c r="C278" t="s">
        <v>113</v>
      </c>
      <c r="D278" t="s">
        <v>139</v>
      </c>
      <c r="E278" t="s">
        <v>126</v>
      </c>
      <c r="F278" t="s">
        <v>1057</v>
      </c>
      <c r="G278" t="s">
        <v>1680</v>
      </c>
      <c r="H278" t="s">
        <v>27</v>
      </c>
    </row>
    <row r="279" spans="1:9" hidden="1">
      <c r="A279" t="s">
        <v>1681</v>
      </c>
      <c r="B279" t="s">
        <v>275</v>
      </c>
      <c r="C279" t="s">
        <v>113</v>
      </c>
      <c r="D279" t="s">
        <v>272</v>
      </c>
      <c r="E279" t="s">
        <v>217</v>
      </c>
      <c r="F279" t="s">
        <v>276</v>
      </c>
      <c r="G279" t="s">
        <v>1682</v>
      </c>
      <c r="H279" t="s">
        <v>27</v>
      </c>
    </row>
    <row r="280" spans="1:9" hidden="1">
      <c r="A280" t="s">
        <v>1683</v>
      </c>
      <c r="B280" t="s">
        <v>1453</v>
      </c>
      <c r="C280" t="s">
        <v>117</v>
      </c>
      <c r="D280" t="s">
        <v>42</v>
      </c>
      <c r="E280" t="s">
        <v>63</v>
      </c>
      <c r="F280" t="s">
        <v>1454</v>
      </c>
      <c r="G280" t="s">
        <v>1684</v>
      </c>
      <c r="H280" t="s">
        <v>27</v>
      </c>
      <c r="I280">
        <v>1</v>
      </c>
    </row>
    <row r="281" spans="1:9" hidden="1">
      <c r="A281" t="s">
        <v>1685</v>
      </c>
      <c r="B281" t="s">
        <v>168</v>
      </c>
      <c r="C281" t="s">
        <v>113</v>
      </c>
      <c r="D281" t="s">
        <v>44</v>
      </c>
      <c r="E281" t="s">
        <v>126</v>
      </c>
      <c r="F281" t="s">
        <v>169</v>
      </c>
      <c r="G281" t="s">
        <v>1686</v>
      </c>
      <c r="H281" t="s">
        <v>27</v>
      </c>
    </row>
    <row r="282" spans="1:9" hidden="1">
      <c r="A282" t="s">
        <v>1687</v>
      </c>
      <c r="B282" t="s">
        <v>131</v>
      </c>
      <c r="C282" t="s">
        <v>44</v>
      </c>
      <c r="D282" t="s">
        <v>126</v>
      </c>
      <c r="E282" t="s">
        <v>126</v>
      </c>
      <c r="F282" t="s">
        <v>132</v>
      </c>
      <c r="G282" t="s">
        <v>1688</v>
      </c>
      <c r="H282" t="s">
        <v>27</v>
      </c>
    </row>
    <row r="283" spans="1:9" hidden="1">
      <c r="A283" t="s">
        <v>1689</v>
      </c>
      <c r="B283" t="s">
        <v>727</v>
      </c>
      <c r="C283" t="s">
        <v>233</v>
      </c>
      <c r="D283" t="s">
        <v>84</v>
      </c>
      <c r="E283" t="s">
        <v>126</v>
      </c>
      <c r="F283" t="s">
        <v>728</v>
      </c>
      <c r="G283" t="s">
        <v>1690</v>
      </c>
      <c r="H283" t="s">
        <v>27</v>
      </c>
    </row>
    <row r="284" spans="1:9" hidden="1">
      <c r="A284" t="s">
        <v>1691</v>
      </c>
      <c r="B284" t="s">
        <v>1584</v>
      </c>
      <c r="C284" t="s">
        <v>117</v>
      </c>
      <c r="D284" t="s">
        <v>126</v>
      </c>
      <c r="E284" t="s">
        <v>126</v>
      </c>
      <c r="F284" t="s">
        <v>1585</v>
      </c>
      <c r="G284" t="s">
        <v>1692</v>
      </c>
      <c r="H284" t="s">
        <v>27</v>
      </c>
    </row>
    <row r="285" spans="1:9" hidden="1">
      <c r="A285" t="s">
        <v>1693</v>
      </c>
      <c r="B285" t="s">
        <v>796</v>
      </c>
      <c r="C285" t="s">
        <v>113</v>
      </c>
      <c r="D285" t="s">
        <v>117</v>
      </c>
      <c r="E285" t="s">
        <v>797</v>
      </c>
      <c r="F285" t="s">
        <v>798</v>
      </c>
      <c r="G285" t="s">
        <v>1694</v>
      </c>
      <c r="H285" t="s">
        <v>27</v>
      </c>
    </row>
    <row r="286" spans="1:9" hidden="1">
      <c r="A286" t="s">
        <v>1695</v>
      </c>
      <c r="B286" t="s">
        <v>884</v>
      </c>
      <c r="C286" t="s">
        <v>139</v>
      </c>
      <c r="D286" t="s">
        <v>117</v>
      </c>
      <c r="E286" t="s">
        <v>209</v>
      </c>
      <c r="F286" t="s">
        <v>885</v>
      </c>
      <c r="G286" t="s">
        <v>1696</v>
      </c>
      <c r="H286" t="s">
        <v>27</v>
      </c>
    </row>
    <row r="287" spans="1:9" hidden="1">
      <c r="A287" t="s">
        <v>1697</v>
      </c>
      <c r="B287" t="s">
        <v>802</v>
      </c>
      <c r="C287" t="s">
        <v>113</v>
      </c>
      <c r="D287" t="s">
        <v>160</v>
      </c>
      <c r="E287" t="s">
        <v>191</v>
      </c>
      <c r="F287" t="s">
        <v>803</v>
      </c>
      <c r="G287" t="s">
        <v>1698</v>
      </c>
      <c r="H287" t="s">
        <v>27</v>
      </c>
    </row>
    <row r="288" spans="1:9" hidden="1">
      <c r="A288" t="s">
        <v>1699</v>
      </c>
      <c r="B288" t="s">
        <v>598</v>
      </c>
      <c r="C288" t="s">
        <v>113</v>
      </c>
      <c r="D288" t="s">
        <v>42</v>
      </c>
      <c r="E288" t="s">
        <v>160</v>
      </c>
      <c r="F288" t="s">
        <v>599</v>
      </c>
      <c r="G288" t="s">
        <v>1700</v>
      </c>
      <c r="H288" t="s">
        <v>27</v>
      </c>
      <c r="I288">
        <v>2</v>
      </c>
    </row>
    <row r="289" spans="1:9" hidden="1">
      <c r="A289" t="s">
        <v>1701</v>
      </c>
      <c r="B289" t="s">
        <v>1021</v>
      </c>
      <c r="C289" t="s">
        <v>117</v>
      </c>
      <c r="D289" t="s">
        <v>42</v>
      </c>
      <c r="E289" t="s">
        <v>126</v>
      </c>
      <c r="F289" t="s">
        <v>1022</v>
      </c>
      <c r="G289" t="s">
        <v>1702</v>
      </c>
      <c r="H289" t="s">
        <v>27</v>
      </c>
    </row>
    <row r="290" spans="1:9" hidden="1">
      <c r="A290" t="s">
        <v>1703</v>
      </c>
      <c r="B290" t="s">
        <v>716</v>
      </c>
      <c r="C290" t="s">
        <v>117</v>
      </c>
      <c r="D290" t="s">
        <v>42</v>
      </c>
      <c r="E290" t="s">
        <v>126</v>
      </c>
      <c r="F290" t="s">
        <v>717</v>
      </c>
      <c r="G290" t="s">
        <v>1704</v>
      </c>
      <c r="H290" t="s">
        <v>27</v>
      </c>
    </row>
    <row r="291" spans="1:9" hidden="1">
      <c r="A291" t="s">
        <v>1705</v>
      </c>
      <c r="B291" t="s">
        <v>682</v>
      </c>
      <c r="C291" t="s">
        <v>113</v>
      </c>
      <c r="D291" t="s">
        <v>42</v>
      </c>
      <c r="E291" t="s">
        <v>126</v>
      </c>
      <c r="F291" t="s">
        <v>683</v>
      </c>
      <c r="G291" t="s">
        <v>1706</v>
      </c>
      <c r="H291" t="s">
        <v>27</v>
      </c>
    </row>
    <row r="292" spans="1:9" hidden="1">
      <c r="A292" t="s">
        <v>1707</v>
      </c>
      <c r="B292" t="s">
        <v>1049</v>
      </c>
      <c r="C292" t="s">
        <v>42</v>
      </c>
      <c r="D292" t="s">
        <v>135</v>
      </c>
      <c r="E292" t="s">
        <v>204</v>
      </c>
      <c r="F292" t="s">
        <v>1050</v>
      </c>
      <c r="G292" t="s">
        <v>1708</v>
      </c>
      <c r="H292" t="s">
        <v>27</v>
      </c>
    </row>
    <row r="293" spans="1:9" hidden="1">
      <c r="A293" t="s">
        <v>1709</v>
      </c>
      <c r="B293" t="s">
        <v>1496</v>
      </c>
      <c r="C293" t="s">
        <v>139</v>
      </c>
      <c r="D293" t="s">
        <v>117</v>
      </c>
      <c r="E293" t="s">
        <v>44</v>
      </c>
      <c r="F293" t="s">
        <v>1497</v>
      </c>
      <c r="G293" t="s">
        <v>1710</v>
      </c>
      <c r="H293" t="s">
        <v>27</v>
      </c>
      <c r="I293">
        <v>1</v>
      </c>
    </row>
    <row r="294" spans="1:9" hidden="1">
      <c r="A294" t="s">
        <v>1711</v>
      </c>
      <c r="B294" t="s">
        <v>1012</v>
      </c>
      <c r="C294" t="s">
        <v>139</v>
      </c>
      <c r="D294" t="s">
        <v>117</v>
      </c>
      <c r="E294" t="s">
        <v>176</v>
      </c>
      <c r="F294" t="s">
        <v>1013</v>
      </c>
      <c r="G294" t="s">
        <v>1712</v>
      </c>
      <c r="H294" t="s">
        <v>27</v>
      </c>
    </row>
    <row r="295" spans="1:9" hidden="1">
      <c r="A295" t="s">
        <v>1713</v>
      </c>
      <c r="B295" t="s">
        <v>1287</v>
      </c>
      <c r="C295" t="s">
        <v>117</v>
      </c>
      <c r="D295" t="s">
        <v>42</v>
      </c>
      <c r="E295" t="s">
        <v>126</v>
      </c>
      <c r="F295" t="s">
        <v>1288</v>
      </c>
      <c r="G295" t="s">
        <v>1714</v>
      </c>
      <c r="H295" t="s">
        <v>27</v>
      </c>
    </row>
    <row r="296" spans="1:9" hidden="1">
      <c r="A296" t="s">
        <v>1715</v>
      </c>
      <c r="B296" t="s">
        <v>903</v>
      </c>
      <c r="C296" t="s">
        <v>113</v>
      </c>
      <c r="D296" t="s">
        <v>63</v>
      </c>
      <c r="E296" t="s">
        <v>126</v>
      </c>
      <c r="F296" t="s">
        <v>904</v>
      </c>
      <c r="G296" t="s">
        <v>1716</v>
      </c>
      <c r="H296" t="s">
        <v>27</v>
      </c>
    </row>
    <row r="297" spans="1:9" hidden="1">
      <c r="A297" t="s">
        <v>1717</v>
      </c>
      <c r="B297" t="s">
        <v>601</v>
      </c>
      <c r="C297" t="s">
        <v>113</v>
      </c>
      <c r="D297" t="s">
        <v>139</v>
      </c>
      <c r="E297" t="s">
        <v>117</v>
      </c>
      <c r="F297" t="s">
        <v>602</v>
      </c>
      <c r="G297" t="s">
        <v>1700</v>
      </c>
      <c r="H297" t="s">
        <v>27</v>
      </c>
      <c r="I297">
        <v>4</v>
      </c>
    </row>
    <row r="298" spans="1:9" hidden="1">
      <c r="A298" t="s">
        <v>1718</v>
      </c>
      <c r="B298" t="s">
        <v>1474</v>
      </c>
      <c r="C298" t="s">
        <v>113</v>
      </c>
      <c r="D298" t="s">
        <v>139</v>
      </c>
      <c r="E298" t="s">
        <v>233</v>
      </c>
      <c r="F298" t="s">
        <v>1475</v>
      </c>
      <c r="G298" t="s">
        <v>1719</v>
      </c>
      <c r="H298" t="s">
        <v>27</v>
      </c>
      <c r="I298">
        <v>1</v>
      </c>
    </row>
    <row r="299" spans="1:9" hidden="1">
      <c r="A299" t="s">
        <v>1720</v>
      </c>
      <c r="B299" t="s">
        <v>912</v>
      </c>
      <c r="C299" t="s">
        <v>113</v>
      </c>
      <c r="D299" t="s">
        <v>154</v>
      </c>
      <c r="E299" t="s">
        <v>126</v>
      </c>
      <c r="F299" t="s">
        <v>913</v>
      </c>
      <c r="G299" t="s">
        <v>1721</v>
      </c>
      <c r="H299" t="s">
        <v>27</v>
      </c>
    </row>
    <row r="300" spans="1:9">
      <c r="A300" t="s">
        <v>1722</v>
      </c>
      <c r="B300" t="s">
        <v>1723</v>
      </c>
      <c r="C300" t="s">
        <v>113</v>
      </c>
      <c r="D300" t="s">
        <v>797</v>
      </c>
      <c r="E300" t="s">
        <v>1081</v>
      </c>
      <c r="F300" t="s">
        <v>126</v>
      </c>
      <c r="G300" t="s">
        <v>1666</v>
      </c>
      <c r="H300" t="s">
        <v>27</v>
      </c>
    </row>
    <row r="301" spans="1:9" hidden="1">
      <c r="A301" t="s">
        <v>1724</v>
      </c>
      <c r="B301" t="s">
        <v>1142</v>
      </c>
      <c r="C301" t="s">
        <v>113</v>
      </c>
      <c r="D301" t="s">
        <v>42</v>
      </c>
      <c r="E301" t="s">
        <v>65</v>
      </c>
      <c r="F301" t="s">
        <v>1143</v>
      </c>
      <c r="G301" t="s">
        <v>1725</v>
      </c>
      <c r="H301" t="s">
        <v>27</v>
      </c>
    </row>
    <row r="302" spans="1:9" hidden="1">
      <c r="A302" t="s">
        <v>1726</v>
      </c>
      <c r="B302" t="s">
        <v>488</v>
      </c>
      <c r="C302" t="s">
        <v>125</v>
      </c>
      <c r="D302" t="s">
        <v>126</v>
      </c>
      <c r="E302" t="s">
        <v>126</v>
      </c>
      <c r="F302" t="s">
        <v>489</v>
      </c>
      <c r="G302" t="s">
        <v>1727</v>
      </c>
      <c r="H302" t="s">
        <v>27</v>
      </c>
    </row>
    <row r="303" spans="1:9" hidden="1">
      <c r="A303" t="s">
        <v>1728</v>
      </c>
      <c r="B303" t="s">
        <v>835</v>
      </c>
      <c r="C303" t="s">
        <v>113</v>
      </c>
      <c r="D303" t="s">
        <v>42</v>
      </c>
      <c r="E303" t="s">
        <v>126</v>
      </c>
      <c r="F303" t="s">
        <v>836</v>
      </c>
      <c r="G303" t="s">
        <v>1729</v>
      </c>
      <c r="H303" t="s">
        <v>27</v>
      </c>
    </row>
    <row r="304" spans="1:9" hidden="1">
      <c r="A304" t="s">
        <v>1730</v>
      </c>
      <c r="B304" t="s">
        <v>1203</v>
      </c>
      <c r="C304" t="s">
        <v>113</v>
      </c>
      <c r="D304" t="s">
        <v>117</v>
      </c>
      <c r="E304" t="s">
        <v>44</v>
      </c>
      <c r="F304" t="s">
        <v>1204</v>
      </c>
      <c r="G304" t="s">
        <v>1731</v>
      </c>
      <c r="H304" t="s">
        <v>27</v>
      </c>
      <c r="I304">
        <v>2</v>
      </c>
    </row>
    <row r="305" spans="1:9" hidden="1">
      <c r="A305" t="s">
        <v>1732</v>
      </c>
      <c r="B305" t="s">
        <v>1077</v>
      </c>
      <c r="C305" t="s">
        <v>117</v>
      </c>
      <c r="D305" t="s">
        <v>647</v>
      </c>
      <c r="E305" t="s">
        <v>768</v>
      </c>
      <c r="F305" t="s">
        <v>1078</v>
      </c>
      <c r="G305" t="s">
        <v>1733</v>
      </c>
      <c r="H305" t="s">
        <v>27</v>
      </c>
      <c r="I305">
        <v>1</v>
      </c>
    </row>
    <row r="306" spans="1:9" hidden="1">
      <c r="A306" t="s">
        <v>1734</v>
      </c>
      <c r="B306" t="s">
        <v>937</v>
      </c>
      <c r="C306" t="s">
        <v>113</v>
      </c>
      <c r="D306" t="s">
        <v>511</v>
      </c>
      <c r="E306" t="s">
        <v>938</v>
      </c>
      <c r="F306" t="s">
        <v>939</v>
      </c>
      <c r="G306" t="s">
        <v>1735</v>
      </c>
      <c r="H306" t="s">
        <v>27</v>
      </c>
    </row>
    <row r="307" spans="1:9" hidden="1">
      <c r="A307" t="s">
        <v>1736</v>
      </c>
      <c r="B307" t="s">
        <v>1550</v>
      </c>
      <c r="C307" t="s">
        <v>113</v>
      </c>
      <c r="D307" t="s">
        <v>209</v>
      </c>
      <c r="E307" t="s">
        <v>172</v>
      </c>
      <c r="F307" t="s">
        <v>1551</v>
      </c>
      <c r="G307" t="s">
        <v>1737</v>
      </c>
      <c r="H307" t="s">
        <v>27</v>
      </c>
      <c r="I307">
        <v>2</v>
      </c>
    </row>
    <row r="308" spans="1:9" hidden="1">
      <c r="A308" t="s">
        <v>1738</v>
      </c>
      <c r="B308" t="s">
        <v>878</v>
      </c>
      <c r="C308" t="s">
        <v>233</v>
      </c>
      <c r="D308" t="s">
        <v>117</v>
      </c>
      <c r="E308" t="s">
        <v>160</v>
      </c>
      <c r="F308" t="s">
        <v>879</v>
      </c>
      <c r="G308" t="s">
        <v>1739</v>
      </c>
      <c r="H308" t="s">
        <v>27</v>
      </c>
      <c r="I308">
        <v>1</v>
      </c>
    </row>
    <row r="309" spans="1:9" hidden="1">
      <c r="A309" t="s">
        <v>1740</v>
      </c>
      <c r="B309" t="s">
        <v>1262</v>
      </c>
      <c r="C309" t="s">
        <v>233</v>
      </c>
      <c r="D309" t="s">
        <v>42</v>
      </c>
      <c r="E309" t="s">
        <v>84</v>
      </c>
      <c r="F309" t="s">
        <v>1263</v>
      </c>
      <c r="G309" t="s">
        <v>1676</v>
      </c>
      <c r="H309" t="s">
        <v>27</v>
      </c>
    </row>
    <row r="310" spans="1:9" hidden="1">
      <c r="A310" t="s">
        <v>1741</v>
      </c>
      <c r="B310" t="s">
        <v>779</v>
      </c>
      <c r="C310" t="s">
        <v>113</v>
      </c>
      <c r="D310" t="s">
        <v>208</v>
      </c>
      <c r="E310" t="s">
        <v>209</v>
      </c>
      <c r="F310" t="s">
        <v>780</v>
      </c>
      <c r="G310" t="s">
        <v>1742</v>
      </c>
      <c r="H310" t="s">
        <v>27</v>
      </c>
      <c r="I310">
        <v>2</v>
      </c>
    </row>
    <row r="311" spans="1:9">
      <c r="A311" t="s">
        <v>1743</v>
      </c>
      <c r="B311" t="s">
        <v>1744</v>
      </c>
      <c r="C311" t="s">
        <v>113</v>
      </c>
      <c r="D311" t="s">
        <v>117</v>
      </c>
      <c r="E311" t="s">
        <v>84</v>
      </c>
      <c r="F311" t="s">
        <v>126</v>
      </c>
      <c r="G311" t="s">
        <v>1745</v>
      </c>
      <c r="H311" t="s">
        <v>27</v>
      </c>
    </row>
    <row r="312" spans="1:9" hidden="1">
      <c r="A312" t="s">
        <v>1746</v>
      </c>
      <c r="B312" t="s">
        <v>1208</v>
      </c>
      <c r="C312" t="s">
        <v>125</v>
      </c>
      <c r="D312" t="s">
        <v>126</v>
      </c>
      <c r="E312" t="s">
        <v>126</v>
      </c>
      <c r="F312" t="s">
        <v>1209</v>
      </c>
      <c r="G312" t="s">
        <v>1747</v>
      </c>
      <c r="H312" t="s">
        <v>27</v>
      </c>
    </row>
    <row r="313" spans="1:9">
      <c r="A313" t="s">
        <v>1748</v>
      </c>
      <c r="B313" t="s">
        <v>1749</v>
      </c>
      <c r="C313" t="s">
        <v>113</v>
      </c>
      <c r="D313" t="s">
        <v>42</v>
      </c>
      <c r="E313" t="s">
        <v>126</v>
      </c>
      <c r="F313" t="s">
        <v>1750</v>
      </c>
      <c r="G313" t="s">
        <v>1751</v>
      </c>
      <c r="H313" t="s">
        <v>27</v>
      </c>
    </row>
    <row r="314" spans="1:9">
      <c r="A314" t="s">
        <v>1752</v>
      </c>
      <c r="B314" t="s">
        <v>1753</v>
      </c>
      <c r="C314" t="s">
        <v>113</v>
      </c>
      <c r="D314" t="s">
        <v>117</v>
      </c>
      <c r="E314" t="s">
        <v>136</v>
      </c>
      <c r="F314" t="s">
        <v>1754</v>
      </c>
      <c r="G314" t="s">
        <v>1755</v>
      </c>
      <c r="H314" t="s">
        <v>27</v>
      </c>
      <c r="I314">
        <v>3</v>
      </c>
    </row>
    <row r="315" spans="1:9">
      <c r="A315" t="s">
        <v>1756</v>
      </c>
      <c r="B315" t="s">
        <v>1757</v>
      </c>
      <c r="C315" t="s">
        <v>272</v>
      </c>
      <c r="D315" t="s">
        <v>160</v>
      </c>
      <c r="E315" t="s">
        <v>135</v>
      </c>
      <c r="F315" t="s">
        <v>1758</v>
      </c>
      <c r="G315" t="s">
        <v>1759</v>
      </c>
      <c r="H315" t="s">
        <v>27</v>
      </c>
      <c r="I315">
        <v>4</v>
      </c>
    </row>
    <row r="316" spans="1:9" hidden="1">
      <c r="A316" t="s">
        <v>1760</v>
      </c>
      <c r="B316" t="s">
        <v>1311</v>
      </c>
      <c r="C316" t="s">
        <v>233</v>
      </c>
      <c r="D316" t="s">
        <v>117</v>
      </c>
      <c r="E316" t="s">
        <v>84</v>
      </c>
      <c r="F316" t="s">
        <v>1312</v>
      </c>
      <c r="G316" t="s">
        <v>1761</v>
      </c>
      <c r="H316" t="s">
        <v>27</v>
      </c>
    </row>
    <row r="317" spans="1:9" hidden="1">
      <c r="A317" t="s">
        <v>1762</v>
      </c>
      <c r="B317" t="s">
        <v>1046</v>
      </c>
      <c r="C317" t="s">
        <v>233</v>
      </c>
      <c r="D317" t="s">
        <v>117</v>
      </c>
      <c r="E317" t="s">
        <v>44</v>
      </c>
      <c r="F317" t="s">
        <v>1047</v>
      </c>
      <c r="G317" t="s">
        <v>1763</v>
      </c>
      <c r="H317" t="s">
        <v>27</v>
      </c>
    </row>
    <row r="318" spans="1:9" hidden="1">
      <c r="A318" t="s">
        <v>1764</v>
      </c>
      <c r="B318" t="s">
        <v>588</v>
      </c>
      <c r="C318" t="s">
        <v>272</v>
      </c>
      <c r="D318" t="s">
        <v>155</v>
      </c>
      <c r="E318" t="s">
        <v>172</v>
      </c>
      <c r="F318" t="s">
        <v>589</v>
      </c>
      <c r="G318" t="s">
        <v>1765</v>
      </c>
      <c r="H318" t="s">
        <v>27</v>
      </c>
      <c r="I318">
        <v>2</v>
      </c>
    </row>
    <row r="319" spans="1:9">
      <c r="A319" t="s">
        <v>1766</v>
      </c>
      <c r="B319" t="s">
        <v>1767</v>
      </c>
      <c r="C319" t="s">
        <v>113</v>
      </c>
      <c r="D319" t="s">
        <v>233</v>
      </c>
      <c r="E319" t="s">
        <v>172</v>
      </c>
      <c r="F319" t="s">
        <v>1768</v>
      </c>
      <c r="G319" t="s">
        <v>1769</v>
      </c>
      <c r="H319" t="s">
        <v>27</v>
      </c>
      <c r="I319">
        <v>1</v>
      </c>
    </row>
    <row r="320" spans="1:9" hidden="1">
      <c r="A320" t="s">
        <v>1770</v>
      </c>
      <c r="B320" t="s">
        <v>428</v>
      </c>
      <c r="C320" t="s">
        <v>117</v>
      </c>
      <c r="D320" t="s">
        <v>135</v>
      </c>
      <c r="E320" t="s">
        <v>136</v>
      </c>
      <c r="F320" t="s">
        <v>429</v>
      </c>
      <c r="G320" t="s">
        <v>1771</v>
      </c>
      <c r="H320" t="s">
        <v>27</v>
      </c>
      <c r="I320">
        <v>3</v>
      </c>
    </row>
    <row r="321" spans="1:9" hidden="1">
      <c r="A321" t="s">
        <v>1772</v>
      </c>
      <c r="B321" t="s">
        <v>735</v>
      </c>
      <c r="C321" t="s">
        <v>117</v>
      </c>
      <c r="D321" t="s">
        <v>44</v>
      </c>
      <c r="E321" t="s">
        <v>176</v>
      </c>
      <c r="F321" t="s">
        <v>736</v>
      </c>
      <c r="G321" t="s">
        <v>1773</v>
      </c>
      <c r="H321" t="s">
        <v>27</v>
      </c>
    </row>
    <row r="322" spans="1:9">
      <c r="A322" t="s">
        <v>1774</v>
      </c>
      <c r="B322" t="s">
        <v>1775</v>
      </c>
      <c r="C322" t="s">
        <v>113</v>
      </c>
      <c r="D322" t="s">
        <v>154</v>
      </c>
      <c r="E322" t="s">
        <v>136</v>
      </c>
      <c r="F322" t="s">
        <v>1776</v>
      </c>
      <c r="G322" t="s">
        <v>1777</v>
      </c>
      <c r="H322" t="s">
        <v>27</v>
      </c>
      <c r="I322">
        <v>2</v>
      </c>
    </row>
    <row r="323" spans="1:9">
      <c r="A323" t="s">
        <v>1778</v>
      </c>
      <c r="B323" t="s">
        <v>1779</v>
      </c>
      <c r="C323" t="s">
        <v>113</v>
      </c>
      <c r="D323" t="s">
        <v>139</v>
      </c>
      <c r="E323" t="s">
        <v>180</v>
      </c>
      <c r="F323" t="s">
        <v>1780</v>
      </c>
      <c r="G323" t="s">
        <v>1781</v>
      </c>
      <c r="H323" t="s">
        <v>27</v>
      </c>
    </row>
    <row r="324" spans="1:9" hidden="1">
      <c r="A324" t="s">
        <v>1782</v>
      </c>
      <c r="B324" t="s">
        <v>368</v>
      </c>
      <c r="C324" t="s">
        <v>113</v>
      </c>
      <c r="D324" t="s">
        <v>42</v>
      </c>
      <c r="E324" t="s">
        <v>126</v>
      </c>
      <c r="F324" t="s">
        <v>369</v>
      </c>
      <c r="G324" t="s">
        <v>1783</v>
      </c>
      <c r="H324" t="s">
        <v>27</v>
      </c>
    </row>
    <row r="325" spans="1:9" hidden="1">
      <c r="A325" t="s">
        <v>1784</v>
      </c>
      <c r="B325" t="s">
        <v>973</v>
      </c>
      <c r="C325" t="s">
        <v>113</v>
      </c>
      <c r="D325" t="s">
        <v>154</v>
      </c>
      <c r="E325" t="s">
        <v>511</v>
      </c>
      <c r="F325" t="s">
        <v>974</v>
      </c>
      <c r="G325" t="s">
        <v>1666</v>
      </c>
      <c r="H325" t="s">
        <v>27</v>
      </c>
      <c r="I325">
        <v>4</v>
      </c>
    </row>
    <row r="326" spans="1:9">
      <c r="A326" t="s">
        <v>1785</v>
      </c>
      <c r="B326" t="s">
        <v>1786</v>
      </c>
      <c r="C326" t="s">
        <v>113</v>
      </c>
      <c r="D326" t="s">
        <v>176</v>
      </c>
      <c r="E326" t="s">
        <v>65</v>
      </c>
      <c r="F326" t="s">
        <v>1787</v>
      </c>
      <c r="G326" t="s">
        <v>1788</v>
      </c>
      <c r="H326" t="s">
        <v>27</v>
      </c>
    </row>
    <row r="327" spans="1:9" hidden="1">
      <c r="A327" t="s">
        <v>1789</v>
      </c>
      <c r="B327" t="s">
        <v>1388</v>
      </c>
      <c r="C327" t="s">
        <v>113</v>
      </c>
      <c r="D327" t="s">
        <v>272</v>
      </c>
      <c r="E327" t="s">
        <v>160</v>
      </c>
      <c r="F327" t="s">
        <v>126</v>
      </c>
      <c r="G327" t="s">
        <v>1790</v>
      </c>
      <c r="H327" t="s">
        <v>27</v>
      </c>
      <c r="I327">
        <v>2</v>
      </c>
    </row>
    <row r="328" spans="1:9" hidden="1">
      <c r="A328" t="s">
        <v>1791</v>
      </c>
      <c r="B328" t="s">
        <v>1221</v>
      </c>
      <c r="C328" t="s">
        <v>113</v>
      </c>
      <c r="D328" t="s">
        <v>154</v>
      </c>
      <c r="E328" t="s">
        <v>511</v>
      </c>
      <c r="F328" t="s">
        <v>126</v>
      </c>
      <c r="G328" t="s">
        <v>1792</v>
      </c>
      <c r="H328" t="s">
        <v>27</v>
      </c>
      <c r="I328">
        <v>4</v>
      </c>
    </row>
    <row r="329" spans="1:9" hidden="1">
      <c r="A329" t="s">
        <v>1793</v>
      </c>
      <c r="B329" t="s">
        <v>538</v>
      </c>
      <c r="C329" t="s">
        <v>113</v>
      </c>
      <c r="D329" t="s">
        <v>42</v>
      </c>
      <c r="E329" t="s">
        <v>451</v>
      </c>
      <c r="F329" t="s">
        <v>539</v>
      </c>
      <c r="G329" t="s">
        <v>1794</v>
      </c>
      <c r="H329" t="s">
        <v>27</v>
      </c>
    </row>
    <row r="330" spans="1:9" hidden="1">
      <c r="A330" t="s">
        <v>1795</v>
      </c>
      <c r="B330" t="s">
        <v>575</v>
      </c>
      <c r="C330" t="s">
        <v>113</v>
      </c>
      <c r="D330" t="s">
        <v>63</v>
      </c>
      <c r="E330" t="s">
        <v>126</v>
      </c>
      <c r="F330" t="s">
        <v>576</v>
      </c>
      <c r="G330" t="s">
        <v>1796</v>
      </c>
      <c r="H330" t="s">
        <v>27</v>
      </c>
    </row>
    <row r="331" spans="1:9" hidden="1">
      <c r="A331" t="s">
        <v>1797</v>
      </c>
      <c r="B331" t="s">
        <v>945</v>
      </c>
      <c r="C331" t="s">
        <v>136</v>
      </c>
      <c r="D331" t="s">
        <v>121</v>
      </c>
      <c r="E331" t="s">
        <v>229</v>
      </c>
      <c r="F331" t="s">
        <v>126</v>
      </c>
      <c r="G331" t="s">
        <v>1798</v>
      </c>
      <c r="H331" t="s">
        <v>27</v>
      </c>
    </row>
    <row r="332" spans="1:9" hidden="1">
      <c r="A332" t="s">
        <v>1799</v>
      </c>
      <c r="B332" t="s">
        <v>1396</v>
      </c>
      <c r="C332" t="s">
        <v>113</v>
      </c>
      <c r="D332" t="s">
        <v>233</v>
      </c>
      <c r="E332" t="s">
        <v>624</v>
      </c>
      <c r="F332" t="s">
        <v>126</v>
      </c>
      <c r="G332" t="s">
        <v>1800</v>
      </c>
      <c r="H332" t="s">
        <v>27</v>
      </c>
    </row>
    <row r="333" spans="1:9" hidden="1">
      <c r="A333" t="s">
        <v>1801</v>
      </c>
      <c r="B333" t="s">
        <v>1236</v>
      </c>
      <c r="C333" t="s">
        <v>113</v>
      </c>
      <c r="D333" t="s">
        <v>139</v>
      </c>
      <c r="E333" t="s">
        <v>117</v>
      </c>
      <c r="F333" t="s">
        <v>1237</v>
      </c>
      <c r="G333" t="s">
        <v>1802</v>
      </c>
      <c r="H333" t="s">
        <v>27</v>
      </c>
      <c r="I333">
        <v>1</v>
      </c>
    </row>
    <row r="334" spans="1:9" hidden="1">
      <c r="A334" t="s">
        <v>1803</v>
      </c>
      <c r="B334" t="s">
        <v>374</v>
      </c>
      <c r="C334" t="s">
        <v>154</v>
      </c>
      <c r="D334" t="s">
        <v>155</v>
      </c>
      <c r="E334" t="s">
        <v>86</v>
      </c>
      <c r="F334" t="s">
        <v>375</v>
      </c>
      <c r="G334" t="s">
        <v>1804</v>
      </c>
      <c r="H334" t="s">
        <v>27</v>
      </c>
    </row>
    <row r="335" spans="1:9" hidden="1">
      <c r="A335" t="s">
        <v>1805</v>
      </c>
      <c r="B335" t="s">
        <v>1196</v>
      </c>
      <c r="C335" t="s">
        <v>113</v>
      </c>
      <c r="D335" t="s">
        <v>154</v>
      </c>
      <c r="E335" t="s">
        <v>204</v>
      </c>
      <c r="F335" t="s">
        <v>1197</v>
      </c>
      <c r="G335" t="s">
        <v>1806</v>
      </c>
      <c r="H335" t="s">
        <v>27</v>
      </c>
    </row>
    <row r="336" spans="1:9">
      <c r="A336" t="s">
        <v>1807</v>
      </c>
      <c r="B336" t="s">
        <v>1808</v>
      </c>
      <c r="C336" t="s">
        <v>139</v>
      </c>
      <c r="D336" t="s">
        <v>117</v>
      </c>
      <c r="E336" t="s">
        <v>63</v>
      </c>
      <c r="F336" t="s">
        <v>1809</v>
      </c>
      <c r="G336" t="s">
        <v>1810</v>
      </c>
      <c r="H336" t="s">
        <v>27</v>
      </c>
      <c r="I336">
        <v>3</v>
      </c>
    </row>
    <row r="337" spans="1:9" hidden="1">
      <c r="A337" t="s">
        <v>1811</v>
      </c>
      <c r="B337" t="s">
        <v>892</v>
      </c>
      <c r="C337" t="s">
        <v>113</v>
      </c>
      <c r="D337" t="s">
        <v>154</v>
      </c>
      <c r="E337" t="s">
        <v>65</v>
      </c>
      <c r="F337" t="s">
        <v>893</v>
      </c>
      <c r="G337" t="s">
        <v>1812</v>
      </c>
      <c r="H337" t="s">
        <v>27</v>
      </c>
      <c r="I337">
        <v>2</v>
      </c>
    </row>
    <row r="338" spans="1:9" hidden="1">
      <c r="A338" t="s">
        <v>1813</v>
      </c>
      <c r="B338" t="s">
        <v>1245</v>
      </c>
      <c r="C338" t="s">
        <v>113</v>
      </c>
      <c r="D338" t="s">
        <v>139</v>
      </c>
      <c r="E338" t="s">
        <v>233</v>
      </c>
      <c r="F338" t="s">
        <v>1246</v>
      </c>
      <c r="G338" t="s">
        <v>1814</v>
      </c>
      <c r="H338" t="s">
        <v>27</v>
      </c>
      <c r="I338">
        <v>2</v>
      </c>
    </row>
    <row r="339" spans="1:9" hidden="1">
      <c r="A339" t="s">
        <v>1815</v>
      </c>
      <c r="B339" t="s">
        <v>1293</v>
      </c>
      <c r="C339" t="s">
        <v>113</v>
      </c>
      <c r="D339" t="s">
        <v>550</v>
      </c>
      <c r="E339" t="s">
        <v>126</v>
      </c>
      <c r="F339" t="s">
        <v>126</v>
      </c>
      <c r="G339" t="s">
        <v>1816</v>
      </c>
      <c r="H339" t="s">
        <v>27</v>
      </c>
    </row>
    <row r="340" spans="1:9" hidden="1">
      <c r="A340" t="s">
        <v>1817</v>
      </c>
      <c r="B340" t="s">
        <v>805</v>
      </c>
      <c r="C340" t="s">
        <v>113</v>
      </c>
      <c r="D340" t="s">
        <v>42</v>
      </c>
      <c r="E340" t="s">
        <v>126</v>
      </c>
      <c r="F340" t="s">
        <v>806</v>
      </c>
      <c r="G340" t="s">
        <v>1698</v>
      </c>
      <c r="H340" t="s">
        <v>27</v>
      </c>
    </row>
    <row r="341" spans="1:9" hidden="1">
      <c r="A341" t="s">
        <v>1818</v>
      </c>
      <c r="B341" t="s">
        <v>420</v>
      </c>
      <c r="C341" t="s">
        <v>113</v>
      </c>
      <c r="D341" t="s">
        <v>176</v>
      </c>
      <c r="E341" t="s">
        <v>204</v>
      </c>
      <c r="F341" t="s">
        <v>421</v>
      </c>
      <c r="G341" t="s">
        <v>1819</v>
      </c>
      <c r="H341" t="s">
        <v>27</v>
      </c>
    </row>
    <row r="342" spans="1:9" hidden="1">
      <c r="A342" t="s">
        <v>1820</v>
      </c>
      <c r="B342" t="s">
        <v>467</v>
      </c>
      <c r="C342" t="s">
        <v>113</v>
      </c>
      <c r="D342" t="s">
        <v>154</v>
      </c>
      <c r="E342" t="s">
        <v>217</v>
      </c>
      <c r="F342" t="s">
        <v>468</v>
      </c>
      <c r="G342" t="s">
        <v>1821</v>
      </c>
      <c r="H342" t="s">
        <v>27</v>
      </c>
    </row>
    <row r="343" spans="1:9">
      <c r="A343" t="s">
        <v>1822</v>
      </c>
      <c r="B343" t="s">
        <v>1823</v>
      </c>
      <c r="C343" t="s">
        <v>113</v>
      </c>
      <c r="D343" t="s">
        <v>117</v>
      </c>
      <c r="E343" t="s">
        <v>44</v>
      </c>
      <c r="F343" t="s">
        <v>126</v>
      </c>
      <c r="G343" t="s">
        <v>1781</v>
      </c>
      <c r="H343" t="s">
        <v>27</v>
      </c>
      <c r="I343">
        <v>1</v>
      </c>
    </row>
    <row r="344" spans="1:9" hidden="1">
      <c r="A344" t="s">
        <v>1824</v>
      </c>
      <c r="B344" t="s">
        <v>1655</v>
      </c>
      <c r="C344" t="s">
        <v>117</v>
      </c>
      <c r="D344" t="s">
        <v>63</v>
      </c>
      <c r="E344" t="s">
        <v>184</v>
      </c>
      <c r="F344" t="s">
        <v>126</v>
      </c>
      <c r="G344" t="s">
        <v>1825</v>
      </c>
      <c r="H344" t="s">
        <v>27</v>
      </c>
    </row>
    <row r="345" spans="1:9">
      <c r="A345" t="s">
        <v>1826</v>
      </c>
      <c r="B345" t="s">
        <v>1827</v>
      </c>
      <c r="C345" t="s">
        <v>113</v>
      </c>
      <c r="D345" t="s">
        <v>117</v>
      </c>
      <c r="E345" t="s">
        <v>44</v>
      </c>
      <c r="F345" t="s">
        <v>1828</v>
      </c>
      <c r="G345" t="s">
        <v>1829</v>
      </c>
      <c r="H345" t="s">
        <v>27</v>
      </c>
      <c r="I345">
        <v>1</v>
      </c>
    </row>
    <row r="346" spans="1:9">
      <c r="A346" t="s">
        <v>1830</v>
      </c>
      <c r="B346" t="s">
        <v>1831</v>
      </c>
      <c r="C346" t="s">
        <v>117</v>
      </c>
      <c r="D346" t="s">
        <v>135</v>
      </c>
      <c r="E346" t="s">
        <v>136</v>
      </c>
      <c r="F346" t="s">
        <v>1832</v>
      </c>
      <c r="G346" t="s">
        <v>1833</v>
      </c>
      <c r="H346" t="s">
        <v>27</v>
      </c>
      <c r="I346">
        <v>1</v>
      </c>
    </row>
    <row r="347" spans="1:9">
      <c r="A347" t="s">
        <v>1834</v>
      </c>
      <c r="B347" t="s">
        <v>1835</v>
      </c>
      <c r="C347" t="s">
        <v>135</v>
      </c>
      <c r="D347" t="s">
        <v>136</v>
      </c>
      <c r="E347" t="s">
        <v>217</v>
      </c>
      <c r="F347" t="s">
        <v>1836</v>
      </c>
      <c r="G347" t="s">
        <v>1837</v>
      </c>
      <c r="H347" t="s">
        <v>27</v>
      </c>
    </row>
    <row r="348" spans="1:9" hidden="1">
      <c r="A348" t="s">
        <v>1838</v>
      </c>
      <c r="B348" t="s">
        <v>866</v>
      </c>
      <c r="C348" t="s">
        <v>139</v>
      </c>
      <c r="D348" t="s">
        <v>43</v>
      </c>
      <c r="E348" t="s">
        <v>155</v>
      </c>
      <c r="F348" t="s">
        <v>867</v>
      </c>
      <c r="G348" t="s">
        <v>1839</v>
      </c>
      <c r="H348" t="s">
        <v>27</v>
      </c>
      <c r="I348">
        <v>1</v>
      </c>
    </row>
    <row r="349" spans="1:9" hidden="1">
      <c r="A349" t="s">
        <v>1840</v>
      </c>
      <c r="B349" t="s">
        <v>992</v>
      </c>
      <c r="C349" t="s">
        <v>67</v>
      </c>
      <c r="D349" t="s">
        <v>126</v>
      </c>
      <c r="E349" t="s">
        <v>126</v>
      </c>
      <c r="F349" t="s">
        <v>993</v>
      </c>
      <c r="G349" t="s">
        <v>1841</v>
      </c>
      <c r="H349" t="s">
        <v>27</v>
      </c>
    </row>
    <row r="350" spans="1:9" hidden="1">
      <c r="A350" t="s">
        <v>1842</v>
      </c>
      <c r="B350" t="s">
        <v>543</v>
      </c>
      <c r="C350" t="s">
        <v>113</v>
      </c>
      <c r="D350" t="s">
        <v>42</v>
      </c>
      <c r="E350" t="s">
        <v>126</v>
      </c>
      <c r="F350" t="s">
        <v>544</v>
      </c>
      <c r="G350" t="s">
        <v>1843</v>
      </c>
      <c r="H350" t="s">
        <v>27</v>
      </c>
    </row>
    <row r="351" spans="1:9" hidden="1">
      <c r="A351" t="s">
        <v>1844</v>
      </c>
      <c r="B351" t="s">
        <v>401</v>
      </c>
      <c r="C351" t="s">
        <v>233</v>
      </c>
      <c r="D351" t="s">
        <v>42</v>
      </c>
      <c r="E351" t="s">
        <v>263</v>
      </c>
      <c r="F351" t="s">
        <v>402</v>
      </c>
      <c r="G351" t="s">
        <v>1845</v>
      </c>
      <c r="H351" t="s">
        <v>27</v>
      </c>
    </row>
    <row r="352" spans="1:9" hidden="1">
      <c r="A352" t="s">
        <v>1846</v>
      </c>
      <c r="B352" t="s">
        <v>841</v>
      </c>
      <c r="C352" t="s">
        <v>139</v>
      </c>
      <c r="D352" t="s">
        <v>43</v>
      </c>
      <c r="E352" t="s">
        <v>155</v>
      </c>
      <c r="F352" t="s">
        <v>842</v>
      </c>
      <c r="G352" t="s">
        <v>1847</v>
      </c>
      <c r="H352" t="s">
        <v>27</v>
      </c>
      <c r="I352">
        <v>1</v>
      </c>
    </row>
    <row r="353" spans="1:9">
      <c r="A353" t="s">
        <v>1848</v>
      </c>
      <c r="B353" t="s">
        <v>1849</v>
      </c>
      <c r="C353" t="s">
        <v>113</v>
      </c>
      <c r="D353" t="s">
        <v>42</v>
      </c>
      <c r="E353" t="s">
        <v>217</v>
      </c>
      <c r="F353" t="s">
        <v>1850</v>
      </c>
      <c r="G353" t="s">
        <v>1851</v>
      </c>
      <c r="H353" t="s">
        <v>27</v>
      </c>
    </row>
    <row r="354" spans="1:9" hidden="1">
      <c r="A354" t="s">
        <v>1852</v>
      </c>
      <c r="B354" t="s">
        <v>1400</v>
      </c>
      <c r="C354" t="s">
        <v>117</v>
      </c>
      <c r="D354" t="s">
        <v>42</v>
      </c>
      <c r="E354" t="s">
        <v>126</v>
      </c>
      <c r="F354" t="s">
        <v>1401</v>
      </c>
      <c r="G354" t="s">
        <v>1853</v>
      </c>
      <c r="H354" t="s">
        <v>27</v>
      </c>
    </row>
    <row r="355" spans="1:9">
      <c r="A355" t="s">
        <v>1854</v>
      </c>
      <c r="B355" t="s">
        <v>1855</v>
      </c>
      <c r="C355" t="s">
        <v>117</v>
      </c>
      <c r="D355" t="s">
        <v>42</v>
      </c>
      <c r="E355" t="s">
        <v>126</v>
      </c>
      <c r="F355" t="s">
        <v>126</v>
      </c>
      <c r="G355" t="s">
        <v>1856</v>
      </c>
      <c r="H355" t="s">
        <v>27</v>
      </c>
    </row>
    <row r="356" spans="1:9" hidden="1">
      <c r="A356" t="s">
        <v>1857</v>
      </c>
      <c r="B356" t="s">
        <v>719</v>
      </c>
      <c r="C356" t="s">
        <v>113</v>
      </c>
      <c r="D356" t="s">
        <v>117</v>
      </c>
      <c r="E356" t="s">
        <v>42</v>
      </c>
      <c r="F356" t="s">
        <v>720</v>
      </c>
      <c r="G356" t="s">
        <v>1704</v>
      </c>
      <c r="H356" t="s">
        <v>27</v>
      </c>
      <c r="I356">
        <v>2</v>
      </c>
    </row>
    <row r="357" spans="1:9" hidden="1">
      <c r="A357" t="s">
        <v>1858</v>
      </c>
      <c r="B357" t="s">
        <v>1303</v>
      </c>
      <c r="C357" t="s">
        <v>233</v>
      </c>
      <c r="D357" t="s">
        <v>959</v>
      </c>
      <c r="E357" t="s">
        <v>126</v>
      </c>
      <c r="F357" t="s">
        <v>126</v>
      </c>
      <c r="G357" t="s">
        <v>1859</v>
      </c>
      <c r="H357" t="s">
        <v>27</v>
      </c>
    </row>
    <row r="358" spans="1:9" hidden="1">
      <c r="A358" t="s">
        <v>1860</v>
      </c>
      <c r="B358" t="s">
        <v>1149</v>
      </c>
      <c r="C358" t="s">
        <v>113</v>
      </c>
      <c r="D358" t="s">
        <v>139</v>
      </c>
      <c r="E358" t="s">
        <v>209</v>
      </c>
      <c r="F358" t="s">
        <v>1150</v>
      </c>
      <c r="G358" t="s">
        <v>1861</v>
      </c>
      <c r="H358" t="s">
        <v>27</v>
      </c>
      <c r="I358">
        <v>1</v>
      </c>
    </row>
    <row r="359" spans="1:9" hidden="1">
      <c r="A359" t="s">
        <v>1862</v>
      </c>
      <c r="B359" t="s">
        <v>976</v>
      </c>
      <c r="C359" t="s">
        <v>233</v>
      </c>
      <c r="D359" t="s">
        <v>154</v>
      </c>
      <c r="E359" t="s">
        <v>126</v>
      </c>
      <c r="F359" t="s">
        <v>126</v>
      </c>
      <c r="G359" t="s">
        <v>1863</v>
      </c>
      <c r="H359" t="s">
        <v>27</v>
      </c>
    </row>
    <row r="360" spans="1:9" hidden="1">
      <c r="A360" t="s">
        <v>1864</v>
      </c>
      <c r="B360" t="s">
        <v>1376</v>
      </c>
      <c r="C360" t="s">
        <v>117</v>
      </c>
      <c r="D360" t="s">
        <v>42</v>
      </c>
      <c r="E360" t="s">
        <v>160</v>
      </c>
      <c r="F360" t="s">
        <v>126</v>
      </c>
      <c r="G360" t="s">
        <v>1865</v>
      </c>
      <c r="H360" t="s">
        <v>27</v>
      </c>
      <c r="I360">
        <v>2</v>
      </c>
    </row>
    <row r="361" spans="1:9">
      <c r="A361" t="s">
        <v>1866</v>
      </c>
      <c r="B361" t="s">
        <v>1867</v>
      </c>
      <c r="C361" t="s">
        <v>44</v>
      </c>
      <c r="D361" t="s">
        <v>1081</v>
      </c>
      <c r="E361" t="s">
        <v>126</v>
      </c>
      <c r="F361" t="s">
        <v>1868</v>
      </c>
      <c r="G361" t="s">
        <v>1869</v>
      </c>
      <c r="H361" t="s">
        <v>27</v>
      </c>
    </row>
    <row r="362" spans="1:9" hidden="1">
      <c r="A362" t="s">
        <v>1870</v>
      </c>
      <c r="B362" t="s">
        <v>1390</v>
      </c>
      <c r="C362" t="s">
        <v>113</v>
      </c>
      <c r="D362" t="s">
        <v>154</v>
      </c>
      <c r="E362" t="s">
        <v>511</v>
      </c>
      <c r="F362" t="s">
        <v>1391</v>
      </c>
      <c r="G362" t="s">
        <v>1871</v>
      </c>
      <c r="H362" t="s">
        <v>27</v>
      </c>
      <c r="I362">
        <v>4</v>
      </c>
    </row>
    <row r="363" spans="1:9">
      <c r="A363" t="s">
        <v>1872</v>
      </c>
      <c r="B363" t="s">
        <v>1873</v>
      </c>
      <c r="C363" t="s">
        <v>113</v>
      </c>
      <c r="D363" t="s">
        <v>117</v>
      </c>
      <c r="E363" t="s">
        <v>136</v>
      </c>
      <c r="F363" t="s">
        <v>1874</v>
      </c>
      <c r="G363" t="s">
        <v>1875</v>
      </c>
      <c r="H363" t="s">
        <v>27</v>
      </c>
      <c r="I363">
        <v>5</v>
      </c>
    </row>
    <row r="364" spans="1:9" hidden="1">
      <c r="A364" t="s">
        <v>1876</v>
      </c>
      <c r="B364" t="s">
        <v>585</v>
      </c>
      <c r="C364" t="s">
        <v>113</v>
      </c>
      <c r="D364" t="s">
        <v>63</v>
      </c>
      <c r="E364" t="s">
        <v>172</v>
      </c>
      <c r="F364" t="s">
        <v>586</v>
      </c>
      <c r="G364" t="s">
        <v>1877</v>
      </c>
      <c r="H364" t="s">
        <v>27</v>
      </c>
      <c r="I364">
        <v>1</v>
      </c>
    </row>
    <row r="365" spans="1:9" hidden="1">
      <c r="A365" t="s">
        <v>1878</v>
      </c>
      <c r="B365" t="s">
        <v>413</v>
      </c>
      <c r="C365" t="s">
        <v>117</v>
      </c>
      <c r="D365" t="s">
        <v>42</v>
      </c>
      <c r="E365" t="s">
        <v>204</v>
      </c>
      <c r="F365" t="s">
        <v>414</v>
      </c>
      <c r="G365" t="s">
        <v>1879</v>
      </c>
      <c r="H365" t="s">
        <v>27</v>
      </c>
    </row>
    <row r="366" spans="1:9" hidden="1">
      <c r="A366" t="s">
        <v>1880</v>
      </c>
      <c r="B366" t="s">
        <v>995</v>
      </c>
      <c r="C366" t="s">
        <v>113</v>
      </c>
      <c r="D366" t="s">
        <v>63</v>
      </c>
      <c r="E366" t="s">
        <v>126</v>
      </c>
      <c r="F366" t="s">
        <v>996</v>
      </c>
      <c r="G366" t="s">
        <v>1841</v>
      </c>
      <c r="H366" t="s">
        <v>27</v>
      </c>
    </row>
    <row r="367" spans="1:9">
      <c r="A367" t="s">
        <v>1881</v>
      </c>
      <c r="B367" t="s">
        <v>1882</v>
      </c>
      <c r="C367" t="s">
        <v>113</v>
      </c>
      <c r="D367" t="s">
        <v>117</v>
      </c>
      <c r="E367" t="s">
        <v>63</v>
      </c>
      <c r="F367" t="s">
        <v>1883</v>
      </c>
      <c r="G367" t="s">
        <v>1884</v>
      </c>
      <c r="H367" t="s">
        <v>27</v>
      </c>
      <c r="I367">
        <v>2</v>
      </c>
    </row>
    <row r="368" spans="1:9" hidden="1">
      <c r="A368" t="s">
        <v>1885</v>
      </c>
      <c r="B368" t="s">
        <v>753</v>
      </c>
      <c r="C368" t="s">
        <v>113</v>
      </c>
      <c r="D368" t="s">
        <v>42</v>
      </c>
      <c r="E368" t="s">
        <v>256</v>
      </c>
      <c r="F368" t="s">
        <v>754</v>
      </c>
      <c r="G368" t="s">
        <v>1886</v>
      </c>
      <c r="H368" t="s">
        <v>27</v>
      </c>
    </row>
    <row r="369" spans="1:9">
      <c r="A369" t="s">
        <v>1887</v>
      </c>
      <c r="B369" t="s">
        <v>1888</v>
      </c>
      <c r="C369" t="s">
        <v>113</v>
      </c>
      <c r="D369" t="s">
        <v>139</v>
      </c>
      <c r="E369" t="s">
        <v>213</v>
      </c>
      <c r="F369" t="s">
        <v>1889</v>
      </c>
      <c r="G369" t="s">
        <v>1890</v>
      </c>
      <c r="H369" t="s">
        <v>27</v>
      </c>
    </row>
    <row r="370" spans="1:9" hidden="1">
      <c r="A370" t="s">
        <v>1891</v>
      </c>
      <c r="B370" t="s">
        <v>514</v>
      </c>
      <c r="C370" t="s">
        <v>42</v>
      </c>
      <c r="D370" t="s">
        <v>126</v>
      </c>
      <c r="E370" t="s">
        <v>126</v>
      </c>
      <c r="F370" t="s">
        <v>515</v>
      </c>
      <c r="G370" t="s">
        <v>1670</v>
      </c>
      <c r="H370" t="s">
        <v>27</v>
      </c>
    </row>
    <row r="371" spans="1:9" hidden="1">
      <c r="A371" t="s">
        <v>1892</v>
      </c>
      <c r="B371" t="s">
        <v>1393</v>
      </c>
      <c r="C371" t="s">
        <v>233</v>
      </c>
      <c r="D371" t="s">
        <v>117</v>
      </c>
      <c r="E371" t="s">
        <v>126</v>
      </c>
      <c r="F371" t="s">
        <v>1394</v>
      </c>
      <c r="G371" t="s">
        <v>1871</v>
      </c>
    </row>
    <row r="372" spans="1:9">
      <c r="A372" t="s">
        <v>1893</v>
      </c>
      <c r="B372" t="s">
        <v>1894</v>
      </c>
      <c r="C372" t="s">
        <v>113</v>
      </c>
      <c r="D372" t="s">
        <v>42</v>
      </c>
      <c r="E372" t="s">
        <v>65</v>
      </c>
      <c r="F372" t="s">
        <v>1895</v>
      </c>
      <c r="G372" t="s">
        <v>1896</v>
      </c>
    </row>
    <row r="373" spans="1:9">
      <c r="A373" t="s">
        <v>1897</v>
      </c>
      <c r="B373" t="s">
        <v>1898</v>
      </c>
      <c r="C373" t="s">
        <v>125</v>
      </c>
      <c r="D373" t="s">
        <v>126</v>
      </c>
      <c r="E373" t="s">
        <v>126</v>
      </c>
      <c r="F373" t="s">
        <v>1899</v>
      </c>
      <c r="G373" t="s">
        <v>1900</v>
      </c>
    </row>
    <row r="374" spans="1:9">
      <c r="A374" t="s">
        <v>1901</v>
      </c>
      <c r="B374" t="s">
        <v>1902</v>
      </c>
      <c r="C374" t="s">
        <v>125</v>
      </c>
      <c r="D374" t="s">
        <v>126</v>
      </c>
      <c r="E374" t="s">
        <v>126</v>
      </c>
      <c r="F374" t="s">
        <v>126</v>
      </c>
      <c r="G374" t="s">
        <v>1903</v>
      </c>
    </row>
    <row r="375" spans="1:9">
      <c r="A375" t="s">
        <v>1904</v>
      </c>
      <c r="B375" t="s">
        <v>1905</v>
      </c>
      <c r="C375" t="s">
        <v>125</v>
      </c>
      <c r="D375" t="s">
        <v>126</v>
      </c>
      <c r="E375" t="s">
        <v>126</v>
      </c>
      <c r="F375" t="s">
        <v>1906</v>
      </c>
      <c r="G375" t="s">
        <v>1886</v>
      </c>
    </row>
    <row r="376" spans="1:9" hidden="1">
      <c r="A376" t="s">
        <v>1907</v>
      </c>
      <c r="B376" t="s">
        <v>623</v>
      </c>
      <c r="C376" t="s">
        <v>113</v>
      </c>
      <c r="D376" t="s">
        <v>233</v>
      </c>
      <c r="E376" t="s">
        <v>624</v>
      </c>
      <c r="F376" t="s">
        <v>625</v>
      </c>
      <c r="G376" t="s">
        <v>1908</v>
      </c>
    </row>
    <row r="377" spans="1:9">
      <c r="A377" t="s">
        <v>1909</v>
      </c>
      <c r="B377" t="s">
        <v>1910</v>
      </c>
      <c r="C377" t="s">
        <v>139</v>
      </c>
      <c r="D377" t="s">
        <v>117</v>
      </c>
      <c r="E377" t="s">
        <v>155</v>
      </c>
      <c r="F377" t="s">
        <v>1911</v>
      </c>
      <c r="G377" t="s">
        <v>1912</v>
      </c>
      <c r="I377">
        <v>2</v>
      </c>
    </row>
    <row r="378" spans="1:9" hidden="1">
      <c r="A378" t="s">
        <v>1913</v>
      </c>
      <c r="B378" t="s">
        <v>1135</v>
      </c>
      <c r="C378" t="s">
        <v>117</v>
      </c>
      <c r="D378" t="s">
        <v>160</v>
      </c>
      <c r="E378" t="s">
        <v>126</v>
      </c>
      <c r="F378" t="s">
        <v>1136</v>
      </c>
      <c r="G378" t="s">
        <v>1914</v>
      </c>
    </row>
    <row r="379" spans="1:9" hidden="1">
      <c r="A379" t="s">
        <v>1915</v>
      </c>
      <c r="B379" t="s">
        <v>1088</v>
      </c>
      <c r="C379" t="s">
        <v>42</v>
      </c>
      <c r="D379" t="s">
        <v>126</v>
      </c>
      <c r="E379" t="s">
        <v>126</v>
      </c>
      <c r="F379" t="s">
        <v>1089</v>
      </c>
      <c r="G379" t="s">
        <v>1916</v>
      </c>
    </row>
    <row r="380" spans="1:9" hidden="1">
      <c r="A380" t="s">
        <v>1917</v>
      </c>
      <c r="B380" t="s">
        <v>713</v>
      </c>
      <c r="C380" t="s">
        <v>125</v>
      </c>
      <c r="D380" t="s">
        <v>126</v>
      </c>
      <c r="E380" t="s">
        <v>126</v>
      </c>
      <c r="F380" t="s">
        <v>714</v>
      </c>
      <c r="G380" t="s">
        <v>1918</v>
      </c>
    </row>
    <row r="381" spans="1:9">
      <c r="A381" t="s">
        <v>1919</v>
      </c>
      <c r="B381" t="s">
        <v>1920</v>
      </c>
      <c r="C381" t="s">
        <v>125</v>
      </c>
      <c r="D381" t="s">
        <v>126</v>
      </c>
      <c r="E381" t="s">
        <v>126</v>
      </c>
      <c r="F381" t="s">
        <v>1921</v>
      </c>
      <c r="G381" t="s">
        <v>1922</v>
      </c>
    </row>
    <row r="382" spans="1:9">
      <c r="A382" t="s">
        <v>1923</v>
      </c>
      <c r="B382" t="s">
        <v>1924</v>
      </c>
      <c r="C382" t="s">
        <v>125</v>
      </c>
      <c r="D382" t="s">
        <v>126</v>
      </c>
      <c r="E382" t="s">
        <v>126</v>
      </c>
      <c r="F382" t="s">
        <v>1925</v>
      </c>
      <c r="G382" t="s">
        <v>1678</v>
      </c>
    </row>
    <row r="383" spans="1:9" hidden="1">
      <c r="A383" t="s">
        <v>1926</v>
      </c>
      <c r="B383" t="s">
        <v>724</v>
      </c>
      <c r="C383" t="s">
        <v>42</v>
      </c>
      <c r="D383" t="s">
        <v>126</v>
      </c>
      <c r="E383" t="s">
        <v>126</v>
      </c>
      <c r="F383" t="s">
        <v>725</v>
      </c>
      <c r="G383" t="s">
        <v>1927</v>
      </c>
    </row>
    <row r="384" spans="1:9" hidden="1">
      <c r="A384" t="s">
        <v>1928</v>
      </c>
      <c r="B384" t="s">
        <v>1065</v>
      </c>
      <c r="C384" t="s">
        <v>113</v>
      </c>
      <c r="D384" t="s">
        <v>63</v>
      </c>
      <c r="E384" t="s">
        <v>172</v>
      </c>
      <c r="F384" t="s">
        <v>1066</v>
      </c>
      <c r="G384" t="s">
        <v>1929</v>
      </c>
      <c r="I384">
        <v>1</v>
      </c>
    </row>
    <row r="385" spans="1:9">
      <c r="A385" t="s">
        <v>1930</v>
      </c>
      <c r="B385" t="s">
        <v>1931</v>
      </c>
      <c r="C385" t="s">
        <v>113</v>
      </c>
      <c r="D385" t="s">
        <v>121</v>
      </c>
      <c r="E385" t="s">
        <v>155</v>
      </c>
      <c r="F385" t="s">
        <v>1932</v>
      </c>
      <c r="G385" t="s">
        <v>1721</v>
      </c>
      <c r="I385">
        <v>2</v>
      </c>
    </row>
    <row r="386" spans="1:9" hidden="1">
      <c r="A386" t="s">
        <v>1933</v>
      </c>
      <c r="B386" t="s">
        <v>198</v>
      </c>
      <c r="C386" t="s">
        <v>113</v>
      </c>
      <c r="D386" t="s">
        <v>139</v>
      </c>
      <c r="E386" t="s">
        <v>63</v>
      </c>
      <c r="F386" t="s">
        <v>199</v>
      </c>
      <c r="G386" t="s">
        <v>1934</v>
      </c>
      <c r="I386">
        <v>3</v>
      </c>
    </row>
    <row r="387" spans="1:9" hidden="1">
      <c r="A387" t="s">
        <v>1935</v>
      </c>
      <c r="B387" t="s">
        <v>1403</v>
      </c>
      <c r="C387" t="s">
        <v>117</v>
      </c>
      <c r="D387" t="s">
        <v>42</v>
      </c>
      <c r="E387" t="s">
        <v>126</v>
      </c>
      <c r="F387" t="s">
        <v>1404</v>
      </c>
      <c r="G387" t="s">
        <v>1936</v>
      </c>
    </row>
    <row r="388" spans="1:9">
      <c r="A388" t="s">
        <v>1937</v>
      </c>
      <c r="B388" t="s">
        <v>1938</v>
      </c>
      <c r="C388" t="s">
        <v>117</v>
      </c>
      <c r="D388" t="s">
        <v>136</v>
      </c>
      <c r="E388" t="s">
        <v>155</v>
      </c>
      <c r="F388" t="s">
        <v>1939</v>
      </c>
      <c r="G388" t="s">
        <v>1940</v>
      </c>
      <c r="I388">
        <v>4</v>
      </c>
    </row>
    <row r="389" spans="1:9">
      <c r="A389" t="s">
        <v>1941</v>
      </c>
      <c r="B389" t="s">
        <v>1942</v>
      </c>
      <c r="C389" t="s">
        <v>113</v>
      </c>
      <c r="D389" t="s">
        <v>154</v>
      </c>
      <c r="E389" t="s">
        <v>213</v>
      </c>
      <c r="F389" t="s">
        <v>1943</v>
      </c>
      <c r="G389" t="s">
        <v>1806</v>
      </c>
    </row>
    <row r="390" spans="1:9">
      <c r="A390" t="s">
        <v>1944</v>
      </c>
      <c r="B390" t="s">
        <v>1945</v>
      </c>
      <c r="C390" t="s">
        <v>113</v>
      </c>
      <c r="D390" t="s">
        <v>42</v>
      </c>
      <c r="E390" t="s">
        <v>126</v>
      </c>
      <c r="F390" t="s">
        <v>1946</v>
      </c>
      <c r="G390" t="s">
        <v>1947</v>
      </c>
    </row>
    <row r="391" spans="1:9">
      <c r="A391" t="s">
        <v>1948</v>
      </c>
      <c r="B391" t="s">
        <v>1949</v>
      </c>
      <c r="C391" t="s">
        <v>233</v>
      </c>
      <c r="D391" t="s">
        <v>126</v>
      </c>
      <c r="E391" t="s">
        <v>126</v>
      </c>
      <c r="F391" t="s">
        <v>1950</v>
      </c>
      <c r="G391" t="s">
        <v>1951</v>
      </c>
    </row>
    <row r="392" spans="1:9" hidden="1">
      <c r="A392" t="s">
        <v>1952</v>
      </c>
      <c r="B392" t="s">
        <v>360</v>
      </c>
      <c r="C392" t="s">
        <v>117</v>
      </c>
      <c r="D392" t="s">
        <v>42</v>
      </c>
      <c r="E392" t="s">
        <v>126</v>
      </c>
      <c r="F392" t="s">
        <v>361</v>
      </c>
      <c r="G392" t="s">
        <v>1953</v>
      </c>
    </row>
    <row r="393" spans="1:9" hidden="1">
      <c r="A393" t="s">
        <v>1954</v>
      </c>
      <c r="B393" t="s">
        <v>604</v>
      </c>
      <c r="C393" t="s">
        <v>233</v>
      </c>
      <c r="D393" t="s">
        <v>154</v>
      </c>
      <c r="E393" t="s">
        <v>126</v>
      </c>
      <c r="F393" t="s">
        <v>605</v>
      </c>
      <c r="G393" t="s">
        <v>1955</v>
      </c>
    </row>
    <row r="394" spans="1:9" hidden="1">
      <c r="A394" t="s">
        <v>1956</v>
      </c>
      <c r="B394" t="s">
        <v>1282</v>
      </c>
      <c r="C394" t="s">
        <v>113</v>
      </c>
      <c r="D394" t="s">
        <v>176</v>
      </c>
      <c r="E394" t="s">
        <v>204</v>
      </c>
      <c r="F394" t="s">
        <v>1283</v>
      </c>
      <c r="G394" t="s">
        <v>1957</v>
      </c>
    </row>
    <row r="395" spans="1:9" hidden="1">
      <c r="A395" t="s">
        <v>1958</v>
      </c>
      <c r="B395" t="s">
        <v>698</v>
      </c>
      <c r="C395" t="s">
        <v>113</v>
      </c>
      <c r="D395" t="s">
        <v>233</v>
      </c>
      <c r="E395" t="s">
        <v>44</v>
      </c>
      <c r="F395" t="s">
        <v>699</v>
      </c>
      <c r="G395" t="s">
        <v>1959</v>
      </c>
    </row>
    <row r="396" spans="1:9">
      <c r="A396" t="s">
        <v>1960</v>
      </c>
      <c r="B396" t="s">
        <v>1961</v>
      </c>
      <c r="C396" t="s">
        <v>113</v>
      </c>
      <c r="D396" t="s">
        <v>300</v>
      </c>
      <c r="E396" t="s">
        <v>156</v>
      </c>
      <c r="F396" t="s">
        <v>1962</v>
      </c>
      <c r="G396" t="s">
        <v>1806</v>
      </c>
      <c r="I396">
        <v>5</v>
      </c>
    </row>
    <row r="397" spans="1:9" hidden="1">
      <c r="A397" t="s">
        <v>1963</v>
      </c>
      <c r="B397" t="s">
        <v>1290</v>
      </c>
      <c r="C397" t="s">
        <v>136</v>
      </c>
      <c r="D397" t="s">
        <v>176</v>
      </c>
      <c r="E397" t="s">
        <v>204</v>
      </c>
      <c r="F397" t="s">
        <v>1291</v>
      </c>
      <c r="G397" t="s">
        <v>1714</v>
      </c>
    </row>
    <row r="398" spans="1:9" hidden="1">
      <c r="A398" t="s">
        <v>1964</v>
      </c>
      <c r="B398" t="s">
        <v>398</v>
      </c>
      <c r="C398" t="s">
        <v>113</v>
      </c>
      <c r="D398" t="s">
        <v>42</v>
      </c>
      <c r="E398" t="s">
        <v>126</v>
      </c>
      <c r="F398" t="s">
        <v>399</v>
      </c>
      <c r="G398" t="s">
        <v>1777</v>
      </c>
    </row>
    <row r="399" spans="1:9" hidden="1">
      <c r="A399" t="s">
        <v>1965</v>
      </c>
      <c r="B399" t="s">
        <v>690</v>
      </c>
      <c r="C399" t="s">
        <v>113</v>
      </c>
      <c r="D399" t="s">
        <v>139</v>
      </c>
      <c r="E399" t="s">
        <v>117</v>
      </c>
      <c r="F399" t="s">
        <v>691</v>
      </c>
      <c r="G399" t="s">
        <v>1966</v>
      </c>
      <c r="I399">
        <v>5</v>
      </c>
    </row>
    <row r="400" spans="1:9" hidden="1">
      <c r="A400" t="s">
        <v>1967</v>
      </c>
      <c r="B400" t="s">
        <v>838</v>
      </c>
      <c r="C400" t="s">
        <v>113</v>
      </c>
      <c r="D400" t="s">
        <v>156</v>
      </c>
      <c r="E400" t="s">
        <v>86</v>
      </c>
      <c r="F400" t="s">
        <v>839</v>
      </c>
      <c r="G400" t="s">
        <v>1729</v>
      </c>
    </row>
    <row r="401" spans="1:9" hidden="1">
      <c r="A401" t="s">
        <v>1968</v>
      </c>
      <c r="B401" t="s">
        <v>1321</v>
      </c>
      <c r="C401" t="s">
        <v>113</v>
      </c>
      <c r="D401" t="s">
        <v>139</v>
      </c>
      <c r="E401" t="s">
        <v>233</v>
      </c>
      <c r="F401" t="s">
        <v>126</v>
      </c>
      <c r="G401" t="s">
        <v>1969</v>
      </c>
      <c r="I401">
        <v>3</v>
      </c>
    </row>
    <row r="402" spans="1:9">
      <c r="A402" t="s">
        <v>1970</v>
      </c>
      <c r="B402" t="s">
        <v>1971</v>
      </c>
      <c r="C402" t="s">
        <v>139</v>
      </c>
      <c r="D402" t="s">
        <v>136</v>
      </c>
      <c r="E402" t="s">
        <v>217</v>
      </c>
      <c r="F402" t="s">
        <v>1972</v>
      </c>
      <c r="G402" t="s">
        <v>1973</v>
      </c>
    </row>
    <row r="403" spans="1:9" hidden="1">
      <c r="A403" t="s">
        <v>1974</v>
      </c>
      <c r="B403" t="s">
        <v>915</v>
      </c>
      <c r="C403" t="s">
        <v>155</v>
      </c>
      <c r="D403" t="s">
        <v>156</v>
      </c>
      <c r="E403" t="s">
        <v>86</v>
      </c>
      <c r="F403" t="s">
        <v>916</v>
      </c>
      <c r="G403" t="s">
        <v>1721</v>
      </c>
    </row>
    <row r="404" spans="1:9">
      <c r="A404" t="s">
        <v>1975</v>
      </c>
      <c r="B404" t="s">
        <v>1976</v>
      </c>
      <c r="C404" t="s">
        <v>43</v>
      </c>
      <c r="D404" t="s">
        <v>160</v>
      </c>
      <c r="E404" t="s">
        <v>155</v>
      </c>
      <c r="F404" t="s">
        <v>1977</v>
      </c>
      <c r="G404" t="s">
        <v>1978</v>
      </c>
      <c r="I404">
        <v>2</v>
      </c>
    </row>
    <row r="405" spans="1:9" hidden="1">
      <c r="A405" t="s">
        <v>1979</v>
      </c>
      <c r="B405" t="s">
        <v>844</v>
      </c>
      <c r="C405" t="s">
        <v>113</v>
      </c>
      <c r="D405" t="s">
        <v>272</v>
      </c>
      <c r="E405" t="s">
        <v>154</v>
      </c>
      <c r="F405" t="s">
        <v>845</v>
      </c>
      <c r="G405" t="s">
        <v>1980</v>
      </c>
      <c r="I405">
        <v>1</v>
      </c>
    </row>
    <row r="406" spans="1:9" hidden="1">
      <c r="A406" t="s">
        <v>1981</v>
      </c>
      <c r="B406" t="s">
        <v>252</v>
      </c>
      <c r="C406" t="s">
        <v>139</v>
      </c>
      <c r="D406" t="s">
        <v>117</v>
      </c>
      <c r="E406" t="s">
        <v>160</v>
      </c>
      <c r="F406" t="s">
        <v>253</v>
      </c>
      <c r="G406" t="s">
        <v>1982</v>
      </c>
      <c r="I406">
        <v>1</v>
      </c>
    </row>
    <row r="407" spans="1:9">
      <c r="A407" t="s">
        <v>1983</v>
      </c>
      <c r="B407" t="s">
        <v>1984</v>
      </c>
      <c r="C407" t="s">
        <v>117</v>
      </c>
      <c r="D407" t="s">
        <v>42</v>
      </c>
      <c r="E407" t="s">
        <v>209</v>
      </c>
      <c r="F407" t="s">
        <v>1985</v>
      </c>
      <c r="G407" t="s">
        <v>1986</v>
      </c>
    </row>
    <row r="408" spans="1:9" hidden="1">
      <c r="A408" t="s">
        <v>1987</v>
      </c>
      <c r="B408" t="s">
        <v>817</v>
      </c>
      <c r="C408" t="s">
        <v>117</v>
      </c>
      <c r="D408" t="s">
        <v>42</v>
      </c>
      <c r="E408" t="s">
        <v>126</v>
      </c>
      <c r="F408" t="s">
        <v>818</v>
      </c>
      <c r="G408" t="s">
        <v>1988</v>
      </c>
    </row>
    <row r="409" spans="1:9" hidden="1">
      <c r="A409" t="s">
        <v>1989</v>
      </c>
      <c r="B409" t="s">
        <v>153</v>
      </c>
      <c r="C409" t="s">
        <v>154</v>
      </c>
      <c r="D409" t="s">
        <v>155</v>
      </c>
      <c r="E409" t="s">
        <v>156</v>
      </c>
      <c r="F409" t="s">
        <v>157</v>
      </c>
      <c r="G409" t="s">
        <v>1990</v>
      </c>
      <c r="I409">
        <v>2</v>
      </c>
    </row>
    <row r="410" spans="1:9" hidden="1">
      <c r="A410" t="s">
        <v>1991</v>
      </c>
      <c r="B410" t="s">
        <v>612</v>
      </c>
      <c r="C410" t="s">
        <v>139</v>
      </c>
      <c r="D410" t="s">
        <v>117</v>
      </c>
      <c r="E410" t="s">
        <v>160</v>
      </c>
      <c r="F410" t="s">
        <v>613</v>
      </c>
      <c r="G410" t="s">
        <v>1992</v>
      </c>
      <c r="I410">
        <v>1</v>
      </c>
    </row>
    <row r="411" spans="1:9" hidden="1">
      <c r="A411" t="s">
        <v>1993</v>
      </c>
      <c r="B411" t="s">
        <v>1183</v>
      </c>
      <c r="C411" t="s">
        <v>113</v>
      </c>
      <c r="D411" t="s">
        <v>42</v>
      </c>
      <c r="E411" t="s">
        <v>65</v>
      </c>
      <c r="F411" t="s">
        <v>1184</v>
      </c>
      <c r="G411" t="s">
        <v>1994</v>
      </c>
    </row>
    <row r="412" spans="1:9" hidden="1">
      <c r="A412" t="s">
        <v>1995</v>
      </c>
      <c r="B412" t="s">
        <v>1029</v>
      </c>
      <c r="C412" t="s">
        <v>113</v>
      </c>
      <c r="D412" t="s">
        <v>139</v>
      </c>
      <c r="E412" t="s">
        <v>117</v>
      </c>
      <c r="F412" t="s">
        <v>1030</v>
      </c>
      <c r="G412" t="s">
        <v>1996</v>
      </c>
      <c r="I412">
        <v>2</v>
      </c>
    </row>
    <row r="413" spans="1:9" hidden="1">
      <c r="A413" t="s">
        <v>1997</v>
      </c>
      <c r="B413" t="s">
        <v>631</v>
      </c>
      <c r="C413" t="s">
        <v>113</v>
      </c>
      <c r="D413" t="s">
        <v>136</v>
      </c>
      <c r="E413" t="s">
        <v>217</v>
      </c>
      <c r="F413" t="s">
        <v>632</v>
      </c>
      <c r="G413" t="s">
        <v>1998</v>
      </c>
    </row>
    <row r="414" spans="1:9" hidden="1">
      <c r="A414" t="s">
        <v>1999</v>
      </c>
      <c r="B414" t="s">
        <v>456</v>
      </c>
      <c r="C414" t="s">
        <v>136</v>
      </c>
      <c r="D414" t="s">
        <v>121</v>
      </c>
      <c r="E414" t="s">
        <v>229</v>
      </c>
      <c r="F414" t="s">
        <v>457</v>
      </c>
      <c r="G414" t="s">
        <v>2000</v>
      </c>
    </row>
    <row r="415" spans="1:9" hidden="1">
      <c r="A415" t="s">
        <v>2001</v>
      </c>
      <c r="B415" t="s">
        <v>871</v>
      </c>
      <c r="C415" t="s">
        <v>113</v>
      </c>
      <c r="D415" t="s">
        <v>63</v>
      </c>
      <c r="E415" t="s">
        <v>172</v>
      </c>
      <c r="F415" t="s">
        <v>872</v>
      </c>
      <c r="G415" t="s">
        <v>2002</v>
      </c>
    </row>
    <row r="416" spans="1:9">
      <c r="A416" t="s">
        <v>2003</v>
      </c>
      <c r="B416" t="s">
        <v>2004</v>
      </c>
      <c r="C416" t="s">
        <v>113</v>
      </c>
      <c r="D416" t="s">
        <v>172</v>
      </c>
      <c r="E416" t="s">
        <v>184</v>
      </c>
      <c r="F416" t="s">
        <v>2005</v>
      </c>
      <c r="G416" t="s">
        <v>2006</v>
      </c>
    </row>
    <row r="417" spans="1:9" hidden="1">
      <c r="A417" t="s">
        <v>2007</v>
      </c>
      <c r="B417" t="s">
        <v>296</v>
      </c>
      <c r="C417" t="s">
        <v>117</v>
      </c>
      <c r="D417" t="s">
        <v>84</v>
      </c>
      <c r="E417" t="s">
        <v>126</v>
      </c>
      <c r="F417" t="s">
        <v>297</v>
      </c>
      <c r="G417" t="s">
        <v>2008</v>
      </c>
    </row>
    <row r="418" spans="1:9" hidden="1">
      <c r="A418" t="s">
        <v>2009</v>
      </c>
      <c r="B418" t="s">
        <v>431</v>
      </c>
      <c r="C418" t="s">
        <v>63</v>
      </c>
      <c r="D418" t="s">
        <v>136</v>
      </c>
      <c r="E418" t="s">
        <v>217</v>
      </c>
      <c r="F418" t="s">
        <v>432</v>
      </c>
      <c r="G418" t="s">
        <v>2010</v>
      </c>
    </row>
    <row r="419" spans="1:9" hidden="1">
      <c r="A419" t="s">
        <v>2011</v>
      </c>
      <c r="B419" t="s">
        <v>564</v>
      </c>
      <c r="C419" t="s">
        <v>113</v>
      </c>
      <c r="D419" t="s">
        <v>160</v>
      </c>
      <c r="E419" t="s">
        <v>63</v>
      </c>
      <c r="F419" t="s">
        <v>565</v>
      </c>
      <c r="G419" t="s">
        <v>2012</v>
      </c>
      <c r="I419">
        <v>2</v>
      </c>
    </row>
    <row r="420" spans="1:9" hidden="1">
      <c r="A420" t="s">
        <v>2013</v>
      </c>
      <c r="B420" t="s">
        <v>533</v>
      </c>
      <c r="C420" t="s">
        <v>139</v>
      </c>
      <c r="D420" t="s">
        <v>233</v>
      </c>
      <c r="E420" t="s">
        <v>117</v>
      </c>
      <c r="F420" t="s">
        <v>534</v>
      </c>
      <c r="G420" t="s">
        <v>2014</v>
      </c>
      <c r="I420">
        <v>2</v>
      </c>
    </row>
    <row r="421" spans="1:9">
      <c r="A421" t="s">
        <v>2015</v>
      </c>
      <c r="B421" t="s">
        <v>2016</v>
      </c>
      <c r="C421" t="s">
        <v>233</v>
      </c>
      <c r="D421" t="s">
        <v>117</v>
      </c>
      <c r="E421" t="s">
        <v>160</v>
      </c>
      <c r="F421" t="s">
        <v>2017</v>
      </c>
      <c r="G421" t="s">
        <v>2018</v>
      </c>
      <c r="I421">
        <v>1</v>
      </c>
    </row>
    <row r="422" spans="1:9" hidden="1">
      <c r="A422" t="s">
        <v>2019</v>
      </c>
      <c r="B422" t="s">
        <v>146</v>
      </c>
      <c r="C422" t="s">
        <v>113</v>
      </c>
      <c r="D422" t="s">
        <v>42</v>
      </c>
      <c r="E422" t="s">
        <v>147</v>
      </c>
      <c r="F422" t="s">
        <v>148</v>
      </c>
      <c r="G422" t="s">
        <v>2020</v>
      </c>
    </row>
    <row r="423" spans="1:9">
      <c r="A423" t="s">
        <v>2021</v>
      </c>
      <c r="B423" t="s">
        <v>2022</v>
      </c>
      <c r="C423" t="s">
        <v>113</v>
      </c>
      <c r="D423" t="s">
        <v>154</v>
      </c>
      <c r="E423" t="s">
        <v>126</v>
      </c>
      <c r="F423" t="s">
        <v>2023</v>
      </c>
      <c r="G423" t="s">
        <v>1700</v>
      </c>
    </row>
    <row r="424" spans="1:9" hidden="1">
      <c r="A424" t="s">
        <v>2024</v>
      </c>
      <c r="B424" t="s">
        <v>321</v>
      </c>
      <c r="C424" t="s">
        <v>113</v>
      </c>
      <c r="D424" t="s">
        <v>154</v>
      </c>
      <c r="E424" t="s">
        <v>136</v>
      </c>
      <c r="F424" t="s">
        <v>322</v>
      </c>
      <c r="G424" t="s">
        <v>2025</v>
      </c>
      <c r="I424">
        <v>4</v>
      </c>
    </row>
    <row r="425" spans="1:9" hidden="1">
      <c r="A425" t="s">
        <v>2026</v>
      </c>
      <c r="B425" t="s">
        <v>1327</v>
      </c>
      <c r="C425" t="s">
        <v>233</v>
      </c>
      <c r="D425" t="s">
        <v>126</v>
      </c>
      <c r="E425" t="s">
        <v>126</v>
      </c>
      <c r="F425" t="s">
        <v>1328</v>
      </c>
      <c r="G425" t="s">
        <v>2027</v>
      </c>
    </row>
    <row r="426" spans="1:9" hidden="1">
      <c r="A426" t="s">
        <v>2028</v>
      </c>
      <c r="B426" t="s">
        <v>669</v>
      </c>
      <c r="C426" t="s">
        <v>113</v>
      </c>
      <c r="D426" t="s">
        <v>233</v>
      </c>
      <c r="E426" t="s">
        <v>82</v>
      </c>
      <c r="F426" t="s">
        <v>670</v>
      </c>
      <c r="G426" t="s">
        <v>2029</v>
      </c>
      <c r="I426">
        <v>1</v>
      </c>
    </row>
    <row r="427" spans="1:9" hidden="1">
      <c r="A427" t="s">
        <v>2030</v>
      </c>
      <c r="B427" t="s">
        <v>849</v>
      </c>
      <c r="C427" t="s">
        <v>233</v>
      </c>
      <c r="D427" t="s">
        <v>154</v>
      </c>
      <c r="E427" t="s">
        <v>126</v>
      </c>
      <c r="F427" t="s">
        <v>850</v>
      </c>
      <c r="G427" t="s">
        <v>2031</v>
      </c>
    </row>
    <row r="428" spans="1:9" hidden="1">
      <c r="A428" t="s">
        <v>2032</v>
      </c>
      <c r="B428" t="s">
        <v>637</v>
      </c>
      <c r="C428" t="s">
        <v>113</v>
      </c>
      <c r="D428" t="s">
        <v>213</v>
      </c>
      <c r="E428" t="s">
        <v>126</v>
      </c>
      <c r="F428" t="s">
        <v>638</v>
      </c>
      <c r="G428" t="s">
        <v>2018</v>
      </c>
    </row>
    <row r="429" spans="1:9" hidden="1">
      <c r="A429" t="s">
        <v>2033</v>
      </c>
      <c r="B429" t="s">
        <v>1059</v>
      </c>
      <c r="C429" t="s">
        <v>113</v>
      </c>
      <c r="D429" t="s">
        <v>42</v>
      </c>
      <c r="E429" t="s">
        <v>126</v>
      </c>
      <c r="F429" t="s">
        <v>1060</v>
      </c>
      <c r="G429" t="s">
        <v>1680</v>
      </c>
    </row>
    <row r="430" spans="1:9" hidden="1">
      <c r="A430" t="s">
        <v>2034</v>
      </c>
      <c r="B430" t="s">
        <v>1273</v>
      </c>
      <c r="C430" t="s">
        <v>113</v>
      </c>
      <c r="D430" t="s">
        <v>180</v>
      </c>
      <c r="E430" t="s">
        <v>65</v>
      </c>
      <c r="F430" t="s">
        <v>1274</v>
      </c>
      <c r="G430" t="s">
        <v>2035</v>
      </c>
    </row>
    <row r="431" spans="1:9" hidden="1">
      <c r="A431" t="s">
        <v>2036</v>
      </c>
      <c r="B431" t="s">
        <v>1521</v>
      </c>
      <c r="C431" t="s">
        <v>113</v>
      </c>
      <c r="D431" t="s">
        <v>233</v>
      </c>
      <c r="E431" t="s">
        <v>42</v>
      </c>
      <c r="F431" t="s">
        <v>1522</v>
      </c>
      <c r="G431" t="s">
        <v>2037</v>
      </c>
      <c r="I431">
        <v>2</v>
      </c>
    </row>
    <row r="432" spans="1:9" hidden="1">
      <c r="A432" t="s">
        <v>2038</v>
      </c>
      <c r="B432" t="s">
        <v>327</v>
      </c>
      <c r="C432" t="s">
        <v>113</v>
      </c>
      <c r="D432" t="s">
        <v>233</v>
      </c>
      <c r="E432" t="s">
        <v>82</v>
      </c>
      <c r="F432" t="s">
        <v>328</v>
      </c>
      <c r="G432" t="s">
        <v>2039</v>
      </c>
      <c r="I432">
        <v>2</v>
      </c>
    </row>
    <row r="433" spans="1:9" hidden="1">
      <c r="A433" t="s">
        <v>2040</v>
      </c>
      <c r="B433" t="s">
        <v>782</v>
      </c>
      <c r="C433" t="s">
        <v>113</v>
      </c>
      <c r="D433" t="s">
        <v>139</v>
      </c>
      <c r="E433" t="s">
        <v>176</v>
      </c>
      <c r="F433" t="s">
        <v>783</v>
      </c>
      <c r="G433" t="s">
        <v>2041</v>
      </c>
    </row>
    <row r="434" spans="1:9" hidden="1">
      <c r="A434" t="s">
        <v>2042</v>
      </c>
      <c r="B434" t="s">
        <v>918</v>
      </c>
      <c r="C434" t="s">
        <v>42</v>
      </c>
      <c r="D434" t="s">
        <v>126</v>
      </c>
      <c r="E434" t="s">
        <v>126</v>
      </c>
      <c r="F434" t="s">
        <v>919</v>
      </c>
      <c r="G434" t="s">
        <v>1721</v>
      </c>
    </row>
    <row r="435" spans="1:9" hidden="1">
      <c r="A435" t="s">
        <v>2043</v>
      </c>
      <c r="B435" t="s">
        <v>555</v>
      </c>
      <c r="C435" t="s">
        <v>113</v>
      </c>
      <c r="D435" t="s">
        <v>136</v>
      </c>
      <c r="E435" t="s">
        <v>217</v>
      </c>
      <c r="F435" t="s">
        <v>556</v>
      </c>
      <c r="G435" t="s">
        <v>2044</v>
      </c>
    </row>
    <row r="436" spans="1:9" hidden="1">
      <c r="A436" t="s">
        <v>2045</v>
      </c>
      <c r="B436" t="s">
        <v>595</v>
      </c>
      <c r="C436" t="s">
        <v>139</v>
      </c>
      <c r="D436" t="s">
        <v>117</v>
      </c>
      <c r="E436" t="s">
        <v>42</v>
      </c>
      <c r="F436" t="s">
        <v>596</v>
      </c>
      <c r="G436" t="s">
        <v>2046</v>
      </c>
    </row>
    <row r="437" spans="1:9" hidden="1">
      <c r="A437" t="s">
        <v>2047</v>
      </c>
      <c r="B437" t="s">
        <v>998</v>
      </c>
      <c r="C437" t="s">
        <v>233</v>
      </c>
      <c r="D437" t="s">
        <v>959</v>
      </c>
      <c r="E437" t="s">
        <v>126</v>
      </c>
      <c r="F437" t="s">
        <v>999</v>
      </c>
      <c r="G437" t="s">
        <v>1841</v>
      </c>
    </row>
    <row r="438" spans="1:9" hidden="1">
      <c r="A438" t="s">
        <v>2048</v>
      </c>
      <c r="B438" t="s">
        <v>247</v>
      </c>
      <c r="C438" t="s">
        <v>42</v>
      </c>
      <c r="D438" t="s">
        <v>135</v>
      </c>
      <c r="E438" t="s">
        <v>204</v>
      </c>
      <c r="F438" t="s">
        <v>248</v>
      </c>
      <c r="G438" t="s">
        <v>2049</v>
      </c>
    </row>
    <row r="439" spans="1:9" hidden="1">
      <c r="A439" t="s">
        <v>2050</v>
      </c>
      <c r="B439" t="s">
        <v>519</v>
      </c>
      <c r="C439" t="s">
        <v>113</v>
      </c>
      <c r="D439" t="s">
        <v>139</v>
      </c>
      <c r="E439" t="s">
        <v>117</v>
      </c>
      <c r="F439" t="s">
        <v>520</v>
      </c>
      <c r="G439" t="s">
        <v>2051</v>
      </c>
      <c r="I439">
        <v>3</v>
      </c>
    </row>
    <row r="440" spans="1:9" hidden="1">
      <c r="A440" t="s">
        <v>2052</v>
      </c>
      <c r="B440" t="s">
        <v>1171</v>
      </c>
      <c r="C440" t="s">
        <v>113</v>
      </c>
      <c r="D440" t="s">
        <v>233</v>
      </c>
      <c r="E440" t="s">
        <v>117</v>
      </c>
      <c r="F440" t="s">
        <v>126</v>
      </c>
      <c r="G440" t="s">
        <v>2053</v>
      </c>
      <c r="I440">
        <v>2</v>
      </c>
    </row>
    <row r="441" spans="1:9" hidden="1">
      <c r="A441" t="s">
        <v>2054</v>
      </c>
      <c r="B441" t="s">
        <v>244</v>
      </c>
      <c r="C441" t="s">
        <v>42</v>
      </c>
      <c r="D441" t="s">
        <v>82</v>
      </c>
      <c r="E441" t="s">
        <v>217</v>
      </c>
      <c r="F441" t="s">
        <v>245</v>
      </c>
      <c r="G441" t="s">
        <v>2055</v>
      </c>
    </row>
    <row r="442" spans="1:9" hidden="1">
      <c r="A442" t="s">
        <v>2056</v>
      </c>
      <c r="B442" t="s">
        <v>549</v>
      </c>
      <c r="C442" t="s">
        <v>113</v>
      </c>
      <c r="D442" t="s">
        <v>156</v>
      </c>
      <c r="E442" t="s">
        <v>550</v>
      </c>
      <c r="F442" t="s">
        <v>551</v>
      </c>
      <c r="G442" t="s">
        <v>1973</v>
      </c>
      <c r="I442">
        <v>1</v>
      </c>
    </row>
    <row r="443" spans="1:9" hidden="1">
      <c r="A443" t="s">
        <v>2057</v>
      </c>
      <c r="B443" t="s">
        <v>1098</v>
      </c>
      <c r="C443" t="s">
        <v>117</v>
      </c>
      <c r="D443" t="s">
        <v>176</v>
      </c>
      <c r="E443" t="s">
        <v>126</v>
      </c>
      <c r="F443" t="s">
        <v>1099</v>
      </c>
      <c r="G443" t="s">
        <v>1781</v>
      </c>
    </row>
    <row r="444" spans="1:9" hidden="1">
      <c r="A444" t="s">
        <v>2058</v>
      </c>
      <c r="B444" t="s">
        <v>288</v>
      </c>
      <c r="C444" t="s">
        <v>113</v>
      </c>
      <c r="D444" t="s">
        <v>63</v>
      </c>
      <c r="E444" t="s">
        <v>172</v>
      </c>
      <c r="F444" t="s">
        <v>289</v>
      </c>
      <c r="G444" t="s">
        <v>2059</v>
      </c>
      <c r="I444">
        <v>1</v>
      </c>
    </row>
    <row r="445" spans="1:9" hidden="1">
      <c r="A445" t="s">
        <v>2060</v>
      </c>
      <c r="B445" t="s">
        <v>1359</v>
      </c>
      <c r="C445" t="s">
        <v>113</v>
      </c>
      <c r="D445" t="s">
        <v>154</v>
      </c>
      <c r="E445" t="s">
        <v>208</v>
      </c>
      <c r="F445" t="s">
        <v>1360</v>
      </c>
      <c r="G445" t="s">
        <v>2061</v>
      </c>
      <c r="I445">
        <v>4</v>
      </c>
    </row>
    <row r="446" spans="1:9" hidden="1">
      <c r="A446" t="s">
        <v>2062</v>
      </c>
      <c r="B446" t="s">
        <v>567</v>
      </c>
      <c r="C446" t="s">
        <v>113</v>
      </c>
      <c r="D446" t="s">
        <v>82</v>
      </c>
      <c r="E446" t="s">
        <v>204</v>
      </c>
      <c r="F446" t="s">
        <v>568</v>
      </c>
      <c r="G446" t="s">
        <v>2063</v>
      </c>
    </row>
    <row r="447" spans="1:9" hidden="1">
      <c r="A447" t="s">
        <v>2064</v>
      </c>
      <c r="B447" t="s">
        <v>1068</v>
      </c>
      <c r="C447" t="s">
        <v>113</v>
      </c>
      <c r="D447" t="s">
        <v>42</v>
      </c>
      <c r="E447" t="s">
        <v>63</v>
      </c>
      <c r="F447" t="s">
        <v>1069</v>
      </c>
      <c r="G447" t="s">
        <v>1929</v>
      </c>
      <c r="I447">
        <v>1</v>
      </c>
    </row>
    <row r="448" spans="1:9" hidden="1">
      <c r="A448" t="s">
        <v>2065</v>
      </c>
      <c r="B448" t="s">
        <v>1252</v>
      </c>
      <c r="C448" t="s">
        <v>233</v>
      </c>
      <c r="D448" t="s">
        <v>154</v>
      </c>
      <c r="E448" t="s">
        <v>126</v>
      </c>
      <c r="F448" t="s">
        <v>1253</v>
      </c>
      <c r="G448" t="s">
        <v>2066</v>
      </c>
    </row>
    <row r="449" spans="1:9" hidden="1">
      <c r="A449" t="s">
        <v>2067</v>
      </c>
      <c r="B449" t="s">
        <v>758</v>
      </c>
      <c r="C449" t="s">
        <v>113</v>
      </c>
      <c r="D449" t="s">
        <v>42</v>
      </c>
      <c r="E449" t="s">
        <v>126</v>
      </c>
      <c r="F449" t="s">
        <v>759</v>
      </c>
      <c r="G449" t="s">
        <v>1912</v>
      </c>
    </row>
    <row r="450" spans="1:9" hidden="1">
      <c r="A450" t="s">
        <v>2068</v>
      </c>
      <c r="B450" t="s">
        <v>661</v>
      </c>
      <c r="C450" t="s">
        <v>121</v>
      </c>
      <c r="D450" t="s">
        <v>184</v>
      </c>
      <c r="E450" t="s">
        <v>83</v>
      </c>
      <c r="F450" t="s">
        <v>662</v>
      </c>
      <c r="G450" t="s">
        <v>2069</v>
      </c>
    </row>
    <row r="451" spans="1:9" hidden="1">
      <c r="A451" t="s">
        <v>2070</v>
      </c>
      <c r="B451" t="s">
        <v>1471</v>
      </c>
      <c r="C451" t="s">
        <v>233</v>
      </c>
      <c r="D451" t="s">
        <v>154</v>
      </c>
      <c r="E451" t="s">
        <v>42</v>
      </c>
      <c r="F451" t="s">
        <v>1472</v>
      </c>
      <c r="G451" t="s">
        <v>2071</v>
      </c>
    </row>
    <row r="452" spans="1:9" hidden="1">
      <c r="A452" t="s">
        <v>2072</v>
      </c>
      <c r="B452" t="s">
        <v>1160</v>
      </c>
      <c r="C452" t="s">
        <v>113</v>
      </c>
      <c r="D452" t="s">
        <v>233</v>
      </c>
      <c r="E452" t="s">
        <v>172</v>
      </c>
      <c r="F452" t="s">
        <v>1161</v>
      </c>
      <c r="G452" t="s">
        <v>2073</v>
      </c>
    </row>
    <row r="453" spans="1:9" hidden="1">
      <c r="A453" t="s">
        <v>2074</v>
      </c>
      <c r="B453" t="s">
        <v>225</v>
      </c>
      <c r="C453" t="s">
        <v>139</v>
      </c>
      <c r="D453" t="s">
        <v>160</v>
      </c>
      <c r="E453" t="s">
        <v>155</v>
      </c>
      <c r="F453" t="s">
        <v>226</v>
      </c>
      <c r="G453" t="s">
        <v>2075</v>
      </c>
      <c r="I453">
        <v>1</v>
      </c>
    </row>
    <row r="454" spans="1:9" hidden="1">
      <c r="A454" t="s">
        <v>2076</v>
      </c>
      <c r="B454" t="s">
        <v>232</v>
      </c>
      <c r="C454" t="s">
        <v>233</v>
      </c>
      <c r="D454" t="s">
        <v>117</v>
      </c>
      <c r="E454" t="s">
        <v>172</v>
      </c>
      <c r="F454" t="s">
        <v>234</v>
      </c>
      <c r="G454" t="s">
        <v>1900</v>
      </c>
    </row>
    <row r="455" spans="1:9" hidden="1">
      <c r="A455" t="s">
        <v>2077</v>
      </c>
      <c r="B455" t="s">
        <v>961</v>
      </c>
      <c r="C455" t="s">
        <v>113</v>
      </c>
      <c r="D455" t="s">
        <v>233</v>
      </c>
      <c r="E455" t="s">
        <v>117</v>
      </c>
      <c r="F455" t="s">
        <v>962</v>
      </c>
      <c r="G455" t="s">
        <v>2078</v>
      </c>
      <c r="I455">
        <v>2</v>
      </c>
    </row>
    <row r="456" spans="1:9" hidden="1">
      <c r="A456" t="s">
        <v>2079</v>
      </c>
      <c r="B456" t="s">
        <v>480</v>
      </c>
      <c r="C456" t="s">
        <v>117</v>
      </c>
      <c r="D456" t="s">
        <v>42</v>
      </c>
      <c r="E456" t="s">
        <v>213</v>
      </c>
      <c r="F456" t="s">
        <v>481</v>
      </c>
      <c r="G456" t="s">
        <v>2080</v>
      </c>
    </row>
    <row r="457" spans="1:9" hidden="1">
      <c r="A457" t="s">
        <v>2081</v>
      </c>
      <c r="B457" t="s">
        <v>1126</v>
      </c>
      <c r="C457" t="s">
        <v>233</v>
      </c>
      <c r="D457" t="s">
        <v>117</v>
      </c>
      <c r="E457" t="s">
        <v>959</v>
      </c>
      <c r="F457" t="s">
        <v>1127</v>
      </c>
      <c r="G457" t="s">
        <v>2082</v>
      </c>
    </row>
    <row r="458" spans="1:9" hidden="1">
      <c r="A458" t="s">
        <v>2083</v>
      </c>
      <c r="B458" t="s">
        <v>1318</v>
      </c>
      <c r="C458" t="s">
        <v>233</v>
      </c>
      <c r="D458" t="s">
        <v>42</v>
      </c>
      <c r="E458" t="s">
        <v>121</v>
      </c>
      <c r="F458" t="s">
        <v>1319</v>
      </c>
      <c r="G458" t="s">
        <v>2084</v>
      </c>
      <c r="I458">
        <v>3</v>
      </c>
    </row>
    <row r="459" spans="1:9" hidden="1">
      <c r="A459" t="s">
        <v>2085</v>
      </c>
      <c r="B459" t="s">
        <v>379</v>
      </c>
      <c r="C459" t="s">
        <v>233</v>
      </c>
      <c r="D459" t="s">
        <v>42</v>
      </c>
      <c r="E459" t="s">
        <v>263</v>
      </c>
      <c r="F459" t="s">
        <v>380</v>
      </c>
      <c r="G459" t="s">
        <v>2086</v>
      </c>
    </row>
    <row r="460" spans="1:9" hidden="1">
      <c r="A460" t="s">
        <v>2087</v>
      </c>
      <c r="B460" t="s">
        <v>986</v>
      </c>
      <c r="C460" t="s">
        <v>113</v>
      </c>
      <c r="D460" t="s">
        <v>139</v>
      </c>
      <c r="E460" t="s">
        <v>136</v>
      </c>
      <c r="F460" t="s">
        <v>987</v>
      </c>
      <c r="G460" t="s">
        <v>2088</v>
      </c>
      <c r="I460">
        <v>3</v>
      </c>
    </row>
    <row r="461" spans="1:9" hidden="1">
      <c r="A461" t="s">
        <v>2089</v>
      </c>
      <c r="B461" t="s">
        <v>1091</v>
      </c>
      <c r="C461" t="s">
        <v>113</v>
      </c>
      <c r="D461" t="s">
        <v>233</v>
      </c>
      <c r="E461" t="s">
        <v>126</v>
      </c>
      <c r="F461" t="s">
        <v>1092</v>
      </c>
      <c r="G461" t="s">
        <v>1916</v>
      </c>
    </row>
    <row r="462" spans="1:9" hidden="1">
      <c r="A462" t="s">
        <v>2090</v>
      </c>
      <c r="B462" t="s">
        <v>895</v>
      </c>
      <c r="C462" t="s">
        <v>113</v>
      </c>
      <c r="D462" t="s">
        <v>139</v>
      </c>
      <c r="E462" t="s">
        <v>136</v>
      </c>
      <c r="F462" t="s">
        <v>896</v>
      </c>
      <c r="G462" t="s">
        <v>1812</v>
      </c>
      <c r="I462">
        <v>3</v>
      </c>
    </row>
    <row r="463" spans="1:9" hidden="1">
      <c r="A463" t="s">
        <v>2091</v>
      </c>
      <c r="B463" t="s">
        <v>315</v>
      </c>
      <c r="C463" t="s">
        <v>117</v>
      </c>
      <c r="D463" t="s">
        <v>160</v>
      </c>
      <c r="E463" t="s">
        <v>63</v>
      </c>
      <c r="F463" t="s">
        <v>316</v>
      </c>
      <c r="G463" t="s">
        <v>2092</v>
      </c>
      <c r="I463">
        <v>1</v>
      </c>
    </row>
    <row r="464" spans="1:9" hidden="1">
      <c r="A464" t="s">
        <v>2093</v>
      </c>
      <c r="B464" t="s">
        <v>947</v>
      </c>
      <c r="C464" t="s">
        <v>117</v>
      </c>
      <c r="D464" t="s">
        <v>42</v>
      </c>
      <c r="E464" t="s">
        <v>126</v>
      </c>
      <c r="F464" t="s">
        <v>948</v>
      </c>
      <c r="G464" t="s">
        <v>1798</v>
      </c>
    </row>
    <row r="465" spans="1:9" hidden="1">
      <c r="A465" t="s">
        <v>2094</v>
      </c>
      <c r="B465" t="s">
        <v>898</v>
      </c>
      <c r="C465" t="s">
        <v>113</v>
      </c>
      <c r="D465" t="s">
        <v>117</v>
      </c>
      <c r="E465" t="s">
        <v>42</v>
      </c>
      <c r="F465" t="s">
        <v>899</v>
      </c>
      <c r="G465" t="s">
        <v>1812</v>
      </c>
      <c r="I465">
        <v>2</v>
      </c>
    </row>
    <row r="466" spans="1:9" hidden="1">
      <c r="A466" t="s">
        <v>2095</v>
      </c>
      <c r="B466" t="s">
        <v>1032</v>
      </c>
      <c r="C466" t="s">
        <v>113</v>
      </c>
      <c r="D466" t="s">
        <v>139</v>
      </c>
      <c r="E466" t="s">
        <v>233</v>
      </c>
      <c r="F466" t="s">
        <v>1033</v>
      </c>
      <c r="G466" t="s">
        <v>1996</v>
      </c>
      <c r="I466">
        <v>2</v>
      </c>
    </row>
    <row r="467" spans="1:9" hidden="1">
      <c r="A467" t="s">
        <v>2096</v>
      </c>
      <c r="B467" t="s">
        <v>634</v>
      </c>
      <c r="C467" t="s">
        <v>113</v>
      </c>
      <c r="D467" t="s">
        <v>42</v>
      </c>
      <c r="E467" t="s">
        <v>126</v>
      </c>
      <c r="F467" t="s">
        <v>635</v>
      </c>
      <c r="G467" t="s">
        <v>1998</v>
      </c>
    </row>
    <row r="468" spans="1:9" hidden="1">
      <c r="A468" t="s">
        <v>2097</v>
      </c>
      <c r="B468" t="s">
        <v>423</v>
      </c>
      <c r="C468" t="s">
        <v>113</v>
      </c>
      <c r="D468" t="s">
        <v>117</v>
      </c>
      <c r="E468" t="s">
        <v>42</v>
      </c>
      <c r="F468" t="s">
        <v>424</v>
      </c>
      <c r="G468" t="s">
        <v>2098</v>
      </c>
    </row>
    <row r="469" spans="1:9" hidden="1">
      <c r="A469" t="s">
        <v>2099</v>
      </c>
      <c r="B469" t="s">
        <v>746</v>
      </c>
      <c r="C469" t="s">
        <v>233</v>
      </c>
      <c r="D469" t="s">
        <v>42</v>
      </c>
      <c r="E469" t="s">
        <v>256</v>
      </c>
      <c r="F469" t="s">
        <v>747</v>
      </c>
      <c r="G469" t="s">
        <v>2100</v>
      </c>
    </row>
    <row r="470" spans="1:9" hidden="1">
      <c r="A470" t="s">
        <v>2101</v>
      </c>
      <c r="B470" t="s">
        <v>790</v>
      </c>
      <c r="C470" t="s">
        <v>42</v>
      </c>
      <c r="D470" t="s">
        <v>135</v>
      </c>
      <c r="E470" t="s">
        <v>204</v>
      </c>
      <c r="F470" t="s">
        <v>791</v>
      </c>
      <c r="G470" t="s">
        <v>2102</v>
      </c>
    </row>
    <row r="471" spans="1:9" hidden="1">
      <c r="A471" t="s">
        <v>2455</v>
      </c>
      <c r="B471" t="s">
        <v>1213</v>
      </c>
      <c r="C471" t="s">
        <v>113</v>
      </c>
      <c r="D471" t="s">
        <v>139</v>
      </c>
      <c r="E471" t="s">
        <v>155</v>
      </c>
      <c r="F471" t="s">
        <v>126</v>
      </c>
      <c r="G471" t="s">
        <v>1747</v>
      </c>
      <c r="I471">
        <v>2</v>
      </c>
    </row>
    <row r="472" spans="1:9" hidden="1">
      <c r="A472" t="s">
        <v>2456</v>
      </c>
      <c r="B472" t="s">
        <v>706</v>
      </c>
      <c r="C472" t="s">
        <v>233</v>
      </c>
      <c r="D472" t="s">
        <v>42</v>
      </c>
      <c r="E472" t="s">
        <v>135</v>
      </c>
      <c r="F472" t="s">
        <v>126</v>
      </c>
      <c r="G472" t="s">
        <v>2183</v>
      </c>
      <c r="I472">
        <v>3</v>
      </c>
    </row>
    <row r="473" spans="1:9">
      <c r="A473" t="s">
        <v>2457</v>
      </c>
      <c r="B473" t="s">
        <v>2458</v>
      </c>
      <c r="C473" t="s">
        <v>125</v>
      </c>
      <c r="D473" t="s">
        <v>126</v>
      </c>
      <c r="E473" t="s">
        <v>126</v>
      </c>
      <c r="F473" t="s">
        <v>126</v>
      </c>
      <c r="G473" t="s">
        <v>2459</v>
      </c>
    </row>
    <row r="474" spans="1:9">
      <c r="A474" t="s">
        <v>2460</v>
      </c>
      <c r="B474" t="s">
        <v>2461</v>
      </c>
      <c r="C474" t="s">
        <v>125</v>
      </c>
      <c r="D474" t="s">
        <v>126</v>
      </c>
      <c r="E474" t="s">
        <v>126</v>
      </c>
      <c r="F474" t="s">
        <v>126</v>
      </c>
      <c r="G474" t="s">
        <v>1863</v>
      </c>
    </row>
    <row r="475" spans="1:9" hidden="1">
      <c r="A475" t="s">
        <v>2462</v>
      </c>
      <c r="B475" t="s">
        <v>1463</v>
      </c>
      <c r="C475" t="s">
        <v>113</v>
      </c>
      <c r="D475" t="s">
        <v>154</v>
      </c>
      <c r="E475" t="s">
        <v>647</v>
      </c>
      <c r="F475" t="s">
        <v>126</v>
      </c>
      <c r="G475" t="s">
        <v>2463</v>
      </c>
      <c r="I475">
        <v>2</v>
      </c>
    </row>
    <row r="476" spans="1:9">
      <c r="A476" t="s">
        <v>2464</v>
      </c>
      <c r="B476" t="s">
        <v>2465</v>
      </c>
      <c r="C476" t="s">
        <v>113</v>
      </c>
      <c r="D476" t="s">
        <v>233</v>
      </c>
      <c r="E476" t="s">
        <v>624</v>
      </c>
      <c r="F476" t="s">
        <v>126</v>
      </c>
      <c r="G476" t="s">
        <v>2115</v>
      </c>
    </row>
    <row r="477" spans="1:9" hidden="1">
      <c r="A477" t="s">
        <v>2466</v>
      </c>
      <c r="B477" t="s">
        <v>1131</v>
      </c>
      <c r="C477" t="s">
        <v>113</v>
      </c>
      <c r="D477" t="s">
        <v>42</v>
      </c>
      <c r="E477" t="s">
        <v>121</v>
      </c>
      <c r="F477" t="s">
        <v>126</v>
      </c>
      <c r="G477" t="s">
        <v>2082</v>
      </c>
    </row>
    <row r="478" spans="1:9" hidden="1">
      <c r="A478" t="s">
        <v>2467</v>
      </c>
      <c r="B478" t="s">
        <v>434</v>
      </c>
      <c r="C478" t="s">
        <v>42</v>
      </c>
      <c r="D478" t="s">
        <v>126</v>
      </c>
      <c r="E478" t="s">
        <v>126</v>
      </c>
      <c r="F478" t="s">
        <v>126</v>
      </c>
      <c r="G478" t="s">
        <v>2010</v>
      </c>
    </row>
    <row r="479" spans="1:9" hidden="1">
      <c r="A479" t="s">
        <v>2468</v>
      </c>
      <c r="B479" t="s">
        <v>1215</v>
      </c>
      <c r="C479" t="s">
        <v>139</v>
      </c>
      <c r="D479" t="s">
        <v>154</v>
      </c>
      <c r="E479" t="s">
        <v>135</v>
      </c>
      <c r="F479" t="s">
        <v>126</v>
      </c>
      <c r="G479" t="s">
        <v>1747</v>
      </c>
      <c r="I479">
        <v>2</v>
      </c>
    </row>
    <row r="480" spans="1:9" hidden="1">
      <c r="A480" t="s">
        <v>2469</v>
      </c>
      <c r="B480" t="s">
        <v>941</v>
      </c>
      <c r="C480" t="s">
        <v>113</v>
      </c>
      <c r="D480" t="s">
        <v>139</v>
      </c>
      <c r="E480" t="s">
        <v>82</v>
      </c>
      <c r="F480" t="s">
        <v>126</v>
      </c>
      <c r="G480" t="s">
        <v>1735</v>
      </c>
      <c r="I480">
        <v>2</v>
      </c>
    </row>
    <row r="481" spans="1:9" hidden="1">
      <c r="A481" t="s">
        <v>2470</v>
      </c>
      <c r="B481" t="s">
        <v>190</v>
      </c>
      <c r="C481" t="s">
        <v>113</v>
      </c>
      <c r="D481" t="s">
        <v>160</v>
      </c>
      <c r="E481" t="s">
        <v>191</v>
      </c>
      <c r="F481" t="s">
        <v>126</v>
      </c>
      <c r="G481" t="s">
        <v>2147</v>
      </c>
    </row>
    <row r="482" spans="1:9" hidden="1">
      <c r="A482" t="s">
        <v>2471</v>
      </c>
      <c r="B482" t="s">
        <v>541</v>
      </c>
      <c r="C482" t="s">
        <v>113</v>
      </c>
      <c r="D482" t="s">
        <v>139</v>
      </c>
      <c r="E482" t="s">
        <v>117</v>
      </c>
      <c r="F482" t="s">
        <v>126</v>
      </c>
      <c r="G482" t="s">
        <v>1794</v>
      </c>
      <c r="I482">
        <v>2</v>
      </c>
    </row>
    <row r="483" spans="1:9" hidden="1">
      <c r="A483" t="s">
        <v>2472</v>
      </c>
      <c r="B483" t="s">
        <v>649</v>
      </c>
      <c r="C483" t="s">
        <v>113</v>
      </c>
      <c r="D483" t="s">
        <v>42</v>
      </c>
      <c r="E483" t="s">
        <v>126</v>
      </c>
      <c r="F483" t="s">
        <v>126</v>
      </c>
      <c r="G483" t="s">
        <v>2237</v>
      </c>
    </row>
    <row r="484" spans="1:9">
      <c r="A484" t="s">
        <v>2473</v>
      </c>
      <c r="B484" t="s">
        <v>2474</v>
      </c>
      <c r="C484" t="s">
        <v>113</v>
      </c>
      <c r="D484" t="s">
        <v>233</v>
      </c>
      <c r="E484" t="s">
        <v>154</v>
      </c>
      <c r="F484" t="s">
        <v>126</v>
      </c>
      <c r="G484" t="s">
        <v>2447</v>
      </c>
      <c r="I484">
        <v>2</v>
      </c>
    </row>
    <row r="485" spans="1:9" hidden="1">
      <c r="A485" t="s">
        <v>2475</v>
      </c>
      <c r="B485" t="s">
        <v>1382</v>
      </c>
      <c r="C485" t="s">
        <v>117</v>
      </c>
      <c r="D485" t="s">
        <v>647</v>
      </c>
      <c r="E485" t="s">
        <v>1383</v>
      </c>
      <c r="F485" t="s">
        <v>126</v>
      </c>
      <c r="G485" t="s">
        <v>2476</v>
      </c>
    </row>
    <row r="486" spans="1:9" hidden="1">
      <c r="A486" t="s">
        <v>2477</v>
      </c>
      <c r="B486" t="s">
        <v>299</v>
      </c>
      <c r="C486" t="s">
        <v>113</v>
      </c>
      <c r="D486" t="s">
        <v>154</v>
      </c>
      <c r="E486" t="s">
        <v>300</v>
      </c>
      <c r="F486" t="s">
        <v>301</v>
      </c>
      <c r="G486" t="s">
        <v>2478</v>
      </c>
    </row>
    <row r="487" spans="1:9" hidden="1">
      <c r="A487" t="s">
        <v>2479</v>
      </c>
      <c r="B487" t="s">
        <v>324</v>
      </c>
      <c r="C487" t="s">
        <v>113</v>
      </c>
      <c r="D487" t="s">
        <v>154</v>
      </c>
      <c r="E487" t="s">
        <v>136</v>
      </c>
      <c r="F487" t="s">
        <v>325</v>
      </c>
      <c r="G487" t="s">
        <v>2025</v>
      </c>
      <c r="I487">
        <v>3</v>
      </c>
    </row>
    <row r="488" spans="1:9">
      <c r="A488" t="s">
        <v>2480</v>
      </c>
      <c r="B488" t="s">
        <v>2481</v>
      </c>
      <c r="C488" t="s">
        <v>125</v>
      </c>
      <c r="D488" t="s">
        <v>126</v>
      </c>
      <c r="E488" t="s">
        <v>126</v>
      </c>
      <c r="F488" t="s">
        <v>2483</v>
      </c>
      <c r="G488" t="s">
        <v>2482</v>
      </c>
    </row>
    <row r="489" spans="1:9" hidden="1">
      <c r="A489" t="s">
        <v>2484</v>
      </c>
      <c r="B489" t="s">
        <v>1579</v>
      </c>
      <c r="C489" t="s">
        <v>117</v>
      </c>
      <c r="D489" t="s">
        <v>42</v>
      </c>
      <c r="E489" t="s">
        <v>1580</v>
      </c>
      <c r="F489" t="s">
        <v>126</v>
      </c>
      <c r="G489" t="s">
        <v>2485</v>
      </c>
    </row>
    <row r="490" spans="1:9" hidden="1">
      <c r="A490" t="s">
        <v>2486</v>
      </c>
      <c r="B490" t="s">
        <v>742</v>
      </c>
      <c r="C490" t="s">
        <v>113</v>
      </c>
      <c r="D490" t="s">
        <v>511</v>
      </c>
      <c r="E490" t="s">
        <v>126</v>
      </c>
      <c r="F490" t="s">
        <v>126</v>
      </c>
      <c r="G490" t="s">
        <v>2487</v>
      </c>
    </row>
    <row r="491" spans="1:9" hidden="1">
      <c r="A491" t="s">
        <v>2488</v>
      </c>
      <c r="B491" t="s">
        <v>627</v>
      </c>
      <c r="C491" t="s">
        <v>117</v>
      </c>
      <c r="D491" t="s">
        <v>42</v>
      </c>
      <c r="E491" t="s">
        <v>126</v>
      </c>
      <c r="F491" t="s">
        <v>126</v>
      </c>
      <c r="G491" t="s">
        <v>1908</v>
      </c>
    </row>
    <row r="492" spans="1:9" hidden="1">
      <c r="A492" t="s">
        <v>2489</v>
      </c>
      <c r="B492" t="s">
        <v>1255</v>
      </c>
      <c r="C492" t="s">
        <v>113</v>
      </c>
      <c r="D492" t="s">
        <v>233</v>
      </c>
      <c r="E492" t="s">
        <v>42</v>
      </c>
      <c r="F492" t="s">
        <v>126</v>
      </c>
      <c r="G492" t="s">
        <v>2066</v>
      </c>
      <c r="I492">
        <v>2</v>
      </c>
    </row>
    <row r="493" spans="1:9" hidden="1">
      <c r="A493" t="s">
        <v>2490</v>
      </c>
      <c r="B493" t="s">
        <v>808</v>
      </c>
      <c r="C493" t="s">
        <v>113</v>
      </c>
      <c r="D493" t="s">
        <v>233</v>
      </c>
      <c r="E493" t="s">
        <v>180</v>
      </c>
      <c r="F493" t="s">
        <v>126</v>
      </c>
      <c r="G493" t="s">
        <v>2491</v>
      </c>
      <c r="I493">
        <v>2</v>
      </c>
    </row>
    <row r="494" spans="1:9" hidden="1">
      <c r="A494" t="s">
        <v>2492</v>
      </c>
      <c r="B494" t="s">
        <v>810</v>
      </c>
      <c r="C494" t="s">
        <v>42</v>
      </c>
      <c r="D494" t="s">
        <v>135</v>
      </c>
      <c r="E494" t="s">
        <v>204</v>
      </c>
      <c r="F494" t="s">
        <v>126</v>
      </c>
      <c r="G494" t="s">
        <v>2491</v>
      </c>
    </row>
    <row r="495" spans="1:9">
      <c r="A495" t="s">
        <v>2493</v>
      </c>
      <c r="B495" t="s">
        <v>2494</v>
      </c>
      <c r="C495" t="s">
        <v>125</v>
      </c>
      <c r="D495" t="s">
        <v>126</v>
      </c>
      <c r="E495" t="s">
        <v>126</v>
      </c>
      <c r="F495" t="s">
        <v>2495</v>
      </c>
      <c r="G495" t="s">
        <v>1739</v>
      </c>
    </row>
    <row r="496" spans="1:9">
      <c r="A496" t="s">
        <v>2496</v>
      </c>
      <c r="B496" t="s">
        <v>2497</v>
      </c>
      <c r="C496" t="s">
        <v>233</v>
      </c>
      <c r="D496" t="s">
        <v>42</v>
      </c>
      <c r="E496" t="s">
        <v>135</v>
      </c>
      <c r="F496" t="s">
        <v>126</v>
      </c>
      <c r="G496" t="s">
        <v>2164</v>
      </c>
      <c r="I496">
        <v>2</v>
      </c>
    </row>
    <row r="497" spans="1:9" hidden="1">
      <c r="A497" t="s">
        <v>2498</v>
      </c>
      <c r="B497" t="s">
        <v>609</v>
      </c>
      <c r="C497" t="s">
        <v>113</v>
      </c>
      <c r="D497" t="s">
        <v>139</v>
      </c>
      <c r="E497" t="s">
        <v>154</v>
      </c>
      <c r="F497" t="s">
        <v>610</v>
      </c>
      <c r="G497" t="s">
        <v>1955</v>
      </c>
      <c r="I497">
        <v>1</v>
      </c>
    </row>
    <row r="498" spans="1:9">
      <c r="A498" t="s">
        <v>2499</v>
      </c>
      <c r="B498" t="s">
        <v>2500</v>
      </c>
      <c r="C498" t="s">
        <v>125</v>
      </c>
      <c r="D498" t="s">
        <v>126</v>
      </c>
      <c r="E498" t="s">
        <v>126</v>
      </c>
      <c r="F498" t="s">
        <v>126</v>
      </c>
      <c r="G498" t="s">
        <v>2247</v>
      </c>
    </row>
    <row r="499" spans="1:9" hidden="1">
      <c r="A499" t="s">
        <v>2501</v>
      </c>
      <c r="B499" t="s">
        <v>536</v>
      </c>
      <c r="C499" t="s">
        <v>117</v>
      </c>
      <c r="D499" t="s">
        <v>44</v>
      </c>
      <c r="E499" t="s">
        <v>63</v>
      </c>
      <c r="F499" t="s">
        <v>126</v>
      </c>
      <c r="G499" t="s">
        <v>2014</v>
      </c>
      <c r="I499">
        <v>2</v>
      </c>
    </row>
    <row r="500" spans="1:9" hidden="1">
      <c r="A500" t="s">
        <v>2502</v>
      </c>
      <c r="B500" t="s">
        <v>1330</v>
      </c>
      <c r="C500" t="s">
        <v>113</v>
      </c>
      <c r="D500" t="s">
        <v>233</v>
      </c>
      <c r="E500" t="s">
        <v>117</v>
      </c>
      <c r="F500" t="s">
        <v>126</v>
      </c>
      <c r="G500" t="s">
        <v>2503</v>
      </c>
      <c r="I500">
        <v>3</v>
      </c>
    </row>
    <row r="501" spans="1:9" hidden="1">
      <c r="A501" t="s">
        <v>2504</v>
      </c>
      <c r="B501" t="s">
        <v>1299</v>
      </c>
      <c r="C501" t="s">
        <v>113</v>
      </c>
      <c r="D501" t="s">
        <v>139</v>
      </c>
      <c r="E501" t="s">
        <v>1027</v>
      </c>
      <c r="F501" t="s">
        <v>126</v>
      </c>
      <c r="G501" t="s">
        <v>2505</v>
      </c>
      <c r="I501">
        <v>2</v>
      </c>
    </row>
    <row r="502" spans="1:9" hidden="1">
      <c r="A502" t="s">
        <v>2506</v>
      </c>
      <c r="B502" t="s">
        <v>1120</v>
      </c>
      <c r="C502" t="s">
        <v>117</v>
      </c>
      <c r="D502" t="s">
        <v>160</v>
      </c>
      <c r="E502" t="s">
        <v>63</v>
      </c>
      <c r="F502" t="s">
        <v>126</v>
      </c>
      <c r="G502" t="s">
        <v>2507</v>
      </c>
      <c r="I502">
        <v>1</v>
      </c>
    </row>
    <row r="503" spans="1:9" hidden="1">
      <c r="A503" t="s">
        <v>2508</v>
      </c>
      <c r="B503" t="s">
        <v>1575</v>
      </c>
      <c r="C503" t="s">
        <v>113</v>
      </c>
      <c r="D503" t="s">
        <v>272</v>
      </c>
      <c r="E503" t="s">
        <v>154</v>
      </c>
      <c r="F503" t="s">
        <v>126</v>
      </c>
      <c r="G503" t="s">
        <v>2509</v>
      </c>
      <c r="I503">
        <v>4</v>
      </c>
    </row>
    <row r="504" spans="1:9" hidden="1">
      <c r="A504" t="s">
        <v>2510</v>
      </c>
      <c r="B504" t="s">
        <v>1445</v>
      </c>
      <c r="C504" t="s">
        <v>113</v>
      </c>
      <c r="D504" t="s">
        <v>154</v>
      </c>
      <c r="E504" t="s">
        <v>126</v>
      </c>
      <c r="F504" t="s">
        <v>126</v>
      </c>
      <c r="G504" t="s">
        <v>2511</v>
      </c>
    </row>
    <row r="505" spans="1:9" hidden="1">
      <c r="A505" t="s">
        <v>2512</v>
      </c>
      <c r="B505" t="s">
        <v>303</v>
      </c>
      <c r="C505" t="s">
        <v>176</v>
      </c>
      <c r="D505" t="s">
        <v>121</v>
      </c>
      <c r="E505" t="s">
        <v>83</v>
      </c>
      <c r="F505" t="s">
        <v>304</v>
      </c>
      <c r="G505" t="s">
        <v>2478</v>
      </c>
    </row>
    <row r="506" spans="1:9" hidden="1">
      <c r="A506" t="s">
        <v>2513</v>
      </c>
      <c r="B506" t="s">
        <v>219</v>
      </c>
      <c r="C506" t="s">
        <v>113</v>
      </c>
      <c r="D506" t="s">
        <v>42</v>
      </c>
      <c r="E506" t="s">
        <v>121</v>
      </c>
      <c r="F506" t="s">
        <v>220</v>
      </c>
      <c r="G506" t="s">
        <v>2514</v>
      </c>
      <c r="I506">
        <v>1</v>
      </c>
    </row>
    <row r="507" spans="1:9" hidden="1">
      <c r="A507" t="s">
        <v>2515</v>
      </c>
      <c r="B507" t="s">
        <v>657</v>
      </c>
      <c r="C507" t="s">
        <v>113</v>
      </c>
      <c r="D507" t="s">
        <v>117</v>
      </c>
      <c r="E507" t="s">
        <v>44</v>
      </c>
      <c r="F507" t="s">
        <v>126</v>
      </c>
      <c r="G507" t="s">
        <v>2482</v>
      </c>
      <c r="I507">
        <v>1</v>
      </c>
    </row>
    <row r="508" spans="1:9" hidden="1">
      <c r="A508" t="s">
        <v>2516</v>
      </c>
      <c r="B508" t="s">
        <v>931</v>
      </c>
      <c r="C508" t="s">
        <v>117</v>
      </c>
      <c r="D508" t="s">
        <v>42</v>
      </c>
      <c r="E508" t="s">
        <v>126</v>
      </c>
      <c r="F508" t="s">
        <v>126</v>
      </c>
      <c r="G508" t="s">
        <v>2347</v>
      </c>
    </row>
    <row r="509" spans="1:9" hidden="1">
      <c r="A509" t="s">
        <v>2517</v>
      </c>
      <c r="B509" t="s">
        <v>396</v>
      </c>
      <c r="C509" t="s">
        <v>113</v>
      </c>
      <c r="D509" t="s">
        <v>44</v>
      </c>
      <c r="E509" t="s">
        <v>121</v>
      </c>
      <c r="F509" t="s">
        <v>126</v>
      </c>
      <c r="G509" t="s">
        <v>2206</v>
      </c>
    </row>
    <row r="510" spans="1:9" hidden="1">
      <c r="A510" t="s">
        <v>2518</v>
      </c>
      <c r="B510" t="s">
        <v>1323</v>
      </c>
      <c r="C510" t="s">
        <v>113</v>
      </c>
      <c r="D510" t="s">
        <v>154</v>
      </c>
      <c r="E510" t="s">
        <v>63</v>
      </c>
      <c r="F510" t="s">
        <v>126</v>
      </c>
      <c r="G510" t="s">
        <v>2519</v>
      </c>
      <c r="I510">
        <v>3</v>
      </c>
    </row>
    <row r="511" spans="1:9" hidden="1">
      <c r="A511" t="s">
        <v>2520</v>
      </c>
      <c r="B511" t="s">
        <v>497</v>
      </c>
      <c r="C511" t="s">
        <v>180</v>
      </c>
      <c r="D511" t="s">
        <v>121</v>
      </c>
      <c r="E511" t="s">
        <v>126</v>
      </c>
      <c r="F511" t="s">
        <v>126</v>
      </c>
      <c r="G511" t="s">
        <v>1922</v>
      </c>
    </row>
    <row r="512" spans="1:9" hidden="1">
      <c r="A512" t="s">
        <v>2521</v>
      </c>
      <c r="B512" t="s">
        <v>978</v>
      </c>
      <c r="C512" t="s">
        <v>233</v>
      </c>
      <c r="D512" t="s">
        <v>959</v>
      </c>
      <c r="E512" t="s">
        <v>126</v>
      </c>
      <c r="F512" t="s">
        <v>126</v>
      </c>
      <c r="G512" t="s">
        <v>2522</v>
      </c>
    </row>
    <row r="513" spans="1:9" hidden="1">
      <c r="A513" t="s">
        <v>2523</v>
      </c>
      <c r="B513" t="s">
        <v>250</v>
      </c>
      <c r="C513" t="s">
        <v>113</v>
      </c>
      <c r="D513" t="s">
        <v>42</v>
      </c>
      <c r="E513" t="s">
        <v>65</v>
      </c>
      <c r="F513" t="s">
        <v>126</v>
      </c>
      <c r="G513" t="s">
        <v>2524</v>
      </c>
    </row>
    <row r="514" spans="1:9" hidden="1">
      <c r="A514" t="s">
        <v>2525</v>
      </c>
      <c r="B514" t="s">
        <v>855</v>
      </c>
      <c r="C514" t="s">
        <v>136</v>
      </c>
      <c r="D514" t="s">
        <v>176</v>
      </c>
      <c r="E514" t="s">
        <v>217</v>
      </c>
      <c r="F514" t="s">
        <v>856</v>
      </c>
      <c r="G514" t="s">
        <v>2526</v>
      </c>
    </row>
    <row r="515" spans="1:9" hidden="1">
      <c r="A515" t="s">
        <v>2527</v>
      </c>
      <c r="B515" t="s">
        <v>228</v>
      </c>
      <c r="C515" t="s">
        <v>136</v>
      </c>
      <c r="D515" t="s">
        <v>121</v>
      </c>
      <c r="E515" t="s">
        <v>229</v>
      </c>
      <c r="F515" t="s">
        <v>230</v>
      </c>
      <c r="G515" t="s">
        <v>2075</v>
      </c>
    </row>
    <row r="516" spans="1:9" hidden="1">
      <c r="A516" t="s">
        <v>2528</v>
      </c>
      <c r="B516" t="s">
        <v>266</v>
      </c>
      <c r="C516" t="s">
        <v>155</v>
      </c>
      <c r="D516" t="s">
        <v>184</v>
      </c>
      <c r="E516" t="s">
        <v>204</v>
      </c>
      <c r="F516" t="s">
        <v>126</v>
      </c>
      <c r="G516" t="s">
        <v>2529</v>
      </c>
    </row>
    <row r="517" spans="1:9" hidden="1">
      <c r="A517" t="s">
        <v>2530</v>
      </c>
      <c r="B517" t="s">
        <v>1225</v>
      </c>
      <c r="C517" t="s">
        <v>113</v>
      </c>
      <c r="D517" t="s">
        <v>154</v>
      </c>
      <c r="E517" t="s">
        <v>209</v>
      </c>
      <c r="F517" t="s">
        <v>126</v>
      </c>
      <c r="G517" t="s">
        <v>2531</v>
      </c>
      <c r="I517">
        <v>1</v>
      </c>
    </row>
    <row r="518" spans="1:9" hidden="1">
      <c r="A518" t="s">
        <v>2532</v>
      </c>
      <c r="B518" t="s">
        <v>1152</v>
      </c>
      <c r="C518" t="s">
        <v>113</v>
      </c>
      <c r="D518" t="s">
        <v>154</v>
      </c>
      <c r="E518" t="s">
        <v>126</v>
      </c>
      <c r="F518" t="s">
        <v>126</v>
      </c>
      <c r="G518" t="s">
        <v>1861</v>
      </c>
    </row>
    <row r="519" spans="1:9" hidden="1">
      <c r="A519" t="s">
        <v>2533</v>
      </c>
      <c r="B519" t="s">
        <v>1515</v>
      </c>
      <c r="C519" t="s">
        <v>233</v>
      </c>
      <c r="D519" t="s">
        <v>126</v>
      </c>
      <c r="E519" t="s">
        <v>126</v>
      </c>
      <c r="F519" t="s">
        <v>126</v>
      </c>
      <c r="G519" t="s">
        <v>2534</v>
      </c>
    </row>
    <row r="520" spans="1:9">
      <c r="A520" t="s">
        <v>2535</v>
      </c>
      <c r="B520" t="s">
        <v>2536</v>
      </c>
      <c r="C520" t="s">
        <v>125</v>
      </c>
      <c r="D520" t="s">
        <v>126</v>
      </c>
      <c r="E520" t="s">
        <v>126</v>
      </c>
      <c r="F520" t="s">
        <v>126</v>
      </c>
      <c r="G520" t="s">
        <v>2537</v>
      </c>
    </row>
    <row r="521" spans="1:9" hidden="1">
      <c r="A521" t="s">
        <v>2538</v>
      </c>
      <c r="B521" t="s">
        <v>1086</v>
      </c>
      <c r="C521" t="s">
        <v>113</v>
      </c>
      <c r="D521" t="s">
        <v>139</v>
      </c>
      <c r="E521" t="s">
        <v>272</v>
      </c>
      <c r="F521" t="s">
        <v>126</v>
      </c>
      <c r="G521" t="s">
        <v>1733</v>
      </c>
      <c r="I521">
        <v>2</v>
      </c>
    </row>
    <row r="522" spans="1:9">
      <c r="A522" t="s">
        <v>2539</v>
      </c>
      <c r="B522" t="s">
        <v>2540</v>
      </c>
      <c r="C522" t="s">
        <v>113</v>
      </c>
      <c r="D522" t="s">
        <v>121</v>
      </c>
      <c r="E522" t="s">
        <v>65</v>
      </c>
      <c r="F522" t="s">
        <v>126</v>
      </c>
      <c r="G522" t="s">
        <v>1680</v>
      </c>
    </row>
    <row r="523" spans="1:9" hidden="1">
      <c r="A523" t="s">
        <v>2541</v>
      </c>
      <c r="B523" t="s">
        <v>312</v>
      </c>
      <c r="C523" t="s">
        <v>136</v>
      </c>
      <c r="D523" t="s">
        <v>121</v>
      </c>
      <c r="E523" t="s">
        <v>46</v>
      </c>
      <c r="F523" t="s">
        <v>313</v>
      </c>
      <c r="G523" t="s">
        <v>2542</v>
      </c>
    </row>
    <row r="524" spans="1:9" hidden="1">
      <c r="A524" t="s">
        <v>2543</v>
      </c>
      <c r="B524" t="s">
        <v>1341</v>
      </c>
      <c r="C524" t="s">
        <v>113</v>
      </c>
      <c r="D524" t="s">
        <v>63</v>
      </c>
      <c r="E524" t="s">
        <v>65</v>
      </c>
      <c r="F524" t="s">
        <v>126</v>
      </c>
      <c r="G524" t="s">
        <v>1674</v>
      </c>
      <c r="I524">
        <v>1</v>
      </c>
    </row>
    <row r="525" spans="1:9" hidden="1">
      <c r="A525" t="s">
        <v>2544</v>
      </c>
      <c r="B525" t="s">
        <v>171</v>
      </c>
      <c r="C525" t="s">
        <v>113</v>
      </c>
      <c r="D525" t="s">
        <v>63</v>
      </c>
      <c r="E525" t="s">
        <v>172</v>
      </c>
      <c r="F525" t="s">
        <v>173</v>
      </c>
      <c r="G525" t="s">
        <v>2545</v>
      </c>
    </row>
    <row r="526" spans="1:9" hidden="1">
      <c r="A526" t="s">
        <v>2546</v>
      </c>
      <c r="B526" t="s">
        <v>695</v>
      </c>
      <c r="C526" t="s">
        <v>113</v>
      </c>
      <c r="D526" t="s">
        <v>154</v>
      </c>
      <c r="E526" t="s">
        <v>63</v>
      </c>
      <c r="F526" t="s">
        <v>696</v>
      </c>
      <c r="G526" t="s">
        <v>1966</v>
      </c>
      <c r="I526">
        <v>1</v>
      </c>
    </row>
    <row r="527" spans="1:9">
      <c r="A527" t="s">
        <v>2547</v>
      </c>
      <c r="B527" t="s">
        <v>2548</v>
      </c>
      <c r="C527" t="s">
        <v>113</v>
      </c>
      <c r="D527" t="s">
        <v>42</v>
      </c>
      <c r="E527" t="s">
        <v>126</v>
      </c>
      <c r="F527" t="s">
        <v>126</v>
      </c>
      <c r="G527" t="s">
        <v>2549</v>
      </c>
    </row>
    <row r="528" spans="1:9" hidden="1">
      <c r="A528" t="s">
        <v>2550</v>
      </c>
      <c r="B528" t="s">
        <v>732</v>
      </c>
      <c r="C528" t="s">
        <v>233</v>
      </c>
      <c r="D528" t="s">
        <v>117</v>
      </c>
      <c r="E528" t="s">
        <v>42</v>
      </c>
      <c r="F528" t="s">
        <v>733</v>
      </c>
      <c r="G528" t="s">
        <v>1690</v>
      </c>
    </row>
    <row r="529" spans="1:9" hidden="1">
      <c r="A529" t="s">
        <v>2551</v>
      </c>
      <c r="B529" t="s">
        <v>653</v>
      </c>
      <c r="C529" t="s">
        <v>113</v>
      </c>
      <c r="D529" t="s">
        <v>44</v>
      </c>
      <c r="E529" t="s">
        <v>82</v>
      </c>
      <c r="F529" t="s">
        <v>126</v>
      </c>
      <c r="G529" t="s">
        <v>2398</v>
      </c>
      <c r="I529">
        <v>1</v>
      </c>
    </row>
    <row r="530" spans="1:9">
      <c r="A530" t="s">
        <v>2552</v>
      </c>
      <c r="B530" t="s">
        <v>2553</v>
      </c>
      <c r="C530" t="s">
        <v>125</v>
      </c>
      <c r="D530" t="s">
        <v>126</v>
      </c>
      <c r="E530" t="s">
        <v>126</v>
      </c>
      <c r="F530" t="s">
        <v>2554</v>
      </c>
      <c r="G530" t="s">
        <v>2380</v>
      </c>
    </row>
    <row r="531" spans="1:9" hidden="1">
      <c r="A531" t="s">
        <v>2555</v>
      </c>
      <c r="B531" t="s">
        <v>1538</v>
      </c>
      <c r="C531" t="s">
        <v>117</v>
      </c>
      <c r="D531" t="s">
        <v>209</v>
      </c>
      <c r="E531" t="s">
        <v>647</v>
      </c>
      <c r="F531" t="s">
        <v>126</v>
      </c>
      <c r="G531" t="s">
        <v>2556</v>
      </c>
      <c r="I531">
        <v>1</v>
      </c>
    </row>
    <row r="532" spans="1:9" hidden="1">
      <c r="A532" t="s">
        <v>2557</v>
      </c>
      <c r="B532" t="s">
        <v>1507</v>
      </c>
      <c r="C532" t="s">
        <v>117</v>
      </c>
      <c r="D532" t="s">
        <v>82</v>
      </c>
      <c r="E532" t="s">
        <v>180</v>
      </c>
      <c r="F532" t="s">
        <v>126</v>
      </c>
      <c r="G532" t="s">
        <v>2558</v>
      </c>
    </row>
    <row r="533" spans="1:9">
      <c r="A533" t="s">
        <v>2559</v>
      </c>
      <c r="B533" t="s">
        <v>2560</v>
      </c>
      <c r="C533" t="s">
        <v>113</v>
      </c>
      <c r="D533" t="s">
        <v>156</v>
      </c>
      <c r="E533" t="s">
        <v>86</v>
      </c>
      <c r="F533" t="s">
        <v>126</v>
      </c>
      <c r="G533" t="s">
        <v>2051</v>
      </c>
    </row>
    <row r="534" spans="1:9" hidden="1">
      <c r="A534" t="s">
        <v>2561</v>
      </c>
      <c r="B534" t="s">
        <v>740</v>
      </c>
      <c r="C534" t="s">
        <v>113</v>
      </c>
      <c r="D534" t="s">
        <v>42</v>
      </c>
      <c r="E534" t="s">
        <v>143</v>
      </c>
      <c r="F534" t="s">
        <v>126</v>
      </c>
      <c r="G534" t="s">
        <v>1773</v>
      </c>
    </row>
    <row r="535" spans="1:9" hidden="1">
      <c r="A535" t="s">
        <v>2562</v>
      </c>
      <c r="B535" t="s">
        <v>1017</v>
      </c>
      <c r="C535" t="s">
        <v>117</v>
      </c>
      <c r="D535" t="s">
        <v>42</v>
      </c>
      <c r="E535" t="s">
        <v>126</v>
      </c>
      <c r="F535" t="s">
        <v>126</v>
      </c>
      <c r="G535" t="s">
        <v>1712</v>
      </c>
    </row>
    <row r="536" spans="1:9" hidden="1">
      <c r="A536" t="s">
        <v>2563</v>
      </c>
      <c r="B536" t="s">
        <v>708</v>
      </c>
      <c r="C536" t="s">
        <v>113</v>
      </c>
      <c r="D536" t="s">
        <v>42</v>
      </c>
      <c r="E536" t="s">
        <v>204</v>
      </c>
      <c r="F536" t="s">
        <v>126</v>
      </c>
      <c r="G536" t="s">
        <v>2183</v>
      </c>
    </row>
    <row r="537" spans="1:9">
      <c r="A537" t="s">
        <v>2564</v>
      </c>
      <c r="B537" t="s">
        <v>2565</v>
      </c>
      <c r="C537" t="s">
        <v>125</v>
      </c>
      <c r="D537" t="s">
        <v>126</v>
      </c>
      <c r="E537" t="s">
        <v>126</v>
      </c>
      <c r="F537" t="s">
        <v>2566</v>
      </c>
      <c r="G537" t="s">
        <v>1796</v>
      </c>
    </row>
    <row r="538" spans="1:9" hidden="1">
      <c r="A538" t="s">
        <v>2567</v>
      </c>
      <c r="B538" t="s">
        <v>1001</v>
      </c>
      <c r="C538" t="s">
        <v>113</v>
      </c>
      <c r="D538" t="s">
        <v>154</v>
      </c>
      <c r="E538" t="s">
        <v>511</v>
      </c>
      <c r="F538" t="s">
        <v>126</v>
      </c>
      <c r="G538" t="s">
        <v>2568</v>
      </c>
      <c r="I538">
        <v>4</v>
      </c>
    </row>
    <row r="539" spans="1:9" hidden="1">
      <c r="A539" t="s">
        <v>2569</v>
      </c>
      <c r="B539" t="s">
        <v>1441</v>
      </c>
      <c r="C539" t="s">
        <v>113</v>
      </c>
      <c r="D539" t="s">
        <v>233</v>
      </c>
      <c r="E539" t="s">
        <v>58</v>
      </c>
      <c r="F539" t="s">
        <v>126</v>
      </c>
      <c r="G539" t="s">
        <v>2570</v>
      </c>
    </row>
    <row r="540" spans="1:9" hidden="1">
      <c r="A540" t="s">
        <v>2571</v>
      </c>
      <c r="B540" t="s">
        <v>1003</v>
      </c>
      <c r="C540" t="s">
        <v>113</v>
      </c>
      <c r="D540" t="s">
        <v>42</v>
      </c>
      <c r="E540" t="s">
        <v>126</v>
      </c>
      <c r="F540" t="s">
        <v>126</v>
      </c>
      <c r="G540" t="s">
        <v>2568</v>
      </c>
    </row>
    <row r="541" spans="1:9" hidden="1">
      <c r="A541" t="s">
        <v>2572</v>
      </c>
      <c r="B541" t="s">
        <v>644</v>
      </c>
      <c r="C541" t="s">
        <v>272</v>
      </c>
      <c r="D541" t="s">
        <v>117</v>
      </c>
      <c r="E541" t="s">
        <v>63</v>
      </c>
      <c r="F541" t="s">
        <v>126</v>
      </c>
      <c r="G541" t="s">
        <v>2573</v>
      </c>
      <c r="I541">
        <v>1</v>
      </c>
    </row>
    <row r="542" spans="1:9" hidden="1">
      <c r="A542" t="s">
        <v>2574</v>
      </c>
      <c r="B542" t="s">
        <v>1096</v>
      </c>
      <c r="C542" t="s">
        <v>113</v>
      </c>
      <c r="D542" t="s">
        <v>233</v>
      </c>
      <c r="E542" t="s">
        <v>160</v>
      </c>
      <c r="F542" t="s">
        <v>126</v>
      </c>
      <c r="G542" t="s">
        <v>1916</v>
      </c>
      <c r="I542">
        <v>1</v>
      </c>
    </row>
    <row r="543" spans="1:9">
      <c r="A543" t="s">
        <v>2575</v>
      </c>
      <c r="B543" t="s">
        <v>2576</v>
      </c>
      <c r="C543" t="s">
        <v>125</v>
      </c>
      <c r="D543" t="s">
        <v>126</v>
      </c>
      <c r="E543" t="s">
        <v>126</v>
      </c>
      <c r="F543" t="s">
        <v>126</v>
      </c>
      <c r="G543" t="s">
        <v>2441</v>
      </c>
    </row>
    <row r="544" spans="1:9" hidden="1">
      <c r="A544" t="s">
        <v>2577</v>
      </c>
      <c r="B544" t="s">
        <v>1186</v>
      </c>
      <c r="C544" t="s">
        <v>121</v>
      </c>
      <c r="D544" t="s">
        <v>83</v>
      </c>
      <c r="E544" t="s">
        <v>126</v>
      </c>
      <c r="F544" t="s">
        <v>126</v>
      </c>
      <c r="G544" t="s">
        <v>1994</v>
      </c>
    </row>
    <row r="545" spans="1:9">
      <c r="A545" t="s">
        <v>2578</v>
      </c>
      <c r="B545" t="s">
        <v>2579</v>
      </c>
      <c r="C545" t="s">
        <v>136</v>
      </c>
      <c r="D545" t="s">
        <v>176</v>
      </c>
      <c r="E545" t="s">
        <v>204</v>
      </c>
      <c r="F545" t="s">
        <v>2581</v>
      </c>
      <c r="G545" t="s">
        <v>2580</v>
      </c>
    </row>
    <row r="546" spans="1:9" hidden="1">
      <c r="A546" t="s">
        <v>2582</v>
      </c>
      <c r="B546" t="s">
        <v>1192</v>
      </c>
      <c r="C546" t="s">
        <v>117</v>
      </c>
      <c r="D546" t="s">
        <v>42</v>
      </c>
      <c r="E546" t="s">
        <v>213</v>
      </c>
      <c r="F546" t="s">
        <v>126</v>
      </c>
      <c r="G546" t="s">
        <v>2349</v>
      </c>
    </row>
    <row r="547" spans="1:9" hidden="1">
      <c r="A547" t="s">
        <v>2583</v>
      </c>
      <c r="B547" t="s">
        <v>1349</v>
      </c>
      <c r="C547" t="s">
        <v>113</v>
      </c>
      <c r="D547" t="s">
        <v>117</v>
      </c>
      <c r="E547" t="s">
        <v>156</v>
      </c>
      <c r="F547" t="s">
        <v>126</v>
      </c>
      <c r="G547" t="s">
        <v>2255</v>
      </c>
      <c r="I547">
        <v>1</v>
      </c>
    </row>
    <row r="548" spans="1:9" hidden="1">
      <c r="A548" t="s">
        <v>2584</v>
      </c>
      <c r="B548" t="s">
        <v>371</v>
      </c>
      <c r="C548" t="s">
        <v>113</v>
      </c>
      <c r="D548" t="s">
        <v>42</v>
      </c>
      <c r="E548" t="s">
        <v>213</v>
      </c>
      <c r="F548" t="s">
        <v>372</v>
      </c>
      <c r="G548" t="s">
        <v>1783</v>
      </c>
    </row>
    <row r="549" spans="1:9" hidden="1">
      <c r="A549" t="s">
        <v>2585</v>
      </c>
      <c r="B549" t="s">
        <v>1019</v>
      </c>
      <c r="C549" t="s">
        <v>117</v>
      </c>
      <c r="D549" t="s">
        <v>154</v>
      </c>
      <c r="E549" t="s">
        <v>647</v>
      </c>
      <c r="F549" t="s">
        <v>126</v>
      </c>
      <c r="G549" t="s">
        <v>1712</v>
      </c>
      <c r="I549">
        <v>3</v>
      </c>
    </row>
    <row r="550" spans="1:9" hidden="1">
      <c r="A550" t="s">
        <v>2586</v>
      </c>
      <c r="B550" t="s">
        <v>1038</v>
      </c>
      <c r="C550" t="s">
        <v>113</v>
      </c>
      <c r="D550" t="s">
        <v>139</v>
      </c>
      <c r="E550" t="s">
        <v>117</v>
      </c>
      <c r="F550" t="s">
        <v>126</v>
      </c>
      <c r="G550" t="s">
        <v>2587</v>
      </c>
      <c r="I550">
        <v>2</v>
      </c>
    </row>
    <row r="551" spans="1:9" hidden="1">
      <c r="A551" t="s">
        <v>2588</v>
      </c>
      <c r="B551" t="s">
        <v>1437</v>
      </c>
      <c r="C551" t="s">
        <v>113</v>
      </c>
      <c r="D551" t="s">
        <v>272</v>
      </c>
      <c r="E551" t="s">
        <v>154</v>
      </c>
      <c r="F551" t="s">
        <v>126</v>
      </c>
      <c r="G551" t="s">
        <v>2589</v>
      </c>
      <c r="I551">
        <v>2</v>
      </c>
    </row>
    <row r="552" spans="1:9" hidden="1">
      <c r="A552" t="s">
        <v>2590</v>
      </c>
      <c r="B552" t="s">
        <v>1158</v>
      </c>
      <c r="C552" t="s">
        <v>113</v>
      </c>
      <c r="D552" t="s">
        <v>121</v>
      </c>
      <c r="E552" t="s">
        <v>172</v>
      </c>
      <c r="F552" t="s">
        <v>126</v>
      </c>
      <c r="G552" t="s">
        <v>2290</v>
      </c>
      <c r="I552">
        <v>1</v>
      </c>
    </row>
    <row r="553" spans="1:9" hidden="1">
      <c r="A553" t="s">
        <v>2591</v>
      </c>
      <c r="B553" t="s">
        <v>561</v>
      </c>
      <c r="C553" t="s">
        <v>113</v>
      </c>
      <c r="D553" t="s">
        <v>117</v>
      </c>
      <c r="E553" t="s">
        <v>135</v>
      </c>
      <c r="F553" t="s">
        <v>562</v>
      </c>
      <c r="G553" t="s">
        <v>2378</v>
      </c>
      <c r="I553">
        <v>3</v>
      </c>
    </row>
    <row r="554" spans="1:9">
      <c r="A554" t="s">
        <v>2592</v>
      </c>
      <c r="B554" t="s">
        <v>2593</v>
      </c>
      <c r="C554" t="s">
        <v>42</v>
      </c>
      <c r="D554" t="s">
        <v>82</v>
      </c>
      <c r="E554" t="s">
        <v>204</v>
      </c>
      <c r="F554" t="s">
        <v>126</v>
      </c>
      <c r="G554" t="s">
        <v>1959</v>
      </c>
    </row>
    <row r="555" spans="1:9" hidden="1">
      <c r="A555" t="s">
        <v>2594</v>
      </c>
      <c r="B555" t="s">
        <v>483</v>
      </c>
      <c r="C555" t="s">
        <v>113</v>
      </c>
      <c r="D555" t="s">
        <v>139</v>
      </c>
      <c r="E555" t="s">
        <v>154</v>
      </c>
      <c r="F555" t="s">
        <v>484</v>
      </c>
      <c r="G555" t="s">
        <v>2080</v>
      </c>
      <c r="I555">
        <v>3</v>
      </c>
    </row>
    <row r="556" spans="1:9">
      <c r="A556" t="s">
        <v>2595</v>
      </c>
      <c r="B556" t="s">
        <v>2596</v>
      </c>
      <c r="C556" t="s">
        <v>125</v>
      </c>
      <c r="D556" t="s">
        <v>126</v>
      </c>
      <c r="E556" t="s">
        <v>126</v>
      </c>
      <c r="F556" t="s">
        <v>126</v>
      </c>
      <c r="G556" t="s">
        <v>1922</v>
      </c>
    </row>
    <row r="557" spans="1:9">
      <c r="A557" t="s">
        <v>2597</v>
      </c>
      <c r="B557" t="s">
        <v>2598</v>
      </c>
      <c r="C557" t="s">
        <v>125</v>
      </c>
      <c r="D557" t="s">
        <v>126</v>
      </c>
      <c r="E557" t="s">
        <v>126</v>
      </c>
      <c r="F557" t="s">
        <v>126</v>
      </c>
      <c r="G557" t="s">
        <v>2260</v>
      </c>
    </row>
    <row r="558" spans="1:9">
      <c r="A558" t="s">
        <v>2599</v>
      </c>
      <c r="B558" t="s">
        <v>2600</v>
      </c>
      <c r="C558" t="s">
        <v>139</v>
      </c>
      <c r="D558" t="s">
        <v>160</v>
      </c>
      <c r="E558" t="s">
        <v>155</v>
      </c>
      <c r="F558" t="s">
        <v>126</v>
      </c>
      <c r="G558" t="s">
        <v>2601</v>
      </c>
      <c r="I558">
        <v>1</v>
      </c>
    </row>
    <row r="559" spans="1:9" hidden="1">
      <c r="A559" t="s">
        <v>2602</v>
      </c>
      <c r="B559" t="s">
        <v>1241</v>
      </c>
      <c r="C559" t="s">
        <v>113</v>
      </c>
      <c r="D559" t="s">
        <v>154</v>
      </c>
      <c r="E559" t="s">
        <v>176</v>
      </c>
      <c r="F559" t="s">
        <v>126</v>
      </c>
      <c r="G559" t="s">
        <v>2603</v>
      </c>
      <c r="I559">
        <v>1</v>
      </c>
    </row>
    <row r="560" spans="1:9" hidden="1">
      <c r="A560" t="s">
        <v>2604</v>
      </c>
      <c r="B560" t="s">
        <v>506</v>
      </c>
      <c r="C560" t="s">
        <v>139</v>
      </c>
      <c r="D560" t="s">
        <v>117</v>
      </c>
      <c r="E560" t="s">
        <v>42</v>
      </c>
      <c r="F560" t="s">
        <v>126</v>
      </c>
      <c r="G560" t="s">
        <v>2605</v>
      </c>
    </row>
    <row r="561" spans="1:9">
      <c r="A561" t="s">
        <v>2606</v>
      </c>
      <c r="B561" t="s">
        <v>2607</v>
      </c>
      <c r="C561" t="s">
        <v>42</v>
      </c>
      <c r="D561" t="s">
        <v>63</v>
      </c>
      <c r="E561" t="s">
        <v>126</v>
      </c>
      <c r="F561" t="s">
        <v>126</v>
      </c>
      <c r="G561" t="s">
        <v>2524</v>
      </c>
    </row>
    <row r="562" spans="1:9" hidden="1">
      <c r="A562" t="s">
        <v>2608</v>
      </c>
      <c r="B562" t="s">
        <v>1122</v>
      </c>
      <c r="C562" t="s">
        <v>113</v>
      </c>
      <c r="D562" t="s">
        <v>42</v>
      </c>
      <c r="E562" t="s">
        <v>65</v>
      </c>
      <c r="F562" t="s">
        <v>126</v>
      </c>
      <c r="G562" t="s">
        <v>2507</v>
      </c>
    </row>
    <row r="563" spans="1:9" hidden="1">
      <c r="A563" t="s">
        <v>2609</v>
      </c>
      <c r="B563" t="s">
        <v>828</v>
      </c>
      <c r="C563" t="s">
        <v>113</v>
      </c>
      <c r="D563" t="s">
        <v>42</v>
      </c>
      <c r="E563" t="s">
        <v>126</v>
      </c>
      <c r="F563" t="s">
        <v>829</v>
      </c>
      <c r="G563" t="s">
        <v>2187</v>
      </c>
    </row>
    <row r="564" spans="1:9" hidden="1">
      <c r="A564" t="s">
        <v>2610</v>
      </c>
      <c r="B564" t="s">
        <v>1250</v>
      </c>
      <c r="C564" t="s">
        <v>155</v>
      </c>
      <c r="D564" t="s">
        <v>156</v>
      </c>
      <c r="E564" t="s">
        <v>86</v>
      </c>
      <c r="F564" t="s">
        <v>126</v>
      </c>
      <c r="G564" t="s">
        <v>2263</v>
      </c>
    </row>
    <row r="565" spans="1:9">
      <c r="A565" t="s">
        <v>2611</v>
      </c>
      <c r="B565" t="s">
        <v>2612</v>
      </c>
      <c r="C565" t="s">
        <v>113</v>
      </c>
      <c r="D565" t="s">
        <v>135</v>
      </c>
      <c r="E565" t="s">
        <v>136</v>
      </c>
      <c r="F565" t="s">
        <v>126</v>
      </c>
      <c r="G565" t="s">
        <v>2613</v>
      </c>
      <c r="I565">
        <v>1</v>
      </c>
    </row>
    <row r="566" spans="1:9" hidden="1">
      <c r="A566" t="s">
        <v>2614</v>
      </c>
      <c r="B566" t="s">
        <v>1477</v>
      </c>
      <c r="C566" t="s">
        <v>113</v>
      </c>
      <c r="D566" t="s">
        <v>160</v>
      </c>
      <c r="E566" t="s">
        <v>191</v>
      </c>
      <c r="F566" t="s">
        <v>1478</v>
      </c>
      <c r="G566" t="s">
        <v>2615</v>
      </c>
      <c r="I566">
        <v>1</v>
      </c>
    </row>
    <row r="567" spans="1:9" hidden="1">
      <c r="A567" t="s">
        <v>2616</v>
      </c>
      <c r="B567" t="s">
        <v>1609</v>
      </c>
      <c r="C567" t="s">
        <v>154</v>
      </c>
      <c r="D567" t="s">
        <v>155</v>
      </c>
      <c r="E567" t="s">
        <v>300</v>
      </c>
      <c r="F567" t="s">
        <v>126</v>
      </c>
      <c r="G567" t="s">
        <v>2617</v>
      </c>
      <c r="I567">
        <v>1</v>
      </c>
    </row>
    <row r="568" spans="1:9" hidden="1">
      <c r="A568" t="s">
        <v>2618</v>
      </c>
      <c r="B568" t="s">
        <v>195</v>
      </c>
      <c r="C568" t="s">
        <v>113</v>
      </c>
      <c r="D568" t="s">
        <v>176</v>
      </c>
      <c r="E568" t="s">
        <v>121</v>
      </c>
      <c r="F568" t="s">
        <v>196</v>
      </c>
      <c r="G568" t="s">
        <v>2619</v>
      </c>
      <c r="I568">
        <v>3</v>
      </c>
    </row>
    <row r="569" spans="1:9" hidden="1">
      <c r="A569" t="s">
        <v>2620</v>
      </c>
      <c r="B569" t="s">
        <v>788</v>
      </c>
      <c r="C569" t="s">
        <v>43</v>
      </c>
      <c r="D569" t="s">
        <v>117</v>
      </c>
      <c r="E569" t="s">
        <v>160</v>
      </c>
      <c r="F569" t="s">
        <v>126</v>
      </c>
      <c r="G569" t="s">
        <v>2041</v>
      </c>
      <c r="I569">
        <v>3</v>
      </c>
    </row>
    <row r="570" spans="1:9" hidden="1">
      <c r="A570" t="s">
        <v>2621</v>
      </c>
      <c r="B570" t="s">
        <v>1008</v>
      </c>
      <c r="C570" t="s">
        <v>113</v>
      </c>
      <c r="D570" t="s">
        <v>139</v>
      </c>
      <c r="E570" t="s">
        <v>117</v>
      </c>
      <c r="F570" t="s">
        <v>126</v>
      </c>
      <c r="G570" t="s">
        <v>2411</v>
      </c>
      <c r="I570">
        <v>1</v>
      </c>
    </row>
    <row r="571" spans="1:9" hidden="1">
      <c r="A571" t="s">
        <v>2622</v>
      </c>
      <c r="B571" t="s">
        <v>517</v>
      </c>
      <c r="C571" t="s">
        <v>113</v>
      </c>
      <c r="D571" t="s">
        <v>154</v>
      </c>
      <c r="E571" t="s">
        <v>209</v>
      </c>
      <c r="F571" t="s">
        <v>126</v>
      </c>
      <c r="G571" t="s">
        <v>1670</v>
      </c>
      <c r="I571">
        <v>1</v>
      </c>
    </row>
    <row r="572" spans="1:9" hidden="1">
      <c r="A572" t="s">
        <v>2623</v>
      </c>
      <c r="B572" t="s">
        <v>812</v>
      </c>
      <c r="C572" t="s">
        <v>113</v>
      </c>
      <c r="D572" t="s">
        <v>139</v>
      </c>
      <c r="E572" t="s">
        <v>117</v>
      </c>
      <c r="F572" t="s">
        <v>813</v>
      </c>
      <c r="G572" t="s">
        <v>2491</v>
      </c>
      <c r="I572">
        <v>2</v>
      </c>
    </row>
    <row r="573" spans="1:9">
      <c r="A573" t="s">
        <v>2624</v>
      </c>
      <c r="B573" t="s">
        <v>2625</v>
      </c>
      <c r="C573" t="s">
        <v>113</v>
      </c>
      <c r="D573" t="s">
        <v>136</v>
      </c>
      <c r="E573" t="s">
        <v>180</v>
      </c>
      <c r="F573" t="s">
        <v>126</v>
      </c>
      <c r="G573" t="s">
        <v>1798</v>
      </c>
      <c r="I573">
        <v>1</v>
      </c>
    </row>
    <row r="574" spans="1:9" hidden="1">
      <c r="A574" t="s">
        <v>2626</v>
      </c>
      <c r="B574" t="s">
        <v>655</v>
      </c>
      <c r="C574" t="s">
        <v>113</v>
      </c>
      <c r="D574" t="s">
        <v>42</v>
      </c>
      <c r="E574" t="s">
        <v>256</v>
      </c>
      <c r="F574" t="s">
        <v>126</v>
      </c>
      <c r="G574" t="s">
        <v>2627</v>
      </c>
    </row>
    <row r="575" spans="1:9">
      <c r="A575" t="s">
        <v>2628</v>
      </c>
      <c r="B575" t="s">
        <v>2629</v>
      </c>
      <c r="C575" t="s">
        <v>42</v>
      </c>
      <c r="D575" t="s">
        <v>135</v>
      </c>
      <c r="E575" t="s">
        <v>204</v>
      </c>
      <c r="F575" t="s">
        <v>126</v>
      </c>
      <c r="G575" t="s">
        <v>2630</v>
      </c>
    </row>
    <row r="576" spans="1:9" hidden="1">
      <c r="A576" t="s">
        <v>2631</v>
      </c>
      <c r="B576" t="s">
        <v>470</v>
      </c>
      <c r="C576" t="s">
        <v>42</v>
      </c>
      <c r="D576" t="s">
        <v>256</v>
      </c>
      <c r="E576" t="s">
        <v>126</v>
      </c>
      <c r="F576" t="s">
        <v>126</v>
      </c>
      <c r="G576" t="s">
        <v>2632</v>
      </c>
    </row>
    <row r="577" spans="1:9" hidden="1">
      <c r="A577" t="s">
        <v>2633</v>
      </c>
      <c r="B577" t="s">
        <v>472</v>
      </c>
      <c r="C577" t="s">
        <v>113</v>
      </c>
      <c r="D577" t="s">
        <v>42</v>
      </c>
      <c r="E577" t="s">
        <v>126</v>
      </c>
      <c r="F577" t="s">
        <v>126</v>
      </c>
      <c r="G577" t="s">
        <v>2632</v>
      </c>
    </row>
    <row r="578" spans="1:9" hidden="1">
      <c r="A578" t="s">
        <v>2634</v>
      </c>
      <c r="B578" t="s">
        <v>629</v>
      </c>
      <c r="C578" t="s">
        <v>113</v>
      </c>
      <c r="D578" t="s">
        <v>82</v>
      </c>
      <c r="E578" t="s">
        <v>135</v>
      </c>
      <c r="F578" t="s">
        <v>126</v>
      </c>
      <c r="G578" t="s">
        <v>1908</v>
      </c>
      <c r="I578">
        <v>1</v>
      </c>
    </row>
    <row r="579" spans="1:9" hidden="1">
      <c r="A579" t="s">
        <v>2635</v>
      </c>
      <c r="B579" t="s">
        <v>450</v>
      </c>
      <c r="C579" t="s">
        <v>113</v>
      </c>
      <c r="D579" t="s">
        <v>42</v>
      </c>
      <c r="E579" t="s">
        <v>451</v>
      </c>
      <c r="F579" t="s">
        <v>452</v>
      </c>
      <c r="G579" t="s">
        <v>2423</v>
      </c>
    </row>
    <row r="580" spans="1:9" hidden="1">
      <c r="A580" t="s">
        <v>2636</v>
      </c>
      <c r="B580" t="s">
        <v>901</v>
      </c>
      <c r="C580" t="s">
        <v>113</v>
      </c>
      <c r="D580" t="s">
        <v>160</v>
      </c>
      <c r="E580" t="s">
        <v>180</v>
      </c>
      <c r="F580" t="s">
        <v>126</v>
      </c>
      <c r="G580" t="s">
        <v>1812</v>
      </c>
      <c r="I580">
        <v>1</v>
      </c>
    </row>
    <row r="581" spans="1:9" hidden="1">
      <c r="A581" t="s">
        <v>2637</v>
      </c>
      <c r="B581" t="s">
        <v>1490</v>
      </c>
      <c r="C581" t="s">
        <v>233</v>
      </c>
      <c r="D581" t="s">
        <v>42</v>
      </c>
      <c r="E581" t="s">
        <v>204</v>
      </c>
      <c r="F581" t="s">
        <v>126</v>
      </c>
      <c r="G581" t="s">
        <v>2638</v>
      </c>
    </row>
    <row r="582" spans="1:9" hidden="1">
      <c r="A582" t="s">
        <v>2639</v>
      </c>
      <c r="B582" t="s">
        <v>499</v>
      </c>
      <c r="C582" t="s">
        <v>113</v>
      </c>
      <c r="D582" t="s">
        <v>233</v>
      </c>
      <c r="E582" t="s">
        <v>172</v>
      </c>
      <c r="F582" t="s">
        <v>126</v>
      </c>
      <c r="G582" t="s">
        <v>1922</v>
      </c>
      <c r="I582">
        <v>2</v>
      </c>
    </row>
    <row r="583" spans="1:9" hidden="1">
      <c r="A583" t="s">
        <v>2640</v>
      </c>
      <c r="B583" t="s">
        <v>201</v>
      </c>
      <c r="C583" t="s">
        <v>113</v>
      </c>
      <c r="D583" t="s">
        <v>139</v>
      </c>
      <c r="E583" t="s">
        <v>63</v>
      </c>
      <c r="F583" t="s">
        <v>126</v>
      </c>
      <c r="G583" t="s">
        <v>2641</v>
      </c>
    </row>
    <row r="584" spans="1:9" hidden="1">
      <c r="A584" t="s">
        <v>2642</v>
      </c>
      <c r="B584" t="s">
        <v>770</v>
      </c>
      <c r="C584" t="s">
        <v>113</v>
      </c>
      <c r="D584" t="s">
        <v>139</v>
      </c>
      <c r="E584" t="s">
        <v>154</v>
      </c>
      <c r="F584" t="s">
        <v>126</v>
      </c>
      <c r="G584" t="s">
        <v>2271</v>
      </c>
      <c r="I584">
        <v>1</v>
      </c>
    </row>
    <row r="585" spans="1:9">
      <c r="A585" t="s">
        <v>2643</v>
      </c>
      <c r="B585" t="s">
        <v>2644</v>
      </c>
      <c r="C585" t="s">
        <v>113</v>
      </c>
      <c r="D585" t="s">
        <v>42</v>
      </c>
      <c r="E585" t="s">
        <v>160</v>
      </c>
      <c r="F585" t="s">
        <v>2645</v>
      </c>
      <c r="G585" t="s">
        <v>2366</v>
      </c>
      <c r="I585">
        <v>1</v>
      </c>
    </row>
    <row r="586" spans="1:9" hidden="1">
      <c r="A586" t="s">
        <v>2646</v>
      </c>
      <c r="B586" t="s">
        <v>703</v>
      </c>
      <c r="C586" t="s">
        <v>136</v>
      </c>
      <c r="D586" t="s">
        <v>176</v>
      </c>
      <c r="E586" t="s">
        <v>204</v>
      </c>
      <c r="F586" t="s">
        <v>704</v>
      </c>
      <c r="G586" t="s">
        <v>1959</v>
      </c>
    </row>
    <row r="587" spans="1:9">
      <c r="A587" t="s">
        <v>2647</v>
      </c>
      <c r="B587" t="s">
        <v>2648</v>
      </c>
      <c r="C587" t="s">
        <v>113</v>
      </c>
      <c r="D587" t="s">
        <v>42</v>
      </c>
      <c r="E587" t="s">
        <v>126</v>
      </c>
      <c r="F587" t="s">
        <v>2649</v>
      </c>
      <c r="G587" t="s">
        <v>2301</v>
      </c>
    </row>
    <row r="588" spans="1:9">
      <c r="A588" t="s">
        <v>2650</v>
      </c>
      <c r="B588" t="s">
        <v>2651</v>
      </c>
      <c r="C588" t="s">
        <v>125</v>
      </c>
      <c r="D588" t="s">
        <v>126</v>
      </c>
      <c r="E588" t="s">
        <v>126</v>
      </c>
      <c r="F588" t="s">
        <v>126</v>
      </c>
      <c r="G588" t="s">
        <v>2652</v>
      </c>
    </row>
    <row r="589" spans="1:9" hidden="1">
      <c r="A589" t="s">
        <v>2653</v>
      </c>
      <c r="B589" t="s">
        <v>580</v>
      </c>
      <c r="C589" t="s">
        <v>113</v>
      </c>
      <c r="D589" t="s">
        <v>233</v>
      </c>
      <c r="E589" t="s">
        <v>63</v>
      </c>
      <c r="F589" t="s">
        <v>581</v>
      </c>
      <c r="G589" t="s">
        <v>1796</v>
      </c>
    </row>
    <row r="590" spans="1:9">
      <c r="A590" t="s">
        <v>2654</v>
      </c>
      <c r="B590" t="s">
        <v>2655</v>
      </c>
      <c r="C590" t="s">
        <v>113</v>
      </c>
      <c r="D590" t="s">
        <v>180</v>
      </c>
      <c r="E590" t="s">
        <v>121</v>
      </c>
      <c r="F590" t="s">
        <v>2657</v>
      </c>
      <c r="G590" t="s">
        <v>2656</v>
      </c>
      <c r="I590">
        <v>3</v>
      </c>
    </row>
    <row r="591" spans="1:9" hidden="1">
      <c r="A591" t="s">
        <v>2658</v>
      </c>
      <c r="B591" t="s">
        <v>1115</v>
      </c>
      <c r="C591" t="s">
        <v>233</v>
      </c>
      <c r="D591" t="s">
        <v>42</v>
      </c>
      <c r="E591" t="s">
        <v>126</v>
      </c>
      <c r="F591" t="s">
        <v>126</v>
      </c>
      <c r="G591" t="s">
        <v>2380</v>
      </c>
    </row>
    <row r="592" spans="1:9" hidden="1">
      <c r="A592" t="s">
        <v>2659</v>
      </c>
      <c r="B592" t="s">
        <v>756</v>
      </c>
      <c r="C592" t="s">
        <v>113</v>
      </c>
      <c r="D592" t="s">
        <v>180</v>
      </c>
      <c r="E592" t="s">
        <v>213</v>
      </c>
      <c r="F592" t="s">
        <v>126</v>
      </c>
      <c r="G592" t="s">
        <v>2660</v>
      </c>
      <c r="I592">
        <v>1</v>
      </c>
    </row>
    <row r="593" spans="1:9" hidden="1">
      <c r="A593" t="s">
        <v>2661</v>
      </c>
      <c r="B593" t="s">
        <v>1124</v>
      </c>
      <c r="C593" t="s">
        <v>113</v>
      </c>
      <c r="D593" t="s">
        <v>172</v>
      </c>
      <c r="E593" t="s">
        <v>184</v>
      </c>
      <c r="F593" t="s">
        <v>126</v>
      </c>
      <c r="G593" t="s">
        <v>1810</v>
      </c>
    </row>
    <row r="594" spans="1:9" hidden="1">
      <c r="A594" t="s">
        <v>2662</v>
      </c>
      <c r="B594" t="s">
        <v>120</v>
      </c>
      <c r="C594" t="s">
        <v>113</v>
      </c>
      <c r="D594" t="s">
        <v>121</v>
      </c>
      <c r="E594" t="s">
        <v>46</v>
      </c>
      <c r="F594" t="s">
        <v>122</v>
      </c>
      <c r="G594" t="s">
        <v>2663</v>
      </c>
      <c r="I594">
        <v>1</v>
      </c>
    </row>
    <row r="595" spans="1:9" hidden="1">
      <c r="A595" t="s">
        <v>2664</v>
      </c>
      <c r="B595" t="s">
        <v>1239</v>
      </c>
      <c r="C595" t="s">
        <v>113</v>
      </c>
      <c r="D595" t="s">
        <v>154</v>
      </c>
      <c r="E595" t="s">
        <v>208</v>
      </c>
      <c r="F595" t="s">
        <v>126</v>
      </c>
      <c r="G595" t="s">
        <v>1802</v>
      </c>
      <c r="I595">
        <v>4</v>
      </c>
    </row>
    <row r="596" spans="1:9" hidden="1">
      <c r="A596" t="s">
        <v>2665</v>
      </c>
      <c r="B596" t="s">
        <v>921</v>
      </c>
      <c r="C596" t="s">
        <v>113</v>
      </c>
      <c r="D596" t="s">
        <v>139</v>
      </c>
      <c r="E596" t="s">
        <v>172</v>
      </c>
      <c r="F596" t="s">
        <v>922</v>
      </c>
      <c r="G596" t="s">
        <v>1721</v>
      </c>
      <c r="I596">
        <v>2</v>
      </c>
    </row>
    <row r="597" spans="1:9">
      <c r="A597" t="s">
        <v>2666</v>
      </c>
      <c r="B597" t="s">
        <v>2667</v>
      </c>
      <c r="C597" t="s">
        <v>113</v>
      </c>
      <c r="D597" t="s">
        <v>42</v>
      </c>
      <c r="E597" t="s">
        <v>204</v>
      </c>
      <c r="F597" t="s">
        <v>126</v>
      </c>
      <c r="G597" t="s">
        <v>2537</v>
      </c>
    </row>
    <row r="598" spans="1:9" hidden="1">
      <c r="A598" t="s">
        <v>2668</v>
      </c>
      <c r="B598" t="s">
        <v>1532</v>
      </c>
      <c r="C598" t="s">
        <v>113</v>
      </c>
      <c r="D598" t="s">
        <v>511</v>
      </c>
      <c r="E598" t="s">
        <v>938</v>
      </c>
      <c r="F598" t="s">
        <v>126</v>
      </c>
      <c r="G598" t="s">
        <v>2669</v>
      </c>
    </row>
    <row r="599" spans="1:9" hidden="1">
      <c r="A599" t="s">
        <v>2670</v>
      </c>
      <c r="B599" t="s">
        <v>1052</v>
      </c>
      <c r="C599" t="s">
        <v>113</v>
      </c>
      <c r="D599" t="s">
        <v>63</v>
      </c>
      <c r="E599" t="s">
        <v>172</v>
      </c>
      <c r="F599" t="s">
        <v>126</v>
      </c>
      <c r="G599" t="s">
        <v>1708</v>
      </c>
    </row>
    <row r="600" spans="1:9" hidden="1">
      <c r="A600" t="s">
        <v>2671</v>
      </c>
      <c r="B600" t="s">
        <v>365</v>
      </c>
      <c r="C600" t="s">
        <v>113</v>
      </c>
      <c r="D600" t="s">
        <v>117</v>
      </c>
      <c r="E600" t="s">
        <v>67</v>
      </c>
      <c r="F600" t="s">
        <v>366</v>
      </c>
      <c r="G600" t="s">
        <v>2315</v>
      </c>
      <c r="I600">
        <v>1</v>
      </c>
    </row>
    <row r="601" spans="1:9" hidden="1">
      <c r="A601" t="s">
        <v>2672</v>
      </c>
      <c r="B601" t="s">
        <v>501</v>
      </c>
      <c r="C601" t="s">
        <v>113</v>
      </c>
      <c r="D601" t="s">
        <v>139</v>
      </c>
      <c r="E601" t="s">
        <v>135</v>
      </c>
      <c r="F601" t="s">
        <v>502</v>
      </c>
      <c r="G601" t="s">
        <v>2537</v>
      </c>
      <c r="I601">
        <v>3</v>
      </c>
    </row>
    <row r="602" spans="1:9" hidden="1">
      <c r="A602" t="s">
        <v>2673</v>
      </c>
      <c r="B602" t="s">
        <v>876</v>
      </c>
      <c r="C602" t="s">
        <v>113</v>
      </c>
      <c r="D602" t="s">
        <v>154</v>
      </c>
      <c r="E602" t="s">
        <v>511</v>
      </c>
      <c r="F602" t="s">
        <v>126</v>
      </c>
      <c r="G602" t="s">
        <v>2674</v>
      </c>
      <c r="I602">
        <v>4</v>
      </c>
    </row>
    <row r="603" spans="1:9" hidden="1">
      <c r="A603" t="s">
        <v>2675</v>
      </c>
      <c r="B603" t="s">
        <v>1309</v>
      </c>
      <c r="C603" t="s">
        <v>117</v>
      </c>
      <c r="D603" t="s">
        <v>42</v>
      </c>
      <c r="E603" t="s">
        <v>217</v>
      </c>
      <c r="F603" t="s">
        <v>126</v>
      </c>
      <c r="G603" t="s">
        <v>2676</v>
      </c>
    </row>
    <row r="604" spans="1:9" hidden="1">
      <c r="A604" t="s">
        <v>2677</v>
      </c>
      <c r="B604" t="s">
        <v>935</v>
      </c>
      <c r="C604" t="s">
        <v>113</v>
      </c>
      <c r="D604" t="s">
        <v>42</v>
      </c>
      <c r="E604" t="s">
        <v>65</v>
      </c>
      <c r="F604" t="s">
        <v>126</v>
      </c>
      <c r="G604" t="s">
        <v>1986</v>
      </c>
    </row>
    <row r="605" spans="1:9" hidden="1">
      <c r="A605" t="s">
        <v>2678</v>
      </c>
      <c r="B605" t="s">
        <v>583</v>
      </c>
      <c r="C605" t="s">
        <v>113</v>
      </c>
      <c r="D605" t="s">
        <v>233</v>
      </c>
      <c r="E605" t="s">
        <v>135</v>
      </c>
      <c r="F605" t="s">
        <v>126</v>
      </c>
      <c r="G605" t="s">
        <v>2679</v>
      </c>
      <c r="I605">
        <v>2</v>
      </c>
    </row>
    <row r="606" spans="1:9" hidden="1">
      <c r="A606" t="s">
        <v>2680</v>
      </c>
      <c r="B606" t="s">
        <v>207</v>
      </c>
      <c r="C606" t="s">
        <v>113</v>
      </c>
      <c r="D606" t="s">
        <v>208</v>
      </c>
      <c r="E606" t="s">
        <v>209</v>
      </c>
      <c r="F606" t="s">
        <v>210</v>
      </c>
      <c r="G606" t="s">
        <v>2681</v>
      </c>
      <c r="I606">
        <v>1</v>
      </c>
    </row>
    <row r="607" spans="1:9" hidden="1">
      <c r="A607" t="s">
        <v>2682</v>
      </c>
      <c r="B607" t="s">
        <v>823</v>
      </c>
      <c r="C607" t="s">
        <v>113</v>
      </c>
      <c r="D607" t="s">
        <v>154</v>
      </c>
      <c r="E607" t="s">
        <v>63</v>
      </c>
      <c r="F607" t="s">
        <v>824</v>
      </c>
      <c r="G607" t="s">
        <v>1896</v>
      </c>
      <c r="I607">
        <v>2</v>
      </c>
    </row>
    <row r="608" spans="1:9" hidden="1">
      <c r="A608" t="s">
        <v>2683</v>
      </c>
      <c r="B608" t="s">
        <v>350</v>
      </c>
      <c r="C608" t="s">
        <v>113</v>
      </c>
      <c r="D608" t="s">
        <v>63</v>
      </c>
      <c r="E608" t="s">
        <v>172</v>
      </c>
      <c r="F608" t="s">
        <v>126</v>
      </c>
      <c r="G608" t="s">
        <v>2268</v>
      </c>
    </row>
    <row r="609" spans="1:9" hidden="1">
      <c r="A609" t="s">
        <v>2684</v>
      </c>
      <c r="B609" t="s">
        <v>1140</v>
      </c>
      <c r="C609" t="s">
        <v>113</v>
      </c>
      <c r="D609" t="s">
        <v>154</v>
      </c>
      <c r="E609" t="s">
        <v>160</v>
      </c>
      <c r="F609" t="s">
        <v>126</v>
      </c>
      <c r="G609" t="s">
        <v>1914</v>
      </c>
      <c r="I609">
        <v>3</v>
      </c>
    </row>
    <row r="610" spans="1:9" hidden="1">
      <c r="A610" t="s">
        <v>2685</v>
      </c>
      <c r="B610" t="s">
        <v>530</v>
      </c>
      <c r="C610" t="s">
        <v>113</v>
      </c>
      <c r="D610" t="s">
        <v>135</v>
      </c>
      <c r="E610" t="s">
        <v>136</v>
      </c>
      <c r="F610" t="s">
        <v>531</v>
      </c>
      <c r="G610" t="s">
        <v>2376</v>
      </c>
      <c r="I610">
        <v>2</v>
      </c>
    </row>
    <row r="611" spans="1:9">
      <c r="A611" t="s">
        <v>2686</v>
      </c>
      <c r="B611" t="s">
        <v>2687</v>
      </c>
      <c r="C611" t="s">
        <v>113</v>
      </c>
      <c r="D611" t="s">
        <v>63</v>
      </c>
      <c r="E611" t="s">
        <v>172</v>
      </c>
      <c r="F611" t="s">
        <v>126</v>
      </c>
      <c r="G611" t="s">
        <v>2002</v>
      </c>
    </row>
    <row r="612" spans="1:9" hidden="1">
      <c r="A612" t="s">
        <v>2688</v>
      </c>
      <c r="B612" t="s">
        <v>408</v>
      </c>
      <c r="C612" t="s">
        <v>113</v>
      </c>
      <c r="D612" t="s">
        <v>42</v>
      </c>
      <c r="E612" t="s">
        <v>172</v>
      </c>
      <c r="F612" t="s">
        <v>409</v>
      </c>
      <c r="G612" t="s">
        <v>2239</v>
      </c>
    </row>
    <row r="613" spans="1:9" hidden="1">
      <c r="A613" t="s">
        <v>2689</v>
      </c>
      <c r="B613" t="s">
        <v>958</v>
      </c>
      <c r="C613" t="s">
        <v>117</v>
      </c>
      <c r="D613" t="s">
        <v>154</v>
      </c>
      <c r="E613" t="s">
        <v>959</v>
      </c>
      <c r="F613" t="s">
        <v>126</v>
      </c>
      <c r="G613" t="s">
        <v>2690</v>
      </c>
    </row>
    <row r="614" spans="1:9" hidden="1">
      <c r="A614" t="s">
        <v>2691</v>
      </c>
      <c r="B614" t="s">
        <v>1040</v>
      </c>
      <c r="C614" t="s">
        <v>272</v>
      </c>
      <c r="D614" t="s">
        <v>117</v>
      </c>
      <c r="E614" t="s">
        <v>204</v>
      </c>
      <c r="F614" t="s">
        <v>126</v>
      </c>
      <c r="G614" t="s">
        <v>2587</v>
      </c>
    </row>
    <row r="615" spans="1:9">
      <c r="A615" t="s">
        <v>2692</v>
      </c>
      <c r="B615" t="s">
        <v>2693</v>
      </c>
      <c r="C615" t="s">
        <v>125</v>
      </c>
      <c r="D615" t="s">
        <v>126</v>
      </c>
      <c r="E615" t="s">
        <v>126</v>
      </c>
      <c r="F615" t="s">
        <v>126</v>
      </c>
      <c r="G615" t="s">
        <v>2694</v>
      </c>
    </row>
    <row r="616" spans="1:9" hidden="1">
      <c r="A616" t="s">
        <v>2695</v>
      </c>
      <c r="B616" t="s">
        <v>1378</v>
      </c>
      <c r="C616" t="s">
        <v>117</v>
      </c>
      <c r="D616" t="s">
        <v>42</v>
      </c>
      <c r="E616" t="s">
        <v>126</v>
      </c>
      <c r="F616" t="s">
        <v>126</v>
      </c>
      <c r="G616" t="s">
        <v>1865</v>
      </c>
    </row>
    <row r="617" spans="1:9">
      <c r="A617" t="s">
        <v>2696</v>
      </c>
      <c r="B617" t="s">
        <v>2697</v>
      </c>
      <c r="C617" t="s">
        <v>135</v>
      </c>
      <c r="D617" t="s">
        <v>136</v>
      </c>
      <c r="E617" t="s">
        <v>121</v>
      </c>
      <c r="F617" t="s">
        <v>126</v>
      </c>
      <c r="G617" t="s">
        <v>2698</v>
      </c>
      <c r="I617">
        <v>1</v>
      </c>
    </row>
    <row r="618" spans="1:9" hidden="1">
      <c r="A618" t="s">
        <v>2699</v>
      </c>
      <c r="B618" t="s">
        <v>1163</v>
      </c>
      <c r="C618" t="s">
        <v>117</v>
      </c>
      <c r="D618" t="s">
        <v>42</v>
      </c>
      <c r="E618" t="s">
        <v>126</v>
      </c>
      <c r="F618" t="s">
        <v>126</v>
      </c>
      <c r="G618" t="s">
        <v>2073</v>
      </c>
    </row>
    <row r="619" spans="1:9" hidden="1">
      <c r="A619" t="s">
        <v>2700</v>
      </c>
      <c r="B619" t="s">
        <v>874</v>
      </c>
      <c r="C619" t="s">
        <v>113</v>
      </c>
      <c r="D619" t="s">
        <v>139</v>
      </c>
      <c r="E619" t="s">
        <v>213</v>
      </c>
      <c r="F619" t="s">
        <v>126</v>
      </c>
      <c r="G619" t="s">
        <v>2002</v>
      </c>
    </row>
    <row r="620" spans="1:9" hidden="1">
      <c r="A620" t="s">
        <v>2701</v>
      </c>
      <c r="B620" t="s">
        <v>203</v>
      </c>
      <c r="C620" t="s">
        <v>136</v>
      </c>
      <c r="D620" t="s">
        <v>176</v>
      </c>
      <c r="E620" t="s">
        <v>204</v>
      </c>
      <c r="F620" t="s">
        <v>205</v>
      </c>
      <c r="G620" t="s">
        <v>1833</v>
      </c>
    </row>
    <row r="621" spans="1:9">
      <c r="A621" t="s">
        <v>2702</v>
      </c>
      <c r="B621" t="s">
        <v>2703</v>
      </c>
      <c r="C621" t="s">
        <v>125</v>
      </c>
      <c r="D621" t="s">
        <v>126</v>
      </c>
      <c r="E621" t="s">
        <v>126</v>
      </c>
      <c r="F621" t="s">
        <v>126</v>
      </c>
      <c r="G621" t="s">
        <v>2519</v>
      </c>
    </row>
    <row r="622" spans="1:9" hidden="1">
      <c r="A622" t="s">
        <v>2704</v>
      </c>
      <c r="B622" t="s">
        <v>1024</v>
      </c>
      <c r="C622" t="s">
        <v>113</v>
      </c>
      <c r="D622" t="s">
        <v>139</v>
      </c>
      <c r="E622" t="s">
        <v>63</v>
      </c>
      <c r="F622" t="s">
        <v>126</v>
      </c>
      <c r="G622" t="s">
        <v>1702</v>
      </c>
      <c r="I622">
        <v>1</v>
      </c>
    </row>
    <row r="623" spans="1:9" hidden="1">
      <c r="A623" t="s">
        <v>2705</v>
      </c>
      <c r="B623" t="s">
        <v>1133</v>
      </c>
      <c r="C623" t="s">
        <v>113</v>
      </c>
      <c r="D623" t="s">
        <v>272</v>
      </c>
      <c r="E623" t="s">
        <v>176</v>
      </c>
      <c r="F623" t="s">
        <v>126</v>
      </c>
      <c r="G623" t="s">
        <v>2082</v>
      </c>
      <c r="I623">
        <v>4</v>
      </c>
    </row>
    <row r="624" spans="1:9" hidden="1">
      <c r="A624" t="s">
        <v>2706</v>
      </c>
      <c r="B624" t="s">
        <v>1332</v>
      </c>
      <c r="C624" t="s">
        <v>139</v>
      </c>
      <c r="D624" t="s">
        <v>121</v>
      </c>
      <c r="E624" t="s">
        <v>126</v>
      </c>
      <c r="F624" t="s">
        <v>126</v>
      </c>
      <c r="G624" t="s">
        <v>2503</v>
      </c>
    </row>
    <row r="625" spans="1:9" hidden="1">
      <c r="A625" t="s">
        <v>2707</v>
      </c>
      <c r="B625" t="s">
        <v>459</v>
      </c>
      <c r="C625" t="s">
        <v>113</v>
      </c>
      <c r="D625" t="s">
        <v>135</v>
      </c>
      <c r="E625" t="s">
        <v>460</v>
      </c>
      <c r="F625" t="s">
        <v>126</v>
      </c>
      <c r="G625" t="s">
        <v>2000</v>
      </c>
    </row>
    <row r="626" spans="1:9" hidden="1">
      <c r="A626" t="s">
        <v>2708</v>
      </c>
      <c r="B626" t="s">
        <v>1301</v>
      </c>
      <c r="C626" t="s">
        <v>139</v>
      </c>
      <c r="D626" t="s">
        <v>233</v>
      </c>
      <c r="E626" t="s">
        <v>117</v>
      </c>
      <c r="F626" t="s">
        <v>126</v>
      </c>
      <c r="G626" t="s">
        <v>2505</v>
      </c>
      <c r="I626">
        <v>2</v>
      </c>
    </row>
    <row r="627" spans="1:9" hidden="1">
      <c r="A627" t="s">
        <v>2709</v>
      </c>
      <c r="B627" t="s">
        <v>1357</v>
      </c>
      <c r="C627" t="s">
        <v>113</v>
      </c>
      <c r="D627" t="s">
        <v>42</v>
      </c>
      <c r="E627" t="s">
        <v>126</v>
      </c>
      <c r="F627" t="s">
        <v>126</v>
      </c>
      <c r="G627" t="s">
        <v>1947</v>
      </c>
    </row>
    <row r="628" spans="1:9">
      <c r="A628" t="s">
        <v>2710</v>
      </c>
      <c r="B628" t="s">
        <v>2711</v>
      </c>
      <c r="C628" t="s">
        <v>113</v>
      </c>
      <c r="D628" t="s">
        <v>154</v>
      </c>
      <c r="E628" t="s">
        <v>511</v>
      </c>
      <c r="F628" t="s">
        <v>126</v>
      </c>
      <c r="G628" t="s">
        <v>2712</v>
      </c>
      <c r="I628">
        <v>4</v>
      </c>
    </row>
    <row r="629" spans="1:9">
      <c r="A629" t="s">
        <v>2713</v>
      </c>
      <c r="B629" t="s">
        <v>2714</v>
      </c>
      <c r="C629" t="s">
        <v>113</v>
      </c>
      <c r="D629" t="s">
        <v>139</v>
      </c>
      <c r="E629" t="s">
        <v>233</v>
      </c>
      <c r="F629" t="s">
        <v>126</v>
      </c>
      <c r="G629" t="s">
        <v>2715</v>
      </c>
      <c r="I629">
        <v>2</v>
      </c>
    </row>
    <row r="630" spans="1:9" hidden="1">
      <c r="A630" t="s">
        <v>2716</v>
      </c>
      <c r="B630" t="s">
        <v>1343</v>
      </c>
      <c r="C630" t="s">
        <v>113</v>
      </c>
      <c r="D630" t="s">
        <v>154</v>
      </c>
      <c r="E630" t="s">
        <v>63</v>
      </c>
      <c r="F630" t="s">
        <v>126</v>
      </c>
      <c r="G630" t="s">
        <v>1674</v>
      </c>
      <c r="I630">
        <v>3</v>
      </c>
    </row>
    <row r="631" spans="1:9" hidden="1">
      <c r="A631" t="s">
        <v>2717</v>
      </c>
      <c r="B631" t="s">
        <v>950</v>
      </c>
      <c r="C631" t="s">
        <v>113</v>
      </c>
      <c r="D631" t="s">
        <v>184</v>
      </c>
      <c r="E631" t="s">
        <v>797</v>
      </c>
      <c r="F631" t="s">
        <v>126</v>
      </c>
      <c r="G631" t="s">
        <v>1798</v>
      </c>
    </row>
    <row r="632" spans="1:9">
      <c r="A632" t="s">
        <v>2718</v>
      </c>
      <c r="B632" t="s">
        <v>2719</v>
      </c>
      <c r="C632" t="s">
        <v>113</v>
      </c>
      <c r="D632" t="s">
        <v>208</v>
      </c>
      <c r="E632" t="s">
        <v>797</v>
      </c>
      <c r="F632" t="s">
        <v>126</v>
      </c>
      <c r="G632" t="s">
        <v>1690</v>
      </c>
    </row>
    <row r="633" spans="1:9" hidden="1">
      <c r="A633" t="s">
        <v>2720</v>
      </c>
      <c r="B633" t="s">
        <v>1380</v>
      </c>
      <c r="C633" t="s">
        <v>113</v>
      </c>
      <c r="D633" t="s">
        <v>42</v>
      </c>
      <c r="E633" t="s">
        <v>135</v>
      </c>
      <c r="F633" t="s">
        <v>126</v>
      </c>
      <c r="G633" t="s">
        <v>1865</v>
      </c>
      <c r="I633">
        <v>1</v>
      </c>
    </row>
    <row r="634" spans="1:9" hidden="1">
      <c r="A634" t="s">
        <v>2721</v>
      </c>
      <c r="B634" t="s">
        <v>943</v>
      </c>
      <c r="C634" t="s">
        <v>233</v>
      </c>
      <c r="D634" t="s">
        <v>58</v>
      </c>
      <c r="E634" t="s">
        <v>126</v>
      </c>
      <c r="F634" t="s">
        <v>126</v>
      </c>
      <c r="G634" t="s">
        <v>1735</v>
      </c>
    </row>
    <row r="635" spans="1:9" hidden="1">
      <c r="A635" t="s">
        <v>2722</v>
      </c>
      <c r="B635" t="s">
        <v>1010</v>
      </c>
      <c r="C635" t="s">
        <v>113</v>
      </c>
      <c r="D635" t="s">
        <v>139</v>
      </c>
      <c r="E635" t="s">
        <v>42</v>
      </c>
      <c r="F635" t="s">
        <v>126</v>
      </c>
      <c r="G635" t="s">
        <v>2411</v>
      </c>
      <c r="I635">
        <v>1</v>
      </c>
    </row>
    <row r="636" spans="1:9" hidden="1">
      <c r="A636" t="s">
        <v>2723</v>
      </c>
      <c r="B636" t="s">
        <v>236</v>
      </c>
      <c r="C636" t="s">
        <v>113</v>
      </c>
      <c r="D636" t="s">
        <v>63</v>
      </c>
      <c r="E636" t="s">
        <v>172</v>
      </c>
      <c r="F636" t="s">
        <v>237</v>
      </c>
      <c r="G636" t="s">
        <v>2724</v>
      </c>
      <c r="I636">
        <v>1</v>
      </c>
    </row>
    <row r="637" spans="1:9" hidden="1">
      <c r="A637" t="s">
        <v>2725</v>
      </c>
      <c r="B637" t="s">
        <v>1325</v>
      </c>
      <c r="C637" t="s">
        <v>113</v>
      </c>
      <c r="D637" t="s">
        <v>42</v>
      </c>
      <c r="E637" t="s">
        <v>217</v>
      </c>
      <c r="F637" t="s">
        <v>126</v>
      </c>
      <c r="G637" t="s">
        <v>2726</v>
      </c>
    </row>
    <row r="638" spans="1:9" hidden="1">
      <c r="A638" t="s">
        <v>2727</v>
      </c>
      <c r="B638" t="s">
        <v>1307</v>
      </c>
      <c r="C638" t="s">
        <v>113</v>
      </c>
      <c r="D638" t="s">
        <v>139</v>
      </c>
      <c r="E638" t="s">
        <v>63</v>
      </c>
      <c r="F638" t="s">
        <v>126</v>
      </c>
      <c r="G638" t="s">
        <v>2728</v>
      </c>
    </row>
    <row r="639" spans="1:9" hidden="1">
      <c r="A639" t="s">
        <v>2729</v>
      </c>
      <c r="B639" t="s">
        <v>1355</v>
      </c>
      <c r="C639" t="s">
        <v>272</v>
      </c>
      <c r="D639" t="s">
        <v>117</v>
      </c>
      <c r="E639" t="s">
        <v>154</v>
      </c>
      <c r="F639" t="s">
        <v>126</v>
      </c>
      <c r="G639" t="s">
        <v>2730</v>
      </c>
    </row>
    <row r="640" spans="1:9" hidden="1">
      <c r="A640" t="s">
        <v>2731</v>
      </c>
      <c r="B640" t="s">
        <v>1461</v>
      </c>
      <c r="C640" t="s">
        <v>113</v>
      </c>
      <c r="D640" t="s">
        <v>156</v>
      </c>
      <c r="E640" t="s">
        <v>126</v>
      </c>
      <c r="F640" t="s">
        <v>126</v>
      </c>
      <c r="G640" t="s">
        <v>1668</v>
      </c>
    </row>
    <row r="641" spans="1:9" hidden="1">
      <c r="A641" t="s">
        <v>2732</v>
      </c>
      <c r="B641" t="s">
        <v>1406</v>
      </c>
      <c r="C641" t="s">
        <v>113</v>
      </c>
      <c r="D641" t="s">
        <v>117</v>
      </c>
      <c r="E641" t="s">
        <v>42</v>
      </c>
      <c r="F641" t="s">
        <v>126</v>
      </c>
      <c r="G641" t="s">
        <v>2733</v>
      </c>
      <c r="I641">
        <v>3</v>
      </c>
    </row>
    <row r="642" spans="1:9" hidden="1">
      <c r="A642" t="s">
        <v>2734</v>
      </c>
      <c r="B642" t="s">
        <v>474</v>
      </c>
      <c r="C642" t="s">
        <v>113</v>
      </c>
      <c r="D642" t="s">
        <v>176</v>
      </c>
      <c r="E642" t="s">
        <v>121</v>
      </c>
      <c r="F642" t="s">
        <v>475</v>
      </c>
      <c r="G642" t="s">
        <v>2632</v>
      </c>
      <c r="I642">
        <v>3</v>
      </c>
    </row>
    <row r="643" spans="1:9" hidden="1">
      <c r="A643" t="s">
        <v>2735</v>
      </c>
      <c r="B643" t="s">
        <v>831</v>
      </c>
      <c r="C643" t="s">
        <v>113</v>
      </c>
      <c r="D643" t="s">
        <v>139</v>
      </c>
      <c r="E643" t="s">
        <v>42</v>
      </c>
      <c r="F643" t="s">
        <v>126</v>
      </c>
      <c r="G643" t="s">
        <v>2187</v>
      </c>
      <c r="I643">
        <v>2</v>
      </c>
    </row>
    <row r="644" spans="1:9" hidden="1">
      <c r="A644" t="s">
        <v>2736</v>
      </c>
      <c r="B644" t="s">
        <v>1546</v>
      </c>
      <c r="C644" t="s">
        <v>113</v>
      </c>
      <c r="D644" t="s">
        <v>139</v>
      </c>
      <c r="E644" t="s">
        <v>233</v>
      </c>
      <c r="F644" t="s">
        <v>126</v>
      </c>
      <c r="G644" t="s">
        <v>2737</v>
      </c>
      <c r="I644">
        <v>1</v>
      </c>
    </row>
    <row r="645" spans="1:9" hidden="1">
      <c r="A645" t="s">
        <v>2738</v>
      </c>
      <c r="B645" t="s">
        <v>436</v>
      </c>
      <c r="C645" t="s">
        <v>113</v>
      </c>
      <c r="D645" t="s">
        <v>42</v>
      </c>
      <c r="E645" t="s">
        <v>126</v>
      </c>
      <c r="F645" t="s">
        <v>126</v>
      </c>
      <c r="G645" t="s">
        <v>2010</v>
      </c>
    </row>
    <row r="646" spans="1:9" hidden="1">
      <c r="A646" t="s">
        <v>2739</v>
      </c>
      <c r="B646" t="s">
        <v>1167</v>
      </c>
      <c r="C646" t="s">
        <v>113</v>
      </c>
      <c r="D646" t="s">
        <v>154</v>
      </c>
      <c r="E646" t="s">
        <v>160</v>
      </c>
      <c r="F646" t="s">
        <v>126</v>
      </c>
      <c r="G646" t="s">
        <v>2740</v>
      </c>
      <c r="I646">
        <v>2</v>
      </c>
    </row>
    <row r="647" spans="1:9" hidden="1">
      <c r="A647" t="s">
        <v>2741</v>
      </c>
      <c r="B647" t="s">
        <v>1232</v>
      </c>
      <c r="C647" t="s">
        <v>113</v>
      </c>
      <c r="D647" t="s">
        <v>135</v>
      </c>
      <c r="E647" t="s">
        <v>121</v>
      </c>
      <c r="F647" t="s">
        <v>126</v>
      </c>
      <c r="G647" t="s">
        <v>2742</v>
      </c>
      <c r="I647">
        <v>1</v>
      </c>
    </row>
    <row r="648" spans="1:9">
      <c r="A648" t="s">
        <v>2743</v>
      </c>
      <c r="B648" t="s">
        <v>2744</v>
      </c>
      <c r="C648" t="s">
        <v>113</v>
      </c>
      <c r="D648" t="s">
        <v>272</v>
      </c>
      <c r="E648" t="s">
        <v>154</v>
      </c>
      <c r="F648" t="s">
        <v>126</v>
      </c>
      <c r="G648" t="s">
        <v>2366</v>
      </c>
      <c r="I648">
        <v>1</v>
      </c>
    </row>
    <row r="649" spans="1:9" hidden="1">
      <c r="A649" t="s">
        <v>2745</v>
      </c>
      <c r="B649" t="s">
        <v>1217</v>
      </c>
      <c r="C649" t="s">
        <v>176</v>
      </c>
      <c r="D649" t="s">
        <v>121</v>
      </c>
      <c r="E649" t="s">
        <v>126</v>
      </c>
      <c r="F649" t="s">
        <v>126</v>
      </c>
      <c r="G649" t="s">
        <v>1747</v>
      </c>
    </row>
    <row r="650" spans="1:9" hidden="1">
      <c r="A650" t="s">
        <v>2746</v>
      </c>
      <c r="B650" t="s">
        <v>1633</v>
      </c>
      <c r="C650" t="s">
        <v>113</v>
      </c>
      <c r="D650" t="s">
        <v>176</v>
      </c>
      <c r="E650" t="s">
        <v>86</v>
      </c>
      <c r="F650" t="s">
        <v>126</v>
      </c>
      <c r="G650" t="s">
        <v>2747</v>
      </c>
    </row>
    <row r="651" spans="1:9">
      <c r="A651" t="s">
        <v>2748</v>
      </c>
      <c r="B651" t="s">
        <v>2749</v>
      </c>
      <c r="C651" t="s">
        <v>113</v>
      </c>
      <c r="D651" t="s">
        <v>233</v>
      </c>
      <c r="E651" t="s">
        <v>511</v>
      </c>
      <c r="F651" t="s">
        <v>126</v>
      </c>
      <c r="G651" t="s">
        <v>1929</v>
      </c>
      <c r="I651">
        <v>3</v>
      </c>
    </row>
    <row r="652" spans="1:9" hidden="1">
      <c r="A652" t="s">
        <v>2750</v>
      </c>
      <c r="B652" t="s">
        <v>1553</v>
      </c>
      <c r="C652" t="s">
        <v>113</v>
      </c>
      <c r="D652" t="s">
        <v>42</v>
      </c>
      <c r="E652" t="s">
        <v>160</v>
      </c>
      <c r="F652" t="s">
        <v>126</v>
      </c>
      <c r="G652" t="s">
        <v>1737</v>
      </c>
      <c r="I652">
        <v>5</v>
      </c>
    </row>
    <row r="653" spans="1:9" hidden="1">
      <c r="A653" t="s">
        <v>2751</v>
      </c>
      <c r="B653" t="s">
        <v>1385</v>
      </c>
      <c r="C653" t="s">
        <v>126</v>
      </c>
      <c r="D653" t="s">
        <v>126</v>
      </c>
      <c r="E653" t="s">
        <v>126</v>
      </c>
      <c r="F653" t="s">
        <v>1386</v>
      </c>
      <c r="G653" t="s">
        <v>2476</v>
      </c>
    </row>
    <row r="654" spans="1:9" hidden="1">
      <c r="A654" t="s">
        <v>2752</v>
      </c>
      <c r="B654" t="s">
        <v>183</v>
      </c>
      <c r="C654" t="s">
        <v>121</v>
      </c>
      <c r="D654" t="s">
        <v>155</v>
      </c>
      <c r="E654" t="s">
        <v>184</v>
      </c>
      <c r="F654" t="s">
        <v>185</v>
      </c>
      <c r="G654" t="s">
        <v>2337</v>
      </c>
      <c r="I654">
        <v>1</v>
      </c>
    </row>
    <row r="655" spans="1:9" hidden="1">
      <c r="A655" t="s">
        <v>2753</v>
      </c>
      <c r="B655" t="s">
        <v>815</v>
      </c>
      <c r="C655" t="s">
        <v>113</v>
      </c>
      <c r="D655" t="s">
        <v>42</v>
      </c>
      <c r="E655" t="s">
        <v>135</v>
      </c>
      <c r="F655" t="s">
        <v>126</v>
      </c>
      <c r="G655" t="s">
        <v>2491</v>
      </c>
      <c r="I655">
        <v>2</v>
      </c>
    </row>
    <row r="656" spans="1:9">
      <c r="A656" t="s">
        <v>2754</v>
      </c>
      <c r="B656" t="s">
        <v>2755</v>
      </c>
      <c r="C656" t="s">
        <v>113</v>
      </c>
      <c r="D656" t="s">
        <v>233</v>
      </c>
      <c r="E656" t="s">
        <v>126</v>
      </c>
      <c r="F656" t="s">
        <v>126</v>
      </c>
      <c r="G656" t="s">
        <v>2756</v>
      </c>
    </row>
    <row r="657" spans="1:9" hidden="1">
      <c r="A657" t="s">
        <v>2757</v>
      </c>
      <c r="B657" t="s">
        <v>667</v>
      </c>
      <c r="C657" t="s">
        <v>126</v>
      </c>
      <c r="D657" t="s">
        <v>126</v>
      </c>
      <c r="E657" t="s">
        <v>126</v>
      </c>
      <c r="F657" t="s">
        <v>126</v>
      </c>
      <c r="G657" t="s">
        <v>2069</v>
      </c>
    </row>
    <row r="658" spans="1:9" hidden="1">
      <c r="A658" t="s">
        <v>2758</v>
      </c>
      <c r="B658" t="s">
        <v>1526</v>
      </c>
      <c r="C658" t="s">
        <v>113</v>
      </c>
      <c r="D658" t="s">
        <v>154</v>
      </c>
      <c r="E658" t="s">
        <v>63</v>
      </c>
      <c r="F658" t="s">
        <v>126</v>
      </c>
      <c r="G658" t="s">
        <v>2759</v>
      </c>
      <c r="I658">
        <v>4</v>
      </c>
    </row>
    <row r="659" spans="1:9" hidden="1">
      <c r="A659" t="s">
        <v>2760</v>
      </c>
      <c r="B659" t="s">
        <v>1145</v>
      </c>
      <c r="C659" t="s">
        <v>117</v>
      </c>
      <c r="D659" t="s">
        <v>63</v>
      </c>
      <c r="E659" t="s">
        <v>126</v>
      </c>
      <c r="F659" t="s">
        <v>126</v>
      </c>
      <c r="G659" t="s">
        <v>2761</v>
      </c>
    </row>
    <row r="660" spans="1:9">
      <c r="A660" t="s">
        <v>2762</v>
      </c>
      <c r="B660" t="s">
        <v>2763</v>
      </c>
      <c r="C660" t="s">
        <v>126</v>
      </c>
      <c r="D660" t="s">
        <v>126</v>
      </c>
      <c r="E660" t="s">
        <v>126</v>
      </c>
      <c r="F660" t="s">
        <v>2764</v>
      </c>
      <c r="G660" t="s">
        <v>2641</v>
      </c>
    </row>
    <row r="661" spans="1:9" hidden="1">
      <c r="A661" t="s">
        <v>2765</v>
      </c>
      <c r="B661" t="s">
        <v>1408</v>
      </c>
      <c r="C661" t="s">
        <v>113</v>
      </c>
      <c r="D661" t="s">
        <v>233</v>
      </c>
      <c r="E661" t="s">
        <v>42</v>
      </c>
      <c r="F661" t="s">
        <v>126</v>
      </c>
      <c r="G661" t="s">
        <v>2733</v>
      </c>
      <c r="I661">
        <v>2</v>
      </c>
    </row>
    <row r="662" spans="1:9">
      <c r="A662" t="s">
        <v>2766</v>
      </c>
      <c r="B662" t="s">
        <v>2767</v>
      </c>
      <c r="C662" t="s">
        <v>126</v>
      </c>
      <c r="D662" t="s">
        <v>126</v>
      </c>
      <c r="E662" t="s">
        <v>126</v>
      </c>
      <c r="F662" t="s">
        <v>126</v>
      </c>
      <c r="G662" t="s">
        <v>2768</v>
      </c>
    </row>
    <row r="663" spans="1:9" hidden="1">
      <c r="A663" t="s">
        <v>2769</v>
      </c>
      <c r="B663" t="s">
        <v>491</v>
      </c>
      <c r="C663" t="s">
        <v>121</v>
      </c>
      <c r="D663" t="s">
        <v>184</v>
      </c>
      <c r="E663" t="s">
        <v>83</v>
      </c>
      <c r="F663" t="s">
        <v>492</v>
      </c>
      <c r="G663" t="s">
        <v>1727</v>
      </c>
    </row>
    <row r="664" spans="1:9">
      <c r="A664" t="s">
        <v>2770</v>
      </c>
      <c r="B664" t="s">
        <v>2771</v>
      </c>
      <c r="C664" t="s">
        <v>125</v>
      </c>
      <c r="D664" t="s">
        <v>126</v>
      </c>
      <c r="E664" t="s">
        <v>126</v>
      </c>
      <c r="F664" t="s">
        <v>2772</v>
      </c>
      <c r="G664" t="s">
        <v>2726</v>
      </c>
    </row>
    <row r="665" spans="1:9">
      <c r="A665" t="s">
        <v>2773</v>
      </c>
      <c r="B665" t="s">
        <v>2774</v>
      </c>
      <c r="C665" t="s">
        <v>113</v>
      </c>
      <c r="D665" t="s">
        <v>154</v>
      </c>
      <c r="E665" t="s">
        <v>126</v>
      </c>
      <c r="F665" t="s">
        <v>126</v>
      </c>
      <c r="G665" t="s">
        <v>2587</v>
      </c>
    </row>
    <row r="666" spans="1:9" hidden="1">
      <c r="A666" t="s">
        <v>2775</v>
      </c>
      <c r="B666" t="s">
        <v>989</v>
      </c>
      <c r="C666" t="s">
        <v>113</v>
      </c>
      <c r="D666" t="s">
        <v>233</v>
      </c>
      <c r="E666" t="s">
        <v>180</v>
      </c>
      <c r="F666" t="s">
        <v>990</v>
      </c>
      <c r="G666" t="s">
        <v>2088</v>
      </c>
      <c r="I666">
        <v>1</v>
      </c>
    </row>
    <row r="667" spans="1:9" hidden="1">
      <c r="A667" t="s">
        <v>2776</v>
      </c>
      <c r="B667" t="s">
        <v>1421</v>
      </c>
      <c r="C667" t="s">
        <v>113</v>
      </c>
      <c r="D667" t="s">
        <v>139</v>
      </c>
      <c r="E667" t="s">
        <v>154</v>
      </c>
      <c r="F667" t="s">
        <v>126</v>
      </c>
      <c r="G667" t="s">
        <v>2777</v>
      </c>
      <c r="I667">
        <v>5</v>
      </c>
    </row>
    <row r="668" spans="1:9">
      <c r="A668" t="s">
        <v>2778</v>
      </c>
      <c r="B668" t="s">
        <v>2779</v>
      </c>
      <c r="C668" t="s">
        <v>121</v>
      </c>
      <c r="D668" t="s">
        <v>184</v>
      </c>
      <c r="E668" t="s">
        <v>83</v>
      </c>
      <c r="F668" t="s">
        <v>126</v>
      </c>
      <c r="G668" t="s">
        <v>2780</v>
      </c>
    </row>
    <row r="669" spans="1:9" hidden="1">
      <c r="A669" t="s">
        <v>2781</v>
      </c>
      <c r="B669" t="s">
        <v>1278</v>
      </c>
      <c r="C669" t="s">
        <v>233</v>
      </c>
      <c r="D669" t="s">
        <v>117</v>
      </c>
      <c r="E669" t="s">
        <v>42</v>
      </c>
      <c r="F669" t="s">
        <v>126</v>
      </c>
      <c r="G669" t="s">
        <v>2715</v>
      </c>
    </row>
    <row r="670" spans="1:9">
      <c r="A670" t="s">
        <v>2782</v>
      </c>
      <c r="B670" t="s">
        <v>2783</v>
      </c>
      <c r="C670" t="s">
        <v>125</v>
      </c>
      <c r="D670" t="s">
        <v>126</v>
      </c>
      <c r="E670" t="s">
        <v>126</v>
      </c>
      <c r="F670" t="s">
        <v>2785</v>
      </c>
      <c r="G670" t="s">
        <v>2784</v>
      </c>
    </row>
    <row r="671" spans="1:9" hidden="1">
      <c r="A671" t="s">
        <v>2292</v>
      </c>
      <c r="B671" t="s">
        <v>165</v>
      </c>
      <c r="C671" t="s">
        <v>113</v>
      </c>
      <c r="D671" t="s">
        <v>42</v>
      </c>
      <c r="E671" t="s">
        <v>65</v>
      </c>
      <c r="F671" t="s">
        <v>166</v>
      </c>
      <c r="G671" t="s">
        <v>2235</v>
      </c>
    </row>
    <row r="672" spans="1:9" hidden="1">
      <c r="A672" t="s">
        <v>2293</v>
      </c>
      <c r="B672" t="s">
        <v>377</v>
      </c>
      <c r="C672" t="s">
        <v>113</v>
      </c>
      <c r="D672" t="s">
        <v>233</v>
      </c>
      <c r="E672" t="s">
        <v>42</v>
      </c>
      <c r="F672" t="s">
        <v>126</v>
      </c>
      <c r="G672" t="s">
        <v>1804</v>
      </c>
      <c r="I672">
        <v>3</v>
      </c>
    </row>
    <row r="673" spans="1:9" hidden="1">
      <c r="A673" t="s">
        <v>2294</v>
      </c>
      <c r="B673" t="s">
        <v>357</v>
      </c>
      <c r="C673" t="s">
        <v>113</v>
      </c>
      <c r="D673" t="s">
        <v>42</v>
      </c>
      <c r="E673" t="s">
        <v>126</v>
      </c>
      <c r="F673" t="s">
        <v>358</v>
      </c>
      <c r="G673" t="s">
        <v>2295</v>
      </c>
    </row>
    <row r="674" spans="1:9" hidden="1">
      <c r="A674" t="s">
        <v>2296</v>
      </c>
      <c r="B674" t="s">
        <v>508</v>
      </c>
      <c r="C674" t="s">
        <v>113</v>
      </c>
      <c r="D674" t="s">
        <v>233</v>
      </c>
      <c r="E674" t="s">
        <v>42</v>
      </c>
      <c r="F674" t="s">
        <v>126</v>
      </c>
      <c r="G674" t="s">
        <v>2297</v>
      </c>
      <c r="I674">
        <v>1</v>
      </c>
    </row>
    <row r="675" spans="1:9">
      <c r="A675" t="s">
        <v>2298</v>
      </c>
      <c r="B675" t="s">
        <v>2299</v>
      </c>
      <c r="C675" t="s">
        <v>125</v>
      </c>
      <c r="D675" t="s">
        <v>126</v>
      </c>
      <c r="E675" t="s">
        <v>126</v>
      </c>
      <c r="F675" t="s">
        <v>2300</v>
      </c>
      <c r="G675" t="s">
        <v>2301</v>
      </c>
    </row>
    <row r="676" spans="1:9" hidden="1">
      <c r="A676" t="s">
        <v>2302</v>
      </c>
      <c r="B676" t="s">
        <v>1269</v>
      </c>
      <c r="C676" t="s">
        <v>154</v>
      </c>
      <c r="D676" t="s">
        <v>42</v>
      </c>
      <c r="E676" t="s">
        <v>147</v>
      </c>
      <c r="F676" t="s">
        <v>126</v>
      </c>
      <c r="G676" t="s">
        <v>2303</v>
      </c>
    </row>
    <row r="677" spans="1:9" hidden="1">
      <c r="A677" t="s">
        <v>2304</v>
      </c>
      <c r="B677" t="s">
        <v>222</v>
      </c>
      <c r="C677" t="s">
        <v>180</v>
      </c>
      <c r="D677" t="s">
        <v>121</v>
      </c>
      <c r="E677" t="s">
        <v>172</v>
      </c>
      <c r="F677" t="s">
        <v>223</v>
      </c>
      <c r="G677" t="s">
        <v>2305</v>
      </c>
      <c r="I677">
        <v>2</v>
      </c>
    </row>
    <row r="678" spans="1:9" hidden="1">
      <c r="A678" t="s">
        <v>2306</v>
      </c>
      <c r="B678" t="s">
        <v>1451</v>
      </c>
      <c r="C678" t="s">
        <v>42</v>
      </c>
      <c r="D678" t="s">
        <v>82</v>
      </c>
      <c r="E678" t="s">
        <v>204</v>
      </c>
      <c r="F678" t="s">
        <v>126</v>
      </c>
      <c r="G678" t="s">
        <v>2307</v>
      </c>
    </row>
    <row r="679" spans="1:9" hidden="1">
      <c r="A679" t="s">
        <v>2308</v>
      </c>
      <c r="B679" t="s">
        <v>906</v>
      </c>
      <c r="C679" t="s">
        <v>113</v>
      </c>
      <c r="D679" t="s">
        <v>208</v>
      </c>
      <c r="E679" t="s">
        <v>209</v>
      </c>
      <c r="F679" t="s">
        <v>126</v>
      </c>
      <c r="G679" t="s">
        <v>1716</v>
      </c>
      <c r="I679">
        <v>2</v>
      </c>
    </row>
    <row r="680" spans="1:9" hidden="1">
      <c r="A680" t="s">
        <v>2309</v>
      </c>
      <c r="B680" t="s">
        <v>1073</v>
      </c>
      <c r="C680" t="s">
        <v>117</v>
      </c>
      <c r="D680" t="s">
        <v>63</v>
      </c>
      <c r="E680" t="s">
        <v>300</v>
      </c>
      <c r="F680" t="s">
        <v>126</v>
      </c>
      <c r="G680" t="s">
        <v>2310</v>
      </c>
      <c r="I680">
        <v>1</v>
      </c>
    </row>
    <row r="681" spans="1:9" hidden="1">
      <c r="A681" t="s">
        <v>2311</v>
      </c>
      <c r="B681" t="s">
        <v>389</v>
      </c>
      <c r="C681" t="s">
        <v>233</v>
      </c>
      <c r="D681" t="s">
        <v>42</v>
      </c>
      <c r="E681" t="s">
        <v>390</v>
      </c>
      <c r="F681" t="s">
        <v>391</v>
      </c>
      <c r="G681" t="s">
        <v>2206</v>
      </c>
    </row>
    <row r="682" spans="1:9" hidden="1">
      <c r="A682" t="s">
        <v>2312</v>
      </c>
      <c r="B682" t="s">
        <v>1297</v>
      </c>
      <c r="C682" t="s">
        <v>113</v>
      </c>
      <c r="D682" t="s">
        <v>233</v>
      </c>
      <c r="E682" t="s">
        <v>624</v>
      </c>
      <c r="F682" t="s">
        <v>126</v>
      </c>
      <c r="G682" t="s">
        <v>1816</v>
      </c>
      <c r="I682">
        <v>1</v>
      </c>
    </row>
    <row r="683" spans="1:9">
      <c r="A683" t="s">
        <v>2313</v>
      </c>
      <c r="B683" t="s">
        <v>2314</v>
      </c>
      <c r="C683" t="s">
        <v>135</v>
      </c>
      <c r="D683" t="s">
        <v>136</v>
      </c>
      <c r="E683" t="s">
        <v>126</v>
      </c>
      <c r="F683" t="s">
        <v>126</v>
      </c>
      <c r="G683" t="s">
        <v>2315</v>
      </c>
    </row>
    <row r="684" spans="1:9" hidden="1">
      <c r="A684" t="s">
        <v>2316</v>
      </c>
      <c r="B684" t="s">
        <v>1101</v>
      </c>
      <c r="C684" t="s">
        <v>117</v>
      </c>
      <c r="D684" t="s">
        <v>63</v>
      </c>
      <c r="E684" t="s">
        <v>126</v>
      </c>
      <c r="F684" t="s">
        <v>126</v>
      </c>
      <c r="G684" t="s">
        <v>2317</v>
      </c>
    </row>
    <row r="685" spans="1:9" hidden="1">
      <c r="A685" t="s">
        <v>2318</v>
      </c>
      <c r="B685" t="s">
        <v>847</v>
      </c>
      <c r="C685" t="s">
        <v>113</v>
      </c>
      <c r="D685" t="s">
        <v>154</v>
      </c>
      <c r="E685" t="s">
        <v>82</v>
      </c>
      <c r="F685" t="s">
        <v>126</v>
      </c>
      <c r="G685" t="s">
        <v>1980</v>
      </c>
      <c r="I685">
        <v>1</v>
      </c>
    </row>
    <row r="686" spans="1:9" hidden="1">
      <c r="A686" t="s">
        <v>2319</v>
      </c>
      <c r="B686" t="s">
        <v>159</v>
      </c>
      <c r="C686" t="s">
        <v>113</v>
      </c>
      <c r="D686" t="s">
        <v>42</v>
      </c>
      <c r="E686" t="s">
        <v>160</v>
      </c>
      <c r="F686" t="s">
        <v>126</v>
      </c>
      <c r="G686" t="s">
        <v>1990</v>
      </c>
      <c r="I686">
        <v>2</v>
      </c>
    </row>
    <row r="687" spans="1:9" hidden="1">
      <c r="A687" t="s">
        <v>2320</v>
      </c>
      <c r="B687" t="s">
        <v>620</v>
      </c>
      <c r="C687" t="s">
        <v>117</v>
      </c>
      <c r="D687" t="s">
        <v>42</v>
      </c>
      <c r="E687" t="s">
        <v>126</v>
      </c>
      <c r="F687" t="s">
        <v>621</v>
      </c>
      <c r="G687" t="s">
        <v>2321</v>
      </c>
    </row>
    <row r="688" spans="1:9" hidden="1">
      <c r="A688" t="s">
        <v>2322</v>
      </c>
      <c r="B688" t="s">
        <v>1107</v>
      </c>
      <c r="C688" t="s">
        <v>113</v>
      </c>
      <c r="D688" t="s">
        <v>272</v>
      </c>
      <c r="E688" t="s">
        <v>204</v>
      </c>
      <c r="F688" t="s">
        <v>126</v>
      </c>
      <c r="G688" t="s">
        <v>2323</v>
      </c>
    </row>
    <row r="689" spans="1:9" hidden="1">
      <c r="A689" t="s">
        <v>2324</v>
      </c>
      <c r="B689" t="s">
        <v>869</v>
      </c>
      <c r="C689" t="s">
        <v>139</v>
      </c>
      <c r="D689" t="s">
        <v>117</v>
      </c>
      <c r="E689" t="s">
        <v>82</v>
      </c>
      <c r="F689" t="s">
        <v>126</v>
      </c>
      <c r="G689" t="s">
        <v>1839</v>
      </c>
    </row>
    <row r="690" spans="1:9" hidden="1">
      <c r="A690" t="s">
        <v>2325</v>
      </c>
      <c r="B690" t="s">
        <v>340</v>
      </c>
      <c r="C690" t="s">
        <v>113</v>
      </c>
      <c r="D690" t="s">
        <v>42</v>
      </c>
      <c r="E690" t="s">
        <v>172</v>
      </c>
      <c r="F690" t="s">
        <v>341</v>
      </c>
      <c r="G690" t="s">
        <v>1672</v>
      </c>
    </row>
    <row r="691" spans="1:9">
      <c r="A691" t="s">
        <v>2326</v>
      </c>
      <c r="B691" t="s">
        <v>2327</v>
      </c>
      <c r="C691" t="s">
        <v>42</v>
      </c>
      <c r="D691" t="s">
        <v>121</v>
      </c>
      <c r="E691" t="s">
        <v>126</v>
      </c>
      <c r="F691" t="s">
        <v>2328</v>
      </c>
      <c r="G691" t="s">
        <v>1845</v>
      </c>
    </row>
    <row r="692" spans="1:9" hidden="1">
      <c r="A692" t="s">
        <v>2329</v>
      </c>
      <c r="B692" t="s">
        <v>1265</v>
      </c>
      <c r="C692" t="s">
        <v>42</v>
      </c>
      <c r="D692" t="s">
        <v>256</v>
      </c>
      <c r="E692" t="s">
        <v>126</v>
      </c>
      <c r="F692" t="s">
        <v>126</v>
      </c>
      <c r="G692" t="s">
        <v>1676</v>
      </c>
    </row>
    <row r="693" spans="1:9" hidden="1">
      <c r="A693" t="s">
        <v>2330</v>
      </c>
      <c r="B693" t="s">
        <v>1042</v>
      </c>
      <c r="C693" t="s">
        <v>113</v>
      </c>
      <c r="D693" t="s">
        <v>233</v>
      </c>
      <c r="E693" t="s">
        <v>42</v>
      </c>
      <c r="F693" t="s">
        <v>126</v>
      </c>
      <c r="G693" t="s">
        <v>2331</v>
      </c>
      <c r="I693">
        <v>1</v>
      </c>
    </row>
    <row r="694" spans="1:9" hidden="1">
      <c r="A694" t="s">
        <v>2332</v>
      </c>
      <c r="B694" t="s">
        <v>393</v>
      </c>
      <c r="C694" t="s">
        <v>113</v>
      </c>
      <c r="D694" t="s">
        <v>136</v>
      </c>
      <c r="E694" t="s">
        <v>217</v>
      </c>
      <c r="F694" t="s">
        <v>394</v>
      </c>
      <c r="G694" t="s">
        <v>2206</v>
      </c>
    </row>
    <row r="695" spans="1:9" hidden="1">
      <c r="A695" t="s">
        <v>2333</v>
      </c>
      <c r="B695" t="s">
        <v>570</v>
      </c>
      <c r="C695" t="s">
        <v>113</v>
      </c>
      <c r="D695" t="s">
        <v>233</v>
      </c>
      <c r="E695" t="s">
        <v>511</v>
      </c>
      <c r="F695" t="s">
        <v>571</v>
      </c>
      <c r="G695" t="s">
        <v>2334</v>
      </c>
      <c r="I695">
        <v>7</v>
      </c>
    </row>
    <row r="696" spans="1:9" hidden="1">
      <c r="A696" t="s">
        <v>2335</v>
      </c>
      <c r="B696" t="s">
        <v>255</v>
      </c>
      <c r="C696" t="s">
        <v>113</v>
      </c>
      <c r="D696" t="s">
        <v>42</v>
      </c>
      <c r="E696" t="s">
        <v>256</v>
      </c>
      <c r="F696" t="s">
        <v>257</v>
      </c>
      <c r="G696" t="s">
        <v>1982</v>
      </c>
    </row>
    <row r="697" spans="1:9" hidden="1">
      <c r="A697" t="s">
        <v>2336</v>
      </c>
      <c r="B697" t="s">
        <v>179</v>
      </c>
      <c r="C697" t="s">
        <v>180</v>
      </c>
      <c r="D697" t="s">
        <v>121</v>
      </c>
      <c r="E697" t="s">
        <v>126</v>
      </c>
      <c r="F697" t="s">
        <v>181</v>
      </c>
      <c r="G697" t="s">
        <v>2337</v>
      </c>
    </row>
    <row r="698" spans="1:9" hidden="1">
      <c r="A698" t="s">
        <v>2338</v>
      </c>
      <c r="B698" t="s">
        <v>738</v>
      </c>
      <c r="C698" t="s">
        <v>117</v>
      </c>
      <c r="D698" t="s">
        <v>63</v>
      </c>
      <c r="E698" t="s">
        <v>172</v>
      </c>
      <c r="F698" t="s">
        <v>126</v>
      </c>
      <c r="G698" t="s">
        <v>1773</v>
      </c>
    </row>
    <row r="699" spans="1:9" hidden="1">
      <c r="A699" t="s">
        <v>2339</v>
      </c>
      <c r="B699" t="s">
        <v>384</v>
      </c>
      <c r="C699" t="s">
        <v>113</v>
      </c>
      <c r="D699" t="s">
        <v>121</v>
      </c>
      <c r="E699" t="s">
        <v>46</v>
      </c>
      <c r="F699" t="s">
        <v>126</v>
      </c>
      <c r="G699" t="s">
        <v>2140</v>
      </c>
      <c r="I699">
        <v>1</v>
      </c>
    </row>
    <row r="700" spans="1:9" hidden="1">
      <c r="A700" t="s">
        <v>2340</v>
      </c>
      <c r="B700" t="s">
        <v>730</v>
      </c>
      <c r="C700" t="s">
        <v>113</v>
      </c>
      <c r="D700" t="s">
        <v>42</v>
      </c>
      <c r="E700" t="s">
        <v>217</v>
      </c>
      <c r="F700" t="s">
        <v>126</v>
      </c>
      <c r="G700" t="s">
        <v>1690</v>
      </c>
    </row>
    <row r="701" spans="1:9">
      <c r="A701" t="s">
        <v>2341</v>
      </c>
      <c r="B701" t="s">
        <v>2342</v>
      </c>
      <c r="C701" t="s">
        <v>117</v>
      </c>
      <c r="D701" t="s">
        <v>160</v>
      </c>
      <c r="E701" t="s">
        <v>135</v>
      </c>
      <c r="F701" t="s">
        <v>126</v>
      </c>
      <c r="G701" t="s">
        <v>2343</v>
      </c>
      <c r="I701">
        <v>1</v>
      </c>
    </row>
    <row r="702" spans="1:9" hidden="1">
      <c r="A702" t="s">
        <v>2344</v>
      </c>
      <c r="B702" t="s">
        <v>268</v>
      </c>
      <c r="C702" t="s">
        <v>113</v>
      </c>
      <c r="D702" t="s">
        <v>44</v>
      </c>
      <c r="E702" t="s">
        <v>82</v>
      </c>
      <c r="F702" t="s">
        <v>269</v>
      </c>
      <c r="G702" t="s">
        <v>2345</v>
      </c>
      <c r="I702">
        <v>1</v>
      </c>
    </row>
    <row r="703" spans="1:9" hidden="1">
      <c r="A703" t="s">
        <v>2346</v>
      </c>
      <c r="B703" t="s">
        <v>928</v>
      </c>
      <c r="C703" t="s">
        <v>113</v>
      </c>
      <c r="D703" t="s">
        <v>63</v>
      </c>
      <c r="E703" t="s">
        <v>184</v>
      </c>
      <c r="F703" t="s">
        <v>929</v>
      </c>
      <c r="G703" t="s">
        <v>2347</v>
      </c>
      <c r="I703">
        <v>1</v>
      </c>
    </row>
    <row r="704" spans="1:9" hidden="1">
      <c r="A704" t="s">
        <v>2348</v>
      </c>
      <c r="B704" t="s">
        <v>1190</v>
      </c>
      <c r="C704" t="s">
        <v>113</v>
      </c>
      <c r="D704" t="s">
        <v>233</v>
      </c>
      <c r="E704" t="s">
        <v>624</v>
      </c>
      <c r="F704" t="s">
        <v>126</v>
      </c>
      <c r="G704" t="s">
        <v>2349</v>
      </c>
      <c r="I704">
        <v>2</v>
      </c>
    </row>
    <row r="705" spans="1:9" hidden="1">
      <c r="A705" t="s">
        <v>2350</v>
      </c>
      <c r="B705" t="s">
        <v>142</v>
      </c>
      <c r="C705" t="s">
        <v>42</v>
      </c>
      <c r="D705" t="s">
        <v>82</v>
      </c>
      <c r="E705" t="s">
        <v>143</v>
      </c>
      <c r="F705" t="s">
        <v>144</v>
      </c>
      <c r="G705" t="s">
        <v>2351</v>
      </c>
    </row>
    <row r="706" spans="1:9" hidden="1">
      <c r="A706" t="s">
        <v>2352</v>
      </c>
      <c r="B706" t="s">
        <v>216</v>
      </c>
      <c r="C706" t="s">
        <v>42</v>
      </c>
      <c r="D706" t="s">
        <v>82</v>
      </c>
      <c r="E706" t="s">
        <v>217</v>
      </c>
      <c r="F706" t="s">
        <v>126</v>
      </c>
      <c r="G706" t="s">
        <v>2353</v>
      </c>
    </row>
    <row r="707" spans="1:9" hidden="1">
      <c r="A707" t="s">
        <v>2354</v>
      </c>
      <c r="B707" t="s">
        <v>1615</v>
      </c>
      <c r="C707" t="s">
        <v>233</v>
      </c>
      <c r="D707" t="s">
        <v>155</v>
      </c>
      <c r="E707" t="s">
        <v>156</v>
      </c>
      <c r="F707" t="s">
        <v>126</v>
      </c>
      <c r="G707" t="s">
        <v>2355</v>
      </c>
    </row>
    <row r="708" spans="1:9" hidden="1">
      <c r="A708" t="s">
        <v>2356</v>
      </c>
      <c r="B708" t="s">
        <v>763</v>
      </c>
      <c r="C708" t="s">
        <v>113</v>
      </c>
      <c r="D708" t="s">
        <v>233</v>
      </c>
      <c r="E708" t="s">
        <v>180</v>
      </c>
      <c r="F708" t="s">
        <v>126</v>
      </c>
      <c r="G708" t="s">
        <v>2357</v>
      </c>
      <c r="I708">
        <v>1</v>
      </c>
    </row>
    <row r="709" spans="1:9" hidden="1">
      <c r="A709" t="s">
        <v>2358</v>
      </c>
      <c r="B709" t="s">
        <v>1035</v>
      </c>
      <c r="C709" t="s">
        <v>113</v>
      </c>
      <c r="D709" t="s">
        <v>180</v>
      </c>
      <c r="E709" t="s">
        <v>121</v>
      </c>
      <c r="F709" t="s">
        <v>1036</v>
      </c>
      <c r="G709" t="s">
        <v>1996</v>
      </c>
      <c r="I709">
        <v>3</v>
      </c>
    </row>
    <row r="710" spans="1:9">
      <c r="A710" t="s">
        <v>2359</v>
      </c>
      <c r="B710" t="s">
        <v>2360</v>
      </c>
      <c r="C710" t="s">
        <v>125</v>
      </c>
      <c r="D710" t="s">
        <v>126</v>
      </c>
      <c r="E710" t="s">
        <v>126</v>
      </c>
      <c r="F710" t="s">
        <v>2361</v>
      </c>
      <c r="G710" t="s">
        <v>1912</v>
      </c>
    </row>
    <row r="711" spans="1:9" hidden="1">
      <c r="A711" t="s">
        <v>2362</v>
      </c>
      <c r="B711" t="s">
        <v>464</v>
      </c>
      <c r="C711" t="s">
        <v>113</v>
      </c>
      <c r="D711" t="s">
        <v>117</v>
      </c>
      <c r="E711" t="s">
        <v>42</v>
      </c>
      <c r="F711" t="s">
        <v>465</v>
      </c>
      <c r="G711" t="s">
        <v>1951</v>
      </c>
    </row>
    <row r="712" spans="1:9" hidden="1">
      <c r="A712" t="s">
        <v>2363</v>
      </c>
      <c r="B712" t="s">
        <v>765</v>
      </c>
      <c r="C712" t="s">
        <v>113</v>
      </c>
      <c r="D712" t="s">
        <v>233</v>
      </c>
      <c r="E712" t="s">
        <v>42</v>
      </c>
      <c r="F712" t="s">
        <v>126</v>
      </c>
      <c r="G712" t="s">
        <v>2357</v>
      </c>
      <c r="I712">
        <v>1</v>
      </c>
    </row>
    <row r="713" spans="1:9">
      <c r="A713" t="s">
        <v>2364</v>
      </c>
      <c r="B713" t="s">
        <v>2365</v>
      </c>
      <c r="C713" t="s">
        <v>125</v>
      </c>
      <c r="D713" t="s">
        <v>126</v>
      </c>
      <c r="E713" t="s">
        <v>126</v>
      </c>
      <c r="F713" t="s">
        <v>126</v>
      </c>
      <c r="G713" t="s">
        <v>2366</v>
      </c>
    </row>
    <row r="714" spans="1:9" hidden="1">
      <c r="A714" t="s">
        <v>2367</v>
      </c>
      <c r="B714" t="s">
        <v>1117</v>
      </c>
      <c r="C714" t="s">
        <v>113</v>
      </c>
      <c r="D714" t="s">
        <v>154</v>
      </c>
      <c r="E714" t="s">
        <v>511</v>
      </c>
      <c r="F714" t="s">
        <v>1118</v>
      </c>
      <c r="G714" t="s">
        <v>2368</v>
      </c>
      <c r="I714">
        <v>4</v>
      </c>
    </row>
    <row r="715" spans="1:9">
      <c r="A715" t="s">
        <v>2369</v>
      </c>
      <c r="B715" t="s">
        <v>2370</v>
      </c>
      <c r="C715" t="s">
        <v>125</v>
      </c>
      <c r="D715" t="s">
        <v>126</v>
      </c>
      <c r="E715" t="s">
        <v>126</v>
      </c>
      <c r="F715" t="s">
        <v>126</v>
      </c>
      <c r="G715" t="s">
        <v>2371</v>
      </c>
    </row>
    <row r="716" spans="1:9" hidden="1">
      <c r="A716" t="s">
        <v>2372</v>
      </c>
      <c r="B716" t="s">
        <v>1109</v>
      </c>
      <c r="C716" t="s">
        <v>113</v>
      </c>
      <c r="D716" t="s">
        <v>42</v>
      </c>
      <c r="E716" t="s">
        <v>217</v>
      </c>
      <c r="F716" t="s">
        <v>126</v>
      </c>
      <c r="G716" t="s">
        <v>2323</v>
      </c>
    </row>
    <row r="717" spans="1:9" hidden="1">
      <c r="A717" t="s">
        <v>2373</v>
      </c>
      <c r="B717" t="s">
        <v>1084</v>
      </c>
      <c r="C717" t="s">
        <v>42</v>
      </c>
      <c r="D717" t="s">
        <v>82</v>
      </c>
      <c r="E717" t="s">
        <v>204</v>
      </c>
      <c r="F717" t="s">
        <v>126</v>
      </c>
      <c r="G717" t="s">
        <v>1733</v>
      </c>
    </row>
    <row r="718" spans="1:9" hidden="1">
      <c r="A718" t="s">
        <v>2374</v>
      </c>
      <c r="B718" t="s">
        <v>418</v>
      </c>
      <c r="C718" t="s">
        <v>113</v>
      </c>
      <c r="D718" t="s">
        <v>63</v>
      </c>
      <c r="E718" t="s">
        <v>172</v>
      </c>
      <c r="F718" t="s">
        <v>126</v>
      </c>
      <c r="G718" t="s">
        <v>2155</v>
      </c>
    </row>
    <row r="719" spans="1:9" hidden="1">
      <c r="A719" t="s">
        <v>2375</v>
      </c>
      <c r="B719" t="s">
        <v>527</v>
      </c>
      <c r="C719" t="s">
        <v>113</v>
      </c>
      <c r="D719" t="s">
        <v>154</v>
      </c>
      <c r="E719" t="s">
        <v>204</v>
      </c>
      <c r="F719" t="s">
        <v>528</v>
      </c>
      <c r="G719" t="s">
        <v>2376</v>
      </c>
    </row>
    <row r="720" spans="1:9" hidden="1">
      <c r="A720" t="s">
        <v>2377</v>
      </c>
      <c r="B720" t="s">
        <v>558</v>
      </c>
      <c r="C720" t="s">
        <v>113</v>
      </c>
      <c r="D720" t="s">
        <v>63</v>
      </c>
      <c r="E720" t="s">
        <v>184</v>
      </c>
      <c r="F720" t="s">
        <v>559</v>
      </c>
      <c r="G720" t="s">
        <v>2378</v>
      </c>
      <c r="I720">
        <v>1</v>
      </c>
    </row>
    <row r="721" spans="1:9" hidden="1">
      <c r="A721" t="s">
        <v>2379</v>
      </c>
      <c r="B721" t="s">
        <v>1111</v>
      </c>
      <c r="C721" t="s">
        <v>113</v>
      </c>
      <c r="D721" t="s">
        <v>42</v>
      </c>
      <c r="E721" t="s">
        <v>204</v>
      </c>
      <c r="F721" t="s">
        <v>126</v>
      </c>
      <c r="G721" t="s">
        <v>2380</v>
      </c>
    </row>
    <row r="722" spans="1:9" hidden="1">
      <c r="A722" t="s">
        <v>2381</v>
      </c>
      <c r="B722" t="s">
        <v>1138</v>
      </c>
      <c r="C722" t="s">
        <v>113</v>
      </c>
      <c r="D722" t="s">
        <v>42</v>
      </c>
      <c r="E722" t="s">
        <v>938</v>
      </c>
      <c r="F722" t="s">
        <v>126</v>
      </c>
      <c r="G722" t="s">
        <v>1914</v>
      </c>
    </row>
    <row r="723" spans="1:9" hidden="1">
      <c r="A723" t="s">
        <v>2382</v>
      </c>
      <c r="B723" t="s">
        <v>404</v>
      </c>
      <c r="C723" t="s">
        <v>113</v>
      </c>
      <c r="D723" t="s">
        <v>42</v>
      </c>
      <c r="E723" t="s">
        <v>172</v>
      </c>
      <c r="F723" t="s">
        <v>126</v>
      </c>
      <c r="G723" t="s">
        <v>1845</v>
      </c>
    </row>
    <row r="724" spans="1:9">
      <c r="A724" t="s">
        <v>2383</v>
      </c>
      <c r="B724" t="s">
        <v>2384</v>
      </c>
      <c r="C724" t="s">
        <v>42</v>
      </c>
      <c r="D724" t="s">
        <v>126</v>
      </c>
      <c r="E724" t="s">
        <v>126</v>
      </c>
      <c r="F724" t="s">
        <v>126</v>
      </c>
      <c r="G724" t="s">
        <v>2385</v>
      </c>
    </row>
    <row r="725" spans="1:9" hidden="1">
      <c r="A725" t="s">
        <v>2386</v>
      </c>
      <c r="B725" t="s">
        <v>309</v>
      </c>
      <c r="C725" t="s">
        <v>113</v>
      </c>
      <c r="D725" t="s">
        <v>272</v>
      </c>
      <c r="E725" t="s">
        <v>180</v>
      </c>
      <c r="F725" t="s">
        <v>310</v>
      </c>
      <c r="G725" t="s">
        <v>2113</v>
      </c>
      <c r="I725">
        <v>2</v>
      </c>
    </row>
    <row r="726" spans="1:9" hidden="1">
      <c r="A726" t="s">
        <v>2387</v>
      </c>
      <c r="B726" t="s">
        <v>984</v>
      </c>
      <c r="C726" t="s">
        <v>113</v>
      </c>
      <c r="D726" t="s">
        <v>63</v>
      </c>
      <c r="E726" t="s">
        <v>209</v>
      </c>
      <c r="F726" t="s">
        <v>126</v>
      </c>
      <c r="G726" t="s">
        <v>2160</v>
      </c>
      <c r="I726">
        <v>1</v>
      </c>
    </row>
    <row r="727" spans="1:9" hidden="1">
      <c r="A727" t="s">
        <v>2388</v>
      </c>
      <c r="B727" t="s">
        <v>578</v>
      </c>
      <c r="C727" t="s">
        <v>113</v>
      </c>
      <c r="D727" t="s">
        <v>82</v>
      </c>
      <c r="E727" t="s">
        <v>67</v>
      </c>
      <c r="F727" t="s">
        <v>126</v>
      </c>
      <c r="G727" t="s">
        <v>1796</v>
      </c>
    </row>
    <row r="728" spans="1:9" hidden="1">
      <c r="A728" t="s">
        <v>2389</v>
      </c>
      <c r="B728" t="s">
        <v>761</v>
      </c>
      <c r="C728" t="s">
        <v>113</v>
      </c>
      <c r="D728" t="s">
        <v>139</v>
      </c>
      <c r="E728" t="s">
        <v>154</v>
      </c>
      <c r="F728" t="s">
        <v>126</v>
      </c>
      <c r="G728" t="s">
        <v>1912</v>
      </c>
      <c r="I728">
        <v>1</v>
      </c>
    </row>
    <row r="729" spans="1:9">
      <c r="A729" t="s">
        <v>2390</v>
      </c>
      <c r="B729" t="s">
        <v>2391</v>
      </c>
      <c r="C729" t="s">
        <v>113</v>
      </c>
      <c r="D729" t="s">
        <v>42</v>
      </c>
      <c r="E729" t="s">
        <v>126</v>
      </c>
      <c r="F729" t="s">
        <v>126</v>
      </c>
      <c r="G729" t="s">
        <v>1940</v>
      </c>
    </row>
    <row r="730" spans="1:9" hidden="1">
      <c r="A730" t="s">
        <v>2392</v>
      </c>
      <c r="B730" t="s">
        <v>910</v>
      </c>
      <c r="C730" t="s">
        <v>135</v>
      </c>
      <c r="D730" t="s">
        <v>121</v>
      </c>
      <c r="E730" t="s">
        <v>126</v>
      </c>
      <c r="F730" t="s">
        <v>126</v>
      </c>
      <c r="G730" t="s">
        <v>2393</v>
      </c>
    </row>
    <row r="731" spans="1:9" hidden="1">
      <c r="A731" t="s">
        <v>2394</v>
      </c>
      <c r="B731" t="s">
        <v>966</v>
      </c>
      <c r="C731" t="s">
        <v>113</v>
      </c>
      <c r="D731" t="s">
        <v>42</v>
      </c>
      <c r="E731" t="s">
        <v>217</v>
      </c>
      <c r="F731" t="s">
        <v>126</v>
      </c>
      <c r="G731" t="s">
        <v>2078</v>
      </c>
    </row>
    <row r="732" spans="1:9">
      <c r="A732" t="s">
        <v>2395</v>
      </c>
      <c r="B732" t="s">
        <v>2396</v>
      </c>
      <c r="C732" t="s">
        <v>180</v>
      </c>
      <c r="D732" t="s">
        <v>121</v>
      </c>
      <c r="E732" t="s">
        <v>2397</v>
      </c>
      <c r="F732" t="s">
        <v>126</v>
      </c>
      <c r="G732" t="s">
        <v>2398</v>
      </c>
    </row>
    <row r="733" spans="1:9" hidden="1">
      <c r="A733" t="s">
        <v>2399</v>
      </c>
      <c r="B733" t="s">
        <v>1113</v>
      </c>
      <c r="C733" t="s">
        <v>113</v>
      </c>
      <c r="D733" t="s">
        <v>233</v>
      </c>
      <c r="E733" t="s">
        <v>42</v>
      </c>
      <c r="F733" t="s">
        <v>126</v>
      </c>
      <c r="G733" t="s">
        <v>2380</v>
      </c>
      <c r="I733">
        <v>5</v>
      </c>
    </row>
    <row r="734" spans="1:9" hidden="1">
      <c r="A734" t="s">
        <v>2400</v>
      </c>
      <c r="B734" t="s">
        <v>618</v>
      </c>
      <c r="C734" t="s">
        <v>113</v>
      </c>
      <c r="D734" t="s">
        <v>233</v>
      </c>
      <c r="E734" t="s">
        <v>42</v>
      </c>
      <c r="F734" t="s">
        <v>126</v>
      </c>
      <c r="G734" t="s">
        <v>1992</v>
      </c>
      <c r="I734">
        <v>2</v>
      </c>
    </row>
    <row r="735" spans="1:9" hidden="1">
      <c r="A735" t="s">
        <v>2401</v>
      </c>
      <c r="B735" t="s">
        <v>642</v>
      </c>
      <c r="C735" t="s">
        <v>233</v>
      </c>
      <c r="D735" t="s">
        <v>154</v>
      </c>
      <c r="E735" t="s">
        <v>63</v>
      </c>
      <c r="F735" t="s">
        <v>126</v>
      </c>
      <c r="G735" t="s">
        <v>2018</v>
      </c>
    </row>
    <row r="736" spans="1:9" hidden="1">
      <c r="A736" t="s">
        <v>2402</v>
      </c>
      <c r="B736" t="s">
        <v>890</v>
      </c>
      <c r="C736" t="s">
        <v>117</v>
      </c>
      <c r="D736" t="s">
        <v>42</v>
      </c>
      <c r="E736" t="s">
        <v>126</v>
      </c>
      <c r="F736" t="s">
        <v>126</v>
      </c>
      <c r="G736" t="s">
        <v>1696</v>
      </c>
    </row>
    <row r="737" spans="1:9" hidden="1">
      <c r="A737" t="s">
        <v>2403</v>
      </c>
      <c r="B737" t="s">
        <v>354</v>
      </c>
      <c r="C737" t="s">
        <v>113</v>
      </c>
      <c r="D737" t="s">
        <v>154</v>
      </c>
      <c r="E737" t="s">
        <v>204</v>
      </c>
      <c r="F737" t="s">
        <v>355</v>
      </c>
      <c r="G737" t="s">
        <v>1769</v>
      </c>
    </row>
    <row r="738" spans="1:9" hidden="1">
      <c r="A738" t="s">
        <v>2404</v>
      </c>
      <c r="B738" t="s">
        <v>1044</v>
      </c>
      <c r="C738" t="s">
        <v>113</v>
      </c>
      <c r="D738" t="s">
        <v>272</v>
      </c>
      <c r="E738" t="s">
        <v>147</v>
      </c>
      <c r="F738" t="s">
        <v>126</v>
      </c>
      <c r="G738" t="s">
        <v>2331</v>
      </c>
    </row>
    <row r="739" spans="1:9" hidden="1">
      <c r="A739" t="s">
        <v>2405</v>
      </c>
      <c r="B739" t="s">
        <v>954</v>
      </c>
      <c r="C739" t="s">
        <v>121</v>
      </c>
      <c r="D739" t="s">
        <v>126</v>
      </c>
      <c r="E739" t="s">
        <v>126</v>
      </c>
      <c r="F739" t="s">
        <v>126</v>
      </c>
      <c r="G739" t="s">
        <v>2273</v>
      </c>
    </row>
    <row r="740" spans="1:9" hidden="1">
      <c r="A740" t="s">
        <v>2406</v>
      </c>
      <c r="B740" t="s">
        <v>1015</v>
      </c>
      <c r="C740" t="s">
        <v>113</v>
      </c>
      <c r="D740" t="s">
        <v>233</v>
      </c>
      <c r="E740" t="s">
        <v>135</v>
      </c>
      <c r="F740" t="s">
        <v>126</v>
      </c>
      <c r="G740" t="s">
        <v>1712</v>
      </c>
      <c r="I740">
        <v>2</v>
      </c>
    </row>
    <row r="741" spans="1:9">
      <c r="A741" t="s">
        <v>2407</v>
      </c>
      <c r="B741" t="s">
        <v>2408</v>
      </c>
      <c r="C741" t="s">
        <v>125</v>
      </c>
      <c r="D741" t="s">
        <v>126</v>
      </c>
      <c r="E741" t="s">
        <v>126</v>
      </c>
      <c r="F741" t="s">
        <v>126</v>
      </c>
      <c r="G741" t="s">
        <v>2409</v>
      </c>
    </row>
    <row r="742" spans="1:9" hidden="1">
      <c r="A742" t="s">
        <v>2410</v>
      </c>
      <c r="B742" t="s">
        <v>1005</v>
      </c>
      <c r="C742" t="s">
        <v>113</v>
      </c>
      <c r="D742" t="s">
        <v>42</v>
      </c>
      <c r="E742" t="s">
        <v>126</v>
      </c>
      <c r="F742" t="s">
        <v>1006</v>
      </c>
      <c r="G742" t="s">
        <v>2411</v>
      </c>
    </row>
    <row r="743" spans="1:9" hidden="1">
      <c r="A743" t="s">
        <v>2412</v>
      </c>
      <c r="B743" t="s">
        <v>1206</v>
      </c>
      <c r="C743" t="s">
        <v>117</v>
      </c>
      <c r="D743" t="s">
        <v>42</v>
      </c>
      <c r="E743" t="s">
        <v>126</v>
      </c>
      <c r="F743" t="s">
        <v>126</v>
      </c>
      <c r="G743" t="s">
        <v>1731</v>
      </c>
    </row>
    <row r="744" spans="1:9" hidden="1">
      <c r="A744" t="s">
        <v>2413</v>
      </c>
      <c r="B744" t="s">
        <v>504</v>
      </c>
      <c r="C744" t="s">
        <v>113</v>
      </c>
      <c r="D744" t="s">
        <v>233</v>
      </c>
      <c r="E744" t="s">
        <v>160</v>
      </c>
      <c r="F744" t="s">
        <v>126</v>
      </c>
      <c r="G744" t="s">
        <v>2414</v>
      </c>
      <c r="I744">
        <v>2</v>
      </c>
    </row>
    <row r="745" spans="1:9" hidden="1">
      <c r="A745" t="s">
        <v>2415</v>
      </c>
      <c r="B745" t="s">
        <v>1071</v>
      </c>
      <c r="C745" t="s">
        <v>113</v>
      </c>
      <c r="D745" t="s">
        <v>272</v>
      </c>
      <c r="E745" t="s">
        <v>154</v>
      </c>
      <c r="F745" t="s">
        <v>126</v>
      </c>
      <c r="G745" t="s">
        <v>1929</v>
      </c>
      <c r="I745">
        <v>2</v>
      </c>
    </row>
    <row r="746" spans="1:9" hidden="1">
      <c r="A746" t="s">
        <v>2416</v>
      </c>
      <c r="B746" t="s">
        <v>1103</v>
      </c>
      <c r="C746" t="s">
        <v>113</v>
      </c>
      <c r="D746" t="s">
        <v>42</v>
      </c>
      <c r="E746" t="s">
        <v>82</v>
      </c>
      <c r="F746" t="s">
        <v>126</v>
      </c>
      <c r="G746" t="s">
        <v>2317</v>
      </c>
    </row>
    <row r="747" spans="1:9">
      <c r="A747" t="s">
        <v>2417</v>
      </c>
      <c r="B747" t="s">
        <v>2418</v>
      </c>
      <c r="C747" t="s">
        <v>113</v>
      </c>
      <c r="D747" t="s">
        <v>139</v>
      </c>
      <c r="E747" t="s">
        <v>63</v>
      </c>
      <c r="F747" t="s">
        <v>126</v>
      </c>
      <c r="G747" t="s">
        <v>2419</v>
      </c>
      <c r="I747">
        <v>1</v>
      </c>
    </row>
    <row r="748" spans="1:9" hidden="1">
      <c r="A748" t="s">
        <v>2420</v>
      </c>
      <c r="B748" t="s">
        <v>271</v>
      </c>
      <c r="C748" t="s">
        <v>113</v>
      </c>
      <c r="D748" t="s">
        <v>272</v>
      </c>
      <c r="E748" t="s">
        <v>154</v>
      </c>
      <c r="F748" t="s">
        <v>273</v>
      </c>
      <c r="G748" t="s">
        <v>2421</v>
      </c>
      <c r="I748">
        <v>2</v>
      </c>
    </row>
    <row r="749" spans="1:9" hidden="1">
      <c r="A749" t="s">
        <v>2422</v>
      </c>
      <c r="B749" t="s">
        <v>447</v>
      </c>
      <c r="C749" t="s">
        <v>113</v>
      </c>
      <c r="D749" t="s">
        <v>233</v>
      </c>
      <c r="E749" t="s">
        <v>42</v>
      </c>
      <c r="F749" t="s">
        <v>448</v>
      </c>
      <c r="G749" t="s">
        <v>2423</v>
      </c>
      <c r="I749">
        <v>4</v>
      </c>
    </row>
    <row r="750" spans="1:9" hidden="1">
      <c r="A750" t="s">
        <v>2424</v>
      </c>
      <c r="B750" t="s">
        <v>751</v>
      </c>
      <c r="C750" t="s">
        <v>113</v>
      </c>
      <c r="D750" t="s">
        <v>82</v>
      </c>
      <c r="E750" t="s">
        <v>67</v>
      </c>
      <c r="F750" t="s">
        <v>126</v>
      </c>
      <c r="G750" t="s">
        <v>2425</v>
      </c>
    </row>
    <row r="751" spans="1:9" hidden="1">
      <c r="A751" t="s">
        <v>2426</v>
      </c>
      <c r="B751" t="s">
        <v>1314</v>
      </c>
      <c r="C751" t="s">
        <v>233</v>
      </c>
      <c r="D751" t="s">
        <v>84</v>
      </c>
      <c r="E751" t="s">
        <v>58</v>
      </c>
      <c r="F751" t="s">
        <v>126</v>
      </c>
      <c r="G751" t="s">
        <v>1761</v>
      </c>
    </row>
    <row r="752" spans="1:9" hidden="1">
      <c r="A752" t="s">
        <v>2427</v>
      </c>
      <c r="B752" t="s">
        <v>1094</v>
      </c>
      <c r="C752" t="s">
        <v>113</v>
      </c>
      <c r="D752" t="s">
        <v>42</v>
      </c>
      <c r="E752" t="s">
        <v>217</v>
      </c>
      <c r="F752" t="s">
        <v>126</v>
      </c>
      <c r="G752" t="s">
        <v>1916</v>
      </c>
    </row>
    <row r="753" spans="1:9" hidden="1">
      <c r="A753" t="s">
        <v>2428</v>
      </c>
      <c r="B753" t="s">
        <v>1026</v>
      </c>
      <c r="C753" t="s">
        <v>113</v>
      </c>
      <c r="D753" t="s">
        <v>233</v>
      </c>
      <c r="E753" t="s">
        <v>1027</v>
      </c>
      <c r="F753" t="s">
        <v>126</v>
      </c>
      <c r="G753" t="s">
        <v>2429</v>
      </c>
      <c r="I753">
        <v>1</v>
      </c>
    </row>
    <row r="754" spans="1:9" hidden="1">
      <c r="A754" t="s">
        <v>2430</v>
      </c>
      <c r="B754" t="s">
        <v>1177</v>
      </c>
      <c r="C754" t="s">
        <v>155</v>
      </c>
      <c r="D754" t="s">
        <v>208</v>
      </c>
      <c r="E754" t="s">
        <v>184</v>
      </c>
      <c r="F754" t="s">
        <v>126</v>
      </c>
      <c r="G754" t="s">
        <v>2431</v>
      </c>
      <c r="I754">
        <v>2</v>
      </c>
    </row>
    <row r="755" spans="1:9" hidden="1">
      <c r="A755" t="s">
        <v>2432</v>
      </c>
      <c r="B755" t="s">
        <v>688</v>
      </c>
      <c r="C755" t="s">
        <v>233</v>
      </c>
      <c r="D755" t="s">
        <v>117</v>
      </c>
      <c r="E755" t="s">
        <v>263</v>
      </c>
      <c r="F755" t="s">
        <v>126</v>
      </c>
      <c r="G755" t="s">
        <v>1706</v>
      </c>
    </row>
    <row r="756" spans="1:9" hidden="1">
      <c r="A756" t="s">
        <v>2433</v>
      </c>
      <c r="B756" t="s">
        <v>348</v>
      </c>
      <c r="C756" t="s">
        <v>113</v>
      </c>
      <c r="D756" t="s">
        <v>233</v>
      </c>
      <c r="E756" t="s">
        <v>82</v>
      </c>
      <c r="F756" t="s">
        <v>126</v>
      </c>
      <c r="G756" t="s">
        <v>2268</v>
      </c>
    </row>
    <row r="757" spans="1:9" hidden="1">
      <c r="A757" t="s">
        <v>2434</v>
      </c>
      <c r="B757" t="s">
        <v>1211</v>
      </c>
      <c r="C757" t="s">
        <v>113</v>
      </c>
      <c r="D757" t="s">
        <v>233</v>
      </c>
      <c r="E757" t="s">
        <v>172</v>
      </c>
      <c r="F757" t="s">
        <v>126</v>
      </c>
      <c r="G757" t="s">
        <v>1747</v>
      </c>
    </row>
    <row r="758" spans="1:9">
      <c r="A758" t="s">
        <v>2435</v>
      </c>
      <c r="B758" t="s">
        <v>2436</v>
      </c>
      <c r="C758" t="s">
        <v>272</v>
      </c>
      <c r="D758" t="s">
        <v>117</v>
      </c>
      <c r="E758" t="s">
        <v>126</v>
      </c>
      <c r="F758" t="s">
        <v>126</v>
      </c>
      <c r="G758" t="s">
        <v>2334</v>
      </c>
    </row>
    <row r="759" spans="1:9" hidden="1">
      <c r="A759" t="s">
        <v>2437</v>
      </c>
      <c r="B759" t="s">
        <v>1129</v>
      </c>
      <c r="C759" t="s">
        <v>113</v>
      </c>
      <c r="D759" t="s">
        <v>154</v>
      </c>
      <c r="E759" t="s">
        <v>172</v>
      </c>
      <c r="F759" t="s">
        <v>126</v>
      </c>
      <c r="G759" t="s">
        <v>2082</v>
      </c>
      <c r="I759">
        <v>1</v>
      </c>
    </row>
    <row r="760" spans="1:9" hidden="1">
      <c r="A760" t="s">
        <v>2438</v>
      </c>
      <c r="B760" t="s">
        <v>651</v>
      </c>
      <c r="C760" t="s">
        <v>113</v>
      </c>
      <c r="D760" t="s">
        <v>154</v>
      </c>
      <c r="E760" t="s">
        <v>550</v>
      </c>
      <c r="F760" t="s">
        <v>126</v>
      </c>
      <c r="G760" t="s">
        <v>2439</v>
      </c>
      <c r="I760">
        <v>2</v>
      </c>
    </row>
    <row r="761" spans="1:9" hidden="1">
      <c r="A761" t="s">
        <v>2440</v>
      </c>
      <c r="B761" t="s">
        <v>710</v>
      </c>
      <c r="C761" t="s">
        <v>139</v>
      </c>
      <c r="D761" t="s">
        <v>42</v>
      </c>
      <c r="E761" t="s">
        <v>121</v>
      </c>
      <c r="F761" t="s">
        <v>711</v>
      </c>
      <c r="G761" t="s">
        <v>2441</v>
      </c>
      <c r="I761">
        <v>3</v>
      </c>
    </row>
    <row r="762" spans="1:9" hidden="1">
      <c r="A762" t="s">
        <v>2442</v>
      </c>
      <c r="B762" t="s">
        <v>1456</v>
      </c>
      <c r="C762" t="s">
        <v>113</v>
      </c>
      <c r="D762" t="s">
        <v>233</v>
      </c>
      <c r="E762" t="s">
        <v>154</v>
      </c>
      <c r="F762" t="s">
        <v>126</v>
      </c>
      <c r="G762" t="s">
        <v>1684</v>
      </c>
      <c r="I762">
        <v>1</v>
      </c>
    </row>
    <row r="763" spans="1:9" hidden="1">
      <c r="A763" t="s">
        <v>2443</v>
      </c>
      <c r="B763" t="s">
        <v>426</v>
      </c>
      <c r="C763" t="s">
        <v>233</v>
      </c>
      <c r="D763" t="s">
        <v>42</v>
      </c>
      <c r="E763" t="s">
        <v>263</v>
      </c>
      <c r="F763" t="s">
        <v>126</v>
      </c>
      <c r="G763" t="s">
        <v>2444</v>
      </c>
    </row>
    <row r="764" spans="1:9" hidden="1">
      <c r="A764" t="s">
        <v>2445</v>
      </c>
      <c r="B764" t="s">
        <v>591</v>
      </c>
      <c r="C764" t="s">
        <v>113</v>
      </c>
      <c r="D764" t="s">
        <v>233</v>
      </c>
      <c r="E764" t="s">
        <v>42</v>
      </c>
      <c r="F764" t="s">
        <v>126</v>
      </c>
      <c r="G764" t="s">
        <v>1765</v>
      </c>
      <c r="I764">
        <v>2</v>
      </c>
    </row>
    <row r="765" spans="1:9" hidden="1">
      <c r="A765" t="s">
        <v>2446</v>
      </c>
      <c r="B765" t="s">
        <v>744</v>
      </c>
      <c r="C765" t="s">
        <v>113</v>
      </c>
      <c r="D765" t="s">
        <v>42</v>
      </c>
      <c r="E765" t="s">
        <v>204</v>
      </c>
      <c r="F765" t="s">
        <v>126</v>
      </c>
      <c r="G765" t="s">
        <v>2447</v>
      </c>
    </row>
    <row r="766" spans="1:9" hidden="1">
      <c r="A766" t="s">
        <v>2448</v>
      </c>
      <c r="B766" t="s">
        <v>1173</v>
      </c>
      <c r="C766" t="s">
        <v>113</v>
      </c>
      <c r="D766" t="s">
        <v>42</v>
      </c>
      <c r="E766" t="s">
        <v>126</v>
      </c>
      <c r="F766" t="s">
        <v>126</v>
      </c>
      <c r="G766" t="s">
        <v>2449</v>
      </c>
    </row>
    <row r="767" spans="1:9" hidden="1">
      <c r="A767" t="s">
        <v>2450</v>
      </c>
      <c r="B767" t="s">
        <v>1362</v>
      </c>
      <c r="C767" t="s">
        <v>113</v>
      </c>
      <c r="D767" t="s">
        <v>154</v>
      </c>
      <c r="E767" t="s">
        <v>172</v>
      </c>
      <c r="F767" t="s">
        <v>126</v>
      </c>
      <c r="G767" t="s">
        <v>2061</v>
      </c>
      <c r="I767">
        <v>1</v>
      </c>
    </row>
    <row r="768" spans="1:9">
      <c r="A768" t="s">
        <v>2451</v>
      </c>
      <c r="B768" t="s">
        <v>2452</v>
      </c>
      <c r="C768" t="s">
        <v>125</v>
      </c>
      <c r="D768" t="s">
        <v>126</v>
      </c>
      <c r="E768" t="s">
        <v>126</v>
      </c>
      <c r="F768" t="s">
        <v>126</v>
      </c>
      <c r="G768" t="s">
        <v>1716</v>
      </c>
    </row>
    <row r="769" spans="1:9" hidden="1">
      <c r="A769" t="s">
        <v>2453</v>
      </c>
      <c r="B769" t="s">
        <v>573</v>
      </c>
      <c r="C769" t="s">
        <v>233</v>
      </c>
      <c r="D769" t="s">
        <v>117</v>
      </c>
      <c r="E769" t="s">
        <v>42</v>
      </c>
      <c r="F769" t="s">
        <v>126</v>
      </c>
      <c r="G769" t="s">
        <v>2334</v>
      </c>
      <c r="I769">
        <v>1</v>
      </c>
    </row>
    <row r="770" spans="1:9" hidden="1">
      <c r="A770" t="s">
        <v>2454</v>
      </c>
      <c r="B770" t="s">
        <v>693</v>
      </c>
      <c r="C770" t="s">
        <v>42</v>
      </c>
      <c r="D770" t="s">
        <v>256</v>
      </c>
      <c r="E770" t="s">
        <v>126</v>
      </c>
      <c r="F770" t="s">
        <v>126</v>
      </c>
      <c r="G770" t="s">
        <v>1966</v>
      </c>
    </row>
    <row r="771" spans="1:9" hidden="1">
      <c r="A771" t="s">
        <v>2103</v>
      </c>
      <c r="B771" t="s">
        <v>887</v>
      </c>
      <c r="C771" t="s">
        <v>233</v>
      </c>
      <c r="D771" t="s">
        <v>117</v>
      </c>
      <c r="E771" t="s">
        <v>126</v>
      </c>
      <c r="F771" t="s">
        <v>888</v>
      </c>
      <c r="G771" t="s">
        <v>1696</v>
      </c>
    </row>
    <row r="772" spans="1:9" hidden="1">
      <c r="A772" t="s">
        <v>2104</v>
      </c>
      <c r="B772" t="s">
        <v>1062</v>
      </c>
      <c r="C772" t="s">
        <v>113</v>
      </c>
      <c r="D772" t="s">
        <v>42</v>
      </c>
      <c r="E772" t="s">
        <v>160</v>
      </c>
      <c r="F772" t="s">
        <v>1063</v>
      </c>
      <c r="G772" t="s">
        <v>1680</v>
      </c>
      <c r="I772">
        <v>2</v>
      </c>
    </row>
    <row r="773" spans="1:9" hidden="1">
      <c r="A773" t="s">
        <v>2105</v>
      </c>
      <c r="B773" t="s">
        <v>112</v>
      </c>
      <c r="C773" t="s">
        <v>113</v>
      </c>
      <c r="D773" t="s">
        <v>44</v>
      </c>
      <c r="E773" t="s">
        <v>82</v>
      </c>
      <c r="F773" t="s">
        <v>114</v>
      </c>
      <c r="G773" t="s">
        <v>2106</v>
      </c>
      <c r="I773">
        <v>1</v>
      </c>
    </row>
    <row r="774" spans="1:9" hidden="1">
      <c r="A774" t="s">
        <v>2107</v>
      </c>
      <c r="B774" t="s">
        <v>411</v>
      </c>
      <c r="C774" t="s">
        <v>113</v>
      </c>
      <c r="D774" t="s">
        <v>139</v>
      </c>
      <c r="E774" t="s">
        <v>82</v>
      </c>
      <c r="F774" t="s">
        <v>126</v>
      </c>
      <c r="G774" t="s">
        <v>2108</v>
      </c>
    </row>
    <row r="775" spans="1:9" hidden="1">
      <c r="A775" t="s">
        <v>2109</v>
      </c>
      <c r="B775" t="s">
        <v>685</v>
      </c>
      <c r="C775" t="s">
        <v>139</v>
      </c>
      <c r="D775" t="s">
        <v>135</v>
      </c>
      <c r="E775" t="s">
        <v>136</v>
      </c>
      <c r="F775" t="s">
        <v>686</v>
      </c>
      <c r="G775" t="s">
        <v>1706</v>
      </c>
      <c r="I775">
        <v>3</v>
      </c>
    </row>
    <row r="776" spans="1:9" hidden="1">
      <c r="A776" t="s">
        <v>2110</v>
      </c>
      <c r="B776" t="s">
        <v>259</v>
      </c>
      <c r="C776" t="s">
        <v>113</v>
      </c>
      <c r="D776" t="s">
        <v>139</v>
      </c>
      <c r="E776" t="s">
        <v>209</v>
      </c>
      <c r="F776" t="s">
        <v>260</v>
      </c>
      <c r="G776" t="s">
        <v>2111</v>
      </c>
      <c r="I776">
        <v>1</v>
      </c>
    </row>
    <row r="777" spans="1:9" hidden="1">
      <c r="A777" t="s">
        <v>2112</v>
      </c>
      <c r="B777" t="s">
        <v>306</v>
      </c>
      <c r="C777" t="s">
        <v>113</v>
      </c>
      <c r="D777" t="s">
        <v>82</v>
      </c>
      <c r="E777" t="s">
        <v>208</v>
      </c>
      <c r="F777" t="s">
        <v>307</v>
      </c>
      <c r="G777" t="s">
        <v>2113</v>
      </c>
      <c r="I777">
        <v>2</v>
      </c>
    </row>
    <row r="778" spans="1:9" hidden="1">
      <c r="A778" t="s">
        <v>2114</v>
      </c>
      <c r="B778" t="s">
        <v>672</v>
      </c>
      <c r="C778" t="s">
        <v>113</v>
      </c>
      <c r="D778" t="s">
        <v>139</v>
      </c>
      <c r="E778" t="s">
        <v>233</v>
      </c>
      <c r="F778" t="s">
        <v>673</v>
      </c>
      <c r="G778" t="s">
        <v>2115</v>
      </c>
      <c r="I778">
        <v>4</v>
      </c>
    </row>
    <row r="779" spans="1:9" hidden="1">
      <c r="A779" t="s">
        <v>2116</v>
      </c>
      <c r="B779" t="s">
        <v>924</v>
      </c>
      <c r="C779" t="s">
        <v>113</v>
      </c>
      <c r="D779" t="s">
        <v>42</v>
      </c>
      <c r="E779" t="s">
        <v>213</v>
      </c>
      <c r="F779" t="s">
        <v>126</v>
      </c>
      <c r="G779" t="s">
        <v>2117</v>
      </c>
    </row>
    <row r="780" spans="1:9" hidden="1">
      <c r="A780" t="s">
        <v>2118</v>
      </c>
      <c r="B780" t="s">
        <v>1181</v>
      </c>
      <c r="C780" t="s">
        <v>113</v>
      </c>
      <c r="D780" t="s">
        <v>139</v>
      </c>
      <c r="E780" t="s">
        <v>126</v>
      </c>
      <c r="F780" t="s">
        <v>126</v>
      </c>
      <c r="G780" t="s">
        <v>2119</v>
      </c>
    </row>
    <row r="781" spans="1:9" hidden="1">
      <c r="A781" t="s">
        <v>2120</v>
      </c>
      <c r="B781" t="s">
        <v>968</v>
      </c>
      <c r="C781" t="s">
        <v>233</v>
      </c>
      <c r="D781" t="s">
        <v>42</v>
      </c>
      <c r="E781" t="s">
        <v>126</v>
      </c>
      <c r="F781" t="s">
        <v>126</v>
      </c>
      <c r="G781" t="s">
        <v>2121</v>
      </c>
    </row>
    <row r="782" spans="1:9" hidden="1">
      <c r="A782" t="s">
        <v>2122</v>
      </c>
      <c r="B782" t="s">
        <v>134</v>
      </c>
      <c r="C782" t="s">
        <v>117</v>
      </c>
      <c r="D782" t="s">
        <v>135</v>
      </c>
      <c r="E782" t="s">
        <v>136</v>
      </c>
      <c r="F782" t="s">
        <v>126</v>
      </c>
      <c r="G782" t="s">
        <v>2123</v>
      </c>
      <c r="I782">
        <v>1</v>
      </c>
    </row>
    <row r="783" spans="1:9" hidden="1">
      <c r="A783" t="s">
        <v>2124</v>
      </c>
      <c r="B783" t="s">
        <v>615</v>
      </c>
      <c r="C783" t="s">
        <v>113</v>
      </c>
      <c r="D783" t="s">
        <v>117</v>
      </c>
      <c r="E783" t="s">
        <v>155</v>
      </c>
      <c r="F783" t="s">
        <v>616</v>
      </c>
      <c r="G783" t="s">
        <v>1992</v>
      </c>
      <c r="I783">
        <v>2</v>
      </c>
    </row>
    <row r="784" spans="1:9" hidden="1">
      <c r="A784" t="s">
        <v>2125</v>
      </c>
      <c r="B784" t="s">
        <v>1276</v>
      </c>
      <c r="C784" t="s">
        <v>113</v>
      </c>
      <c r="D784" t="s">
        <v>139</v>
      </c>
      <c r="E784" t="s">
        <v>136</v>
      </c>
      <c r="F784" t="s">
        <v>126</v>
      </c>
      <c r="G784" t="s">
        <v>2035</v>
      </c>
      <c r="I784">
        <v>1</v>
      </c>
    </row>
    <row r="785" spans="1:9" hidden="1">
      <c r="A785" t="s">
        <v>2126</v>
      </c>
      <c r="B785" t="s">
        <v>1418</v>
      </c>
      <c r="C785" t="s">
        <v>117</v>
      </c>
      <c r="D785" t="s">
        <v>154</v>
      </c>
      <c r="E785" t="s">
        <v>209</v>
      </c>
      <c r="F785" t="s">
        <v>1419</v>
      </c>
      <c r="G785" t="s">
        <v>2127</v>
      </c>
      <c r="I785">
        <v>3</v>
      </c>
    </row>
    <row r="786" spans="1:9">
      <c r="A786" t="s">
        <v>2128</v>
      </c>
      <c r="B786" t="s">
        <v>2129</v>
      </c>
      <c r="C786" t="s">
        <v>113</v>
      </c>
      <c r="D786" t="s">
        <v>160</v>
      </c>
      <c r="E786" t="s">
        <v>191</v>
      </c>
      <c r="F786" t="s">
        <v>2130</v>
      </c>
      <c r="G786" t="s">
        <v>2131</v>
      </c>
    </row>
    <row r="787" spans="1:9">
      <c r="A787" t="s">
        <v>2132</v>
      </c>
      <c r="B787" t="s">
        <v>2133</v>
      </c>
      <c r="C787" t="s">
        <v>233</v>
      </c>
      <c r="D787" t="s">
        <v>42</v>
      </c>
      <c r="E787" t="s">
        <v>126</v>
      </c>
      <c r="F787" t="s">
        <v>126</v>
      </c>
      <c r="G787" t="s">
        <v>1698</v>
      </c>
    </row>
    <row r="788" spans="1:9" hidden="1">
      <c r="A788" t="s">
        <v>2134</v>
      </c>
      <c r="B788" t="s">
        <v>138</v>
      </c>
      <c r="C788" t="s">
        <v>113</v>
      </c>
      <c r="D788" t="s">
        <v>139</v>
      </c>
      <c r="E788" t="s">
        <v>65</v>
      </c>
      <c r="F788" t="s">
        <v>140</v>
      </c>
      <c r="G788" t="s">
        <v>2135</v>
      </c>
      <c r="I788">
        <v>1</v>
      </c>
    </row>
    <row r="789" spans="1:9">
      <c r="A789" t="s">
        <v>2136</v>
      </c>
      <c r="B789" t="s">
        <v>2137</v>
      </c>
      <c r="C789" t="s">
        <v>233</v>
      </c>
      <c r="D789" t="s">
        <v>44</v>
      </c>
      <c r="E789" t="s">
        <v>126</v>
      </c>
      <c r="F789" t="s">
        <v>2138</v>
      </c>
      <c r="G789" t="s">
        <v>2041</v>
      </c>
    </row>
    <row r="790" spans="1:9" hidden="1">
      <c r="A790" t="s">
        <v>2139</v>
      </c>
      <c r="B790" t="s">
        <v>382</v>
      </c>
      <c r="C790" t="s">
        <v>117</v>
      </c>
      <c r="D790" t="s">
        <v>42</v>
      </c>
      <c r="E790" t="s">
        <v>126</v>
      </c>
      <c r="F790" t="s">
        <v>126</v>
      </c>
      <c r="G790" t="s">
        <v>2140</v>
      </c>
    </row>
    <row r="791" spans="1:9" hidden="1">
      <c r="A791" t="s">
        <v>2141</v>
      </c>
      <c r="B791" t="s">
        <v>1080</v>
      </c>
      <c r="C791" t="s">
        <v>113</v>
      </c>
      <c r="D791" t="s">
        <v>154</v>
      </c>
      <c r="E791" t="s">
        <v>1081</v>
      </c>
      <c r="F791" t="s">
        <v>1082</v>
      </c>
      <c r="G791" t="s">
        <v>1733</v>
      </c>
    </row>
    <row r="792" spans="1:9" hidden="1">
      <c r="A792" t="s">
        <v>2142</v>
      </c>
      <c r="B792" t="s">
        <v>291</v>
      </c>
      <c r="C792" t="s">
        <v>117</v>
      </c>
      <c r="D792" t="s">
        <v>44</v>
      </c>
      <c r="E792" t="s">
        <v>160</v>
      </c>
      <c r="F792" t="s">
        <v>126</v>
      </c>
      <c r="G792" t="s">
        <v>2059</v>
      </c>
      <c r="I792">
        <v>1</v>
      </c>
    </row>
    <row r="793" spans="1:9">
      <c r="A793" t="s">
        <v>2143</v>
      </c>
      <c r="B793" t="s">
        <v>2144</v>
      </c>
      <c r="C793" t="s">
        <v>125</v>
      </c>
      <c r="D793" t="s">
        <v>126</v>
      </c>
      <c r="E793" t="s">
        <v>126</v>
      </c>
      <c r="F793" t="s">
        <v>2145</v>
      </c>
      <c r="G793" t="s">
        <v>2069</v>
      </c>
    </row>
    <row r="794" spans="1:9" hidden="1">
      <c r="A794" t="s">
        <v>2146</v>
      </c>
      <c r="B794" t="s">
        <v>187</v>
      </c>
      <c r="C794" t="s">
        <v>117</v>
      </c>
      <c r="D794" t="s">
        <v>160</v>
      </c>
      <c r="E794" t="s">
        <v>84</v>
      </c>
      <c r="F794" t="s">
        <v>188</v>
      </c>
      <c r="G794" t="s">
        <v>2147</v>
      </c>
    </row>
    <row r="795" spans="1:9">
      <c r="A795" t="s">
        <v>2148</v>
      </c>
      <c r="B795" t="s">
        <v>2149</v>
      </c>
      <c r="C795" t="s">
        <v>113</v>
      </c>
      <c r="D795" t="s">
        <v>1027</v>
      </c>
      <c r="E795" t="s">
        <v>126</v>
      </c>
      <c r="F795" t="s">
        <v>126</v>
      </c>
      <c r="G795" t="s">
        <v>2150</v>
      </c>
    </row>
    <row r="796" spans="1:9" hidden="1">
      <c r="A796" t="s">
        <v>2151</v>
      </c>
      <c r="B796" t="s">
        <v>522</v>
      </c>
      <c r="C796" t="s">
        <v>113</v>
      </c>
      <c r="D796" t="s">
        <v>42</v>
      </c>
      <c r="E796" t="s">
        <v>204</v>
      </c>
      <c r="F796" t="s">
        <v>523</v>
      </c>
      <c r="G796" t="s">
        <v>2051</v>
      </c>
    </row>
    <row r="797" spans="1:9">
      <c r="A797" t="s">
        <v>2152</v>
      </c>
      <c r="B797" t="s">
        <v>2153</v>
      </c>
      <c r="C797" t="s">
        <v>125</v>
      </c>
      <c r="D797" t="s">
        <v>126</v>
      </c>
      <c r="E797" t="s">
        <v>126</v>
      </c>
      <c r="F797" t="s">
        <v>126</v>
      </c>
      <c r="G797" t="s">
        <v>2041</v>
      </c>
    </row>
    <row r="798" spans="1:9" hidden="1">
      <c r="A798" t="s">
        <v>2154</v>
      </c>
      <c r="B798" t="s">
        <v>416</v>
      </c>
      <c r="C798" t="s">
        <v>272</v>
      </c>
      <c r="D798" t="s">
        <v>117</v>
      </c>
      <c r="E798" t="s">
        <v>147</v>
      </c>
      <c r="F798" t="s">
        <v>126</v>
      </c>
      <c r="G798" t="s">
        <v>2155</v>
      </c>
    </row>
    <row r="799" spans="1:9">
      <c r="A799" t="s">
        <v>2156</v>
      </c>
      <c r="B799" t="s">
        <v>2157</v>
      </c>
      <c r="C799" t="s">
        <v>139</v>
      </c>
      <c r="D799" t="s">
        <v>117</v>
      </c>
      <c r="E799" t="s">
        <v>126</v>
      </c>
      <c r="F799" t="s">
        <v>2158</v>
      </c>
      <c r="G799" t="s">
        <v>1714</v>
      </c>
    </row>
    <row r="800" spans="1:9" hidden="1">
      <c r="A800" t="s">
        <v>2159</v>
      </c>
      <c r="B800" t="s">
        <v>982</v>
      </c>
      <c r="C800" t="s">
        <v>113</v>
      </c>
      <c r="D800" t="s">
        <v>154</v>
      </c>
      <c r="E800" t="s">
        <v>155</v>
      </c>
      <c r="F800" t="s">
        <v>126</v>
      </c>
      <c r="G800" t="s">
        <v>2160</v>
      </c>
      <c r="I800">
        <v>2</v>
      </c>
    </row>
    <row r="801" spans="1:9">
      <c r="A801" t="s">
        <v>2161</v>
      </c>
      <c r="B801" t="s">
        <v>2162</v>
      </c>
      <c r="C801" t="s">
        <v>125</v>
      </c>
      <c r="D801" t="s">
        <v>126</v>
      </c>
      <c r="E801" t="s">
        <v>126</v>
      </c>
      <c r="F801" t="s">
        <v>2163</v>
      </c>
      <c r="G801" t="s">
        <v>2164</v>
      </c>
    </row>
    <row r="802" spans="1:9" hidden="1">
      <c r="A802" t="s">
        <v>2165</v>
      </c>
      <c r="B802" t="s">
        <v>1305</v>
      </c>
      <c r="C802" t="s">
        <v>272</v>
      </c>
      <c r="D802" t="s">
        <v>117</v>
      </c>
      <c r="E802" t="s">
        <v>126</v>
      </c>
      <c r="F802" t="s">
        <v>126</v>
      </c>
      <c r="G802" t="s">
        <v>1859</v>
      </c>
    </row>
    <row r="803" spans="1:9">
      <c r="A803" t="s">
        <v>2166</v>
      </c>
      <c r="B803" t="s">
        <v>2167</v>
      </c>
      <c r="C803" t="s">
        <v>180</v>
      </c>
      <c r="D803" t="s">
        <v>121</v>
      </c>
      <c r="E803" t="s">
        <v>184</v>
      </c>
      <c r="F803" t="s">
        <v>2168</v>
      </c>
      <c r="G803" t="s">
        <v>2111</v>
      </c>
      <c r="I803">
        <v>1</v>
      </c>
    </row>
    <row r="804" spans="1:9" hidden="1">
      <c r="A804" t="s">
        <v>2169</v>
      </c>
      <c r="B804" t="s">
        <v>1339</v>
      </c>
      <c r="C804" t="s">
        <v>139</v>
      </c>
      <c r="D804" t="s">
        <v>160</v>
      </c>
      <c r="E804" t="s">
        <v>155</v>
      </c>
      <c r="F804" t="s">
        <v>126</v>
      </c>
      <c r="G804" t="s">
        <v>1674</v>
      </c>
      <c r="I804">
        <v>1</v>
      </c>
    </row>
    <row r="805" spans="1:9" hidden="1">
      <c r="A805" t="s">
        <v>2170</v>
      </c>
      <c r="B805" t="s">
        <v>793</v>
      </c>
      <c r="C805" t="s">
        <v>113</v>
      </c>
      <c r="D805" t="s">
        <v>139</v>
      </c>
      <c r="E805" t="s">
        <v>117</v>
      </c>
      <c r="F805" t="s">
        <v>794</v>
      </c>
      <c r="G805" t="s">
        <v>2171</v>
      </c>
      <c r="I805">
        <v>2</v>
      </c>
    </row>
    <row r="806" spans="1:9">
      <c r="A806" t="s">
        <v>2172</v>
      </c>
      <c r="B806" t="s">
        <v>2173</v>
      </c>
      <c r="C806" t="s">
        <v>233</v>
      </c>
      <c r="D806" t="s">
        <v>63</v>
      </c>
      <c r="E806" t="s">
        <v>172</v>
      </c>
      <c r="F806" t="s">
        <v>2174</v>
      </c>
      <c r="G806" t="s">
        <v>2175</v>
      </c>
      <c r="I806">
        <v>1</v>
      </c>
    </row>
    <row r="807" spans="1:9" hidden="1">
      <c r="A807" t="s">
        <v>2176</v>
      </c>
      <c r="B807" t="s">
        <v>442</v>
      </c>
      <c r="C807" t="s">
        <v>113</v>
      </c>
      <c r="D807" t="s">
        <v>154</v>
      </c>
      <c r="E807" t="s">
        <v>204</v>
      </c>
      <c r="F807" t="s">
        <v>443</v>
      </c>
      <c r="G807" t="s">
        <v>2177</v>
      </c>
    </row>
    <row r="808" spans="1:9" hidden="1">
      <c r="A808" t="s">
        <v>2178</v>
      </c>
      <c r="B808" t="s">
        <v>477</v>
      </c>
      <c r="C808" t="s">
        <v>136</v>
      </c>
      <c r="D808" t="s">
        <v>121</v>
      </c>
      <c r="E808" t="s">
        <v>143</v>
      </c>
      <c r="F808" t="s">
        <v>478</v>
      </c>
      <c r="G808" t="s">
        <v>2179</v>
      </c>
    </row>
    <row r="809" spans="1:9">
      <c r="A809" t="s">
        <v>2180</v>
      </c>
      <c r="B809" t="s">
        <v>2181</v>
      </c>
      <c r="C809" t="s">
        <v>125</v>
      </c>
      <c r="D809" t="s">
        <v>126</v>
      </c>
      <c r="E809" t="s">
        <v>126</v>
      </c>
      <c r="F809" t="s">
        <v>2182</v>
      </c>
      <c r="G809" t="s">
        <v>2183</v>
      </c>
    </row>
    <row r="810" spans="1:9">
      <c r="A810" t="s">
        <v>2184</v>
      </c>
      <c r="B810" t="s">
        <v>2185</v>
      </c>
      <c r="C810" t="s">
        <v>113</v>
      </c>
      <c r="D810" t="s">
        <v>233</v>
      </c>
      <c r="E810" t="s">
        <v>63</v>
      </c>
      <c r="F810" t="s">
        <v>2186</v>
      </c>
      <c r="G810" t="s">
        <v>2187</v>
      </c>
      <c r="I810">
        <v>1</v>
      </c>
    </row>
    <row r="811" spans="1:9" hidden="1">
      <c r="A811" t="s">
        <v>2188</v>
      </c>
      <c r="B811" t="s">
        <v>239</v>
      </c>
      <c r="C811" t="s">
        <v>136</v>
      </c>
      <c r="D811" t="s">
        <v>176</v>
      </c>
      <c r="E811" t="s">
        <v>204</v>
      </c>
      <c r="F811" t="s">
        <v>240</v>
      </c>
      <c r="G811" t="s">
        <v>2189</v>
      </c>
    </row>
    <row r="812" spans="1:9" hidden="1">
      <c r="A812" t="s">
        <v>2190</v>
      </c>
      <c r="B812" t="s">
        <v>332</v>
      </c>
      <c r="C812" t="s">
        <v>43</v>
      </c>
      <c r="D812" t="s">
        <v>155</v>
      </c>
      <c r="E812" t="s">
        <v>126</v>
      </c>
      <c r="F812" t="s">
        <v>126</v>
      </c>
      <c r="G812" t="s">
        <v>2191</v>
      </c>
    </row>
    <row r="813" spans="1:9" hidden="1">
      <c r="A813" t="s">
        <v>2192</v>
      </c>
      <c r="B813" t="s">
        <v>675</v>
      </c>
      <c r="C813" t="s">
        <v>113</v>
      </c>
      <c r="D813" t="s">
        <v>176</v>
      </c>
      <c r="E813" t="s">
        <v>65</v>
      </c>
      <c r="F813" t="s">
        <v>126</v>
      </c>
      <c r="G813" t="s">
        <v>2115</v>
      </c>
    </row>
    <row r="814" spans="1:9">
      <c r="A814" t="s">
        <v>2193</v>
      </c>
      <c r="B814" t="s">
        <v>2194</v>
      </c>
      <c r="C814" t="s">
        <v>117</v>
      </c>
      <c r="D814" t="s">
        <v>42</v>
      </c>
      <c r="E814" t="s">
        <v>126</v>
      </c>
      <c r="F814" t="s">
        <v>2195</v>
      </c>
      <c r="G814" t="s">
        <v>1927</v>
      </c>
    </row>
    <row r="815" spans="1:9" hidden="1">
      <c r="A815" t="s">
        <v>2196</v>
      </c>
      <c r="B815" t="s">
        <v>343</v>
      </c>
      <c r="C815" t="s">
        <v>42</v>
      </c>
      <c r="D815" t="s">
        <v>126</v>
      </c>
      <c r="E815" t="s">
        <v>126</v>
      </c>
      <c r="F815" t="s">
        <v>344</v>
      </c>
      <c r="G815" t="s">
        <v>2197</v>
      </c>
    </row>
    <row r="816" spans="1:9" hidden="1">
      <c r="A816" t="s">
        <v>2198</v>
      </c>
      <c r="B816" t="s">
        <v>701</v>
      </c>
      <c r="C816" t="s">
        <v>113</v>
      </c>
      <c r="D816" t="s">
        <v>42</v>
      </c>
      <c r="E816" t="s">
        <v>126</v>
      </c>
      <c r="F816" t="s">
        <v>126</v>
      </c>
      <c r="G816" t="s">
        <v>1959</v>
      </c>
    </row>
    <row r="817" spans="1:9" hidden="1">
      <c r="A817" t="s">
        <v>2199</v>
      </c>
      <c r="B817" t="s">
        <v>1194</v>
      </c>
      <c r="C817" t="s">
        <v>113</v>
      </c>
      <c r="D817" t="s">
        <v>139</v>
      </c>
      <c r="E817" t="s">
        <v>126</v>
      </c>
      <c r="F817" t="s">
        <v>126</v>
      </c>
      <c r="G817" t="s">
        <v>2200</v>
      </c>
    </row>
    <row r="818" spans="1:9">
      <c r="A818" t="s">
        <v>2201</v>
      </c>
      <c r="B818" t="s">
        <v>2202</v>
      </c>
      <c r="C818" t="s">
        <v>125</v>
      </c>
      <c r="D818" t="s">
        <v>126</v>
      </c>
      <c r="E818" t="s">
        <v>126</v>
      </c>
      <c r="F818" t="s">
        <v>126</v>
      </c>
      <c r="G818" t="s">
        <v>1821</v>
      </c>
    </row>
    <row r="819" spans="1:9">
      <c r="A819" t="s">
        <v>2203</v>
      </c>
      <c r="B819" t="s">
        <v>2204</v>
      </c>
      <c r="C819" t="s">
        <v>113</v>
      </c>
      <c r="D819" t="s">
        <v>154</v>
      </c>
      <c r="E819" t="s">
        <v>126</v>
      </c>
      <c r="F819" t="s">
        <v>2205</v>
      </c>
      <c r="G819" t="s">
        <v>2206</v>
      </c>
    </row>
    <row r="820" spans="1:9" hidden="1">
      <c r="A820" t="s">
        <v>2207</v>
      </c>
      <c r="B820" t="s">
        <v>546</v>
      </c>
      <c r="C820" t="s">
        <v>113</v>
      </c>
      <c r="D820" t="s">
        <v>154</v>
      </c>
      <c r="E820" t="s">
        <v>204</v>
      </c>
      <c r="F820" t="s">
        <v>547</v>
      </c>
      <c r="G820" t="s">
        <v>2208</v>
      </c>
    </row>
    <row r="821" spans="1:9" hidden="1">
      <c r="A821" t="s">
        <v>2209</v>
      </c>
      <c r="B821" t="s">
        <v>553</v>
      </c>
      <c r="C821" t="s">
        <v>44</v>
      </c>
      <c r="D821" t="s">
        <v>126</v>
      </c>
      <c r="E821" t="s">
        <v>126</v>
      </c>
      <c r="F821" t="s">
        <v>126</v>
      </c>
      <c r="G821" t="s">
        <v>1973</v>
      </c>
    </row>
    <row r="822" spans="1:9">
      <c r="A822" t="s">
        <v>2210</v>
      </c>
      <c r="B822" t="s">
        <v>2211</v>
      </c>
      <c r="C822" t="s">
        <v>113</v>
      </c>
      <c r="D822" t="s">
        <v>42</v>
      </c>
      <c r="E822" t="s">
        <v>126</v>
      </c>
      <c r="F822" t="s">
        <v>126</v>
      </c>
      <c r="G822" t="s">
        <v>1698</v>
      </c>
    </row>
    <row r="823" spans="1:9" hidden="1">
      <c r="A823" t="s">
        <v>2212</v>
      </c>
      <c r="B823" t="s">
        <v>363</v>
      </c>
      <c r="C823" t="s">
        <v>113</v>
      </c>
      <c r="D823" t="s">
        <v>233</v>
      </c>
      <c r="E823" t="s">
        <v>58</v>
      </c>
      <c r="F823" t="s">
        <v>126</v>
      </c>
      <c r="G823" t="s">
        <v>2213</v>
      </c>
    </row>
    <row r="824" spans="1:9" hidden="1">
      <c r="A824" t="s">
        <v>2214</v>
      </c>
      <c r="B824" t="s">
        <v>116</v>
      </c>
      <c r="C824" t="s">
        <v>113</v>
      </c>
      <c r="D824" t="s">
        <v>117</v>
      </c>
      <c r="E824" t="s">
        <v>42</v>
      </c>
      <c r="F824" t="s">
        <v>118</v>
      </c>
      <c r="G824" t="s">
        <v>2215</v>
      </c>
      <c r="I824">
        <v>3</v>
      </c>
    </row>
    <row r="825" spans="1:9">
      <c r="A825" t="s">
        <v>2216</v>
      </c>
      <c r="B825" t="s">
        <v>2217</v>
      </c>
      <c r="C825" t="s">
        <v>233</v>
      </c>
      <c r="D825" t="s">
        <v>42</v>
      </c>
      <c r="E825" t="s">
        <v>126</v>
      </c>
      <c r="F825" t="s">
        <v>2218</v>
      </c>
      <c r="G825" t="s">
        <v>1759</v>
      </c>
    </row>
    <row r="826" spans="1:9" hidden="1">
      <c r="A826" t="s">
        <v>2219</v>
      </c>
      <c r="B826" t="s">
        <v>722</v>
      </c>
      <c r="C826" t="s">
        <v>113</v>
      </c>
      <c r="D826" t="s">
        <v>176</v>
      </c>
      <c r="E826" t="s">
        <v>204</v>
      </c>
      <c r="F826" t="s">
        <v>126</v>
      </c>
      <c r="G826" t="s">
        <v>1940</v>
      </c>
    </row>
    <row r="827" spans="1:9" hidden="1">
      <c r="A827" t="s">
        <v>2220</v>
      </c>
      <c r="B827" t="s">
        <v>679</v>
      </c>
      <c r="C827" t="s">
        <v>42</v>
      </c>
      <c r="D827" t="s">
        <v>126</v>
      </c>
      <c r="E827" t="s">
        <v>126</v>
      </c>
      <c r="F827" t="s">
        <v>680</v>
      </c>
      <c r="G827" t="s">
        <v>1890</v>
      </c>
    </row>
    <row r="828" spans="1:9">
      <c r="A828" t="s">
        <v>2221</v>
      </c>
      <c r="B828" t="s">
        <v>2222</v>
      </c>
      <c r="C828" t="s">
        <v>113</v>
      </c>
      <c r="D828" t="s">
        <v>511</v>
      </c>
      <c r="E828" t="s">
        <v>1081</v>
      </c>
      <c r="F828" t="s">
        <v>2223</v>
      </c>
      <c r="G828" t="s">
        <v>2224</v>
      </c>
    </row>
    <row r="829" spans="1:9" hidden="1">
      <c r="A829" t="s">
        <v>2225</v>
      </c>
      <c r="B829" t="s">
        <v>346</v>
      </c>
      <c r="C829" t="s">
        <v>117</v>
      </c>
      <c r="D829" t="s">
        <v>42</v>
      </c>
      <c r="E829" t="s">
        <v>126</v>
      </c>
      <c r="F829" t="s">
        <v>126</v>
      </c>
      <c r="G829" t="s">
        <v>2226</v>
      </c>
    </row>
    <row r="830" spans="1:9" hidden="1">
      <c r="A830" t="s">
        <v>2227</v>
      </c>
      <c r="B830" t="s">
        <v>150</v>
      </c>
      <c r="C830" t="s">
        <v>113</v>
      </c>
      <c r="D830" t="s">
        <v>139</v>
      </c>
      <c r="E830" t="s">
        <v>82</v>
      </c>
      <c r="F830" t="s">
        <v>151</v>
      </c>
      <c r="G830" t="s">
        <v>2006</v>
      </c>
      <c r="I830">
        <v>2</v>
      </c>
    </row>
    <row r="831" spans="1:9" hidden="1">
      <c r="A831" t="s">
        <v>2228</v>
      </c>
      <c r="B831" t="s">
        <v>278</v>
      </c>
      <c r="C831" t="s">
        <v>113</v>
      </c>
      <c r="D831" t="s">
        <v>42</v>
      </c>
      <c r="E831" t="s">
        <v>65</v>
      </c>
      <c r="F831" t="s">
        <v>279</v>
      </c>
      <c r="G831" t="s">
        <v>1682</v>
      </c>
    </row>
    <row r="832" spans="1:9" hidden="1">
      <c r="A832" t="s">
        <v>2229</v>
      </c>
      <c r="B832" t="s">
        <v>852</v>
      </c>
      <c r="C832" t="s">
        <v>113</v>
      </c>
      <c r="D832" t="s">
        <v>176</v>
      </c>
      <c r="E832" t="s">
        <v>65</v>
      </c>
      <c r="F832" t="s">
        <v>853</v>
      </c>
      <c r="G832" t="s">
        <v>2031</v>
      </c>
    </row>
    <row r="833" spans="1:9" hidden="1">
      <c r="A833" t="s">
        <v>2230</v>
      </c>
      <c r="B833" t="s">
        <v>454</v>
      </c>
      <c r="C833" t="s">
        <v>113</v>
      </c>
      <c r="D833" t="s">
        <v>176</v>
      </c>
      <c r="E833" t="s">
        <v>121</v>
      </c>
      <c r="F833" t="s">
        <v>126</v>
      </c>
      <c r="G833" t="s">
        <v>2164</v>
      </c>
    </row>
    <row r="834" spans="1:9" hidden="1">
      <c r="A834" t="s">
        <v>2231</v>
      </c>
      <c r="B834" t="s">
        <v>1054</v>
      </c>
      <c r="C834" t="s">
        <v>113</v>
      </c>
      <c r="D834" t="s">
        <v>42</v>
      </c>
      <c r="E834" t="s">
        <v>65</v>
      </c>
      <c r="F834" t="s">
        <v>126</v>
      </c>
      <c r="G834" t="s">
        <v>2232</v>
      </c>
    </row>
    <row r="835" spans="1:9" hidden="1">
      <c r="A835" t="s">
        <v>2233</v>
      </c>
      <c r="B835" t="s">
        <v>1295</v>
      </c>
      <c r="C835" t="s">
        <v>113</v>
      </c>
      <c r="D835" t="s">
        <v>233</v>
      </c>
      <c r="E835" t="s">
        <v>117</v>
      </c>
      <c r="F835" t="s">
        <v>126</v>
      </c>
      <c r="G835" t="s">
        <v>1816</v>
      </c>
      <c r="I835">
        <v>1</v>
      </c>
    </row>
    <row r="836" spans="1:9" hidden="1">
      <c r="A836" t="s">
        <v>2234</v>
      </c>
      <c r="B836" t="s">
        <v>162</v>
      </c>
      <c r="C836" t="s">
        <v>117</v>
      </c>
      <c r="D836" t="s">
        <v>42</v>
      </c>
      <c r="E836" t="s">
        <v>126</v>
      </c>
      <c r="F836" t="s">
        <v>163</v>
      </c>
      <c r="G836" t="s">
        <v>2235</v>
      </c>
    </row>
    <row r="837" spans="1:9" hidden="1">
      <c r="A837" t="s">
        <v>2236</v>
      </c>
      <c r="B837" t="s">
        <v>646</v>
      </c>
      <c r="C837" t="s">
        <v>117</v>
      </c>
      <c r="D837" t="s">
        <v>67</v>
      </c>
      <c r="E837" t="s">
        <v>647</v>
      </c>
      <c r="F837" t="s">
        <v>126</v>
      </c>
      <c r="G837" t="s">
        <v>2237</v>
      </c>
      <c r="I837">
        <v>1</v>
      </c>
    </row>
    <row r="838" spans="1:9" hidden="1">
      <c r="A838" t="s">
        <v>2238</v>
      </c>
      <c r="B838" t="s">
        <v>406</v>
      </c>
      <c r="C838" t="s">
        <v>117</v>
      </c>
      <c r="D838" t="s">
        <v>42</v>
      </c>
      <c r="E838" t="s">
        <v>126</v>
      </c>
      <c r="F838" t="s">
        <v>126</v>
      </c>
      <c r="G838" t="s">
        <v>2239</v>
      </c>
    </row>
    <row r="839" spans="1:9" hidden="1">
      <c r="A839" t="s">
        <v>2240</v>
      </c>
      <c r="B839" t="s">
        <v>664</v>
      </c>
      <c r="C839" t="s">
        <v>113</v>
      </c>
      <c r="D839" t="s">
        <v>42</v>
      </c>
      <c r="E839" t="s">
        <v>63</v>
      </c>
      <c r="F839" t="s">
        <v>665</v>
      </c>
      <c r="G839" t="s">
        <v>2069</v>
      </c>
    </row>
    <row r="840" spans="1:9" hidden="1">
      <c r="A840" t="s">
        <v>2241</v>
      </c>
      <c r="B840" t="s">
        <v>980</v>
      </c>
      <c r="C840" t="s">
        <v>113</v>
      </c>
      <c r="D840" t="s">
        <v>233</v>
      </c>
      <c r="E840" t="s">
        <v>63</v>
      </c>
      <c r="F840" t="s">
        <v>126</v>
      </c>
      <c r="G840" t="s">
        <v>1745</v>
      </c>
    </row>
    <row r="841" spans="1:9" hidden="1">
      <c r="A841" t="s">
        <v>2242</v>
      </c>
      <c r="B841" t="s">
        <v>386</v>
      </c>
      <c r="C841" t="s">
        <v>113</v>
      </c>
      <c r="D841" t="s">
        <v>42</v>
      </c>
      <c r="E841" t="s">
        <v>126</v>
      </c>
      <c r="F841" t="s">
        <v>387</v>
      </c>
      <c r="G841" t="s">
        <v>2243</v>
      </c>
    </row>
    <row r="842" spans="1:9">
      <c r="A842" t="s">
        <v>2244</v>
      </c>
      <c r="B842" t="s">
        <v>2245</v>
      </c>
      <c r="C842" t="s">
        <v>125</v>
      </c>
      <c r="D842" t="s">
        <v>126</v>
      </c>
      <c r="E842" t="s">
        <v>126</v>
      </c>
      <c r="F842" t="s">
        <v>126</v>
      </c>
      <c r="G842" t="s">
        <v>1912</v>
      </c>
    </row>
    <row r="843" spans="1:9" hidden="1">
      <c r="A843" t="s">
        <v>2246</v>
      </c>
      <c r="B843" t="s">
        <v>283</v>
      </c>
      <c r="C843" t="s">
        <v>113</v>
      </c>
      <c r="D843" t="s">
        <v>42</v>
      </c>
      <c r="E843" t="s">
        <v>172</v>
      </c>
      <c r="F843" t="s">
        <v>126</v>
      </c>
      <c r="G843" t="s">
        <v>2247</v>
      </c>
    </row>
    <row r="844" spans="1:9" hidden="1">
      <c r="A844" t="s">
        <v>2248</v>
      </c>
      <c r="B844" t="s">
        <v>820</v>
      </c>
      <c r="C844" t="s">
        <v>113</v>
      </c>
      <c r="D844" t="s">
        <v>139</v>
      </c>
      <c r="E844" t="s">
        <v>176</v>
      </c>
      <c r="F844" t="s">
        <v>821</v>
      </c>
      <c r="G844" t="s">
        <v>1896</v>
      </c>
    </row>
    <row r="845" spans="1:9" hidden="1">
      <c r="A845" t="s">
        <v>2249</v>
      </c>
      <c r="B845" t="s">
        <v>640</v>
      </c>
      <c r="C845" t="s">
        <v>113</v>
      </c>
      <c r="D845" t="s">
        <v>42</v>
      </c>
      <c r="E845" t="s">
        <v>217</v>
      </c>
      <c r="F845" t="s">
        <v>126</v>
      </c>
      <c r="G845" t="s">
        <v>2018</v>
      </c>
    </row>
    <row r="846" spans="1:9" hidden="1">
      <c r="A846" t="s">
        <v>2250</v>
      </c>
      <c r="B846" t="s">
        <v>1227</v>
      </c>
      <c r="C846" t="s">
        <v>113</v>
      </c>
      <c r="D846" t="s">
        <v>184</v>
      </c>
      <c r="E846" t="s">
        <v>126</v>
      </c>
      <c r="F846" t="s">
        <v>1228</v>
      </c>
      <c r="G846" t="s">
        <v>2251</v>
      </c>
    </row>
    <row r="847" spans="1:9" hidden="1">
      <c r="A847" t="s">
        <v>2252</v>
      </c>
      <c r="B847" t="s">
        <v>262</v>
      </c>
      <c r="C847" t="s">
        <v>233</v>
      </c>
      <c r="D847" t="s">
        <v>42</v>
      </c>
      <c r="E847" t="s">
        <v>263</v>
      </c>
      <c r="F847" t="s">
        <v>264</v>
      </c>
      <c r="G847" t="s">
        <v>2253</v>
      </c>
    </row>
    <row r="848" spans="1:9" hidden="1">
      <c r="A848" t="s">
        <v>2254</v>
      </c>
      <c r="B848" t="s">
        <v>1347</v>
      </c>
      <c r="C848" t="s">
        <v>113</v>
      </c>
      <c r="D848" t="s">
        <v>42</v>
      </c>
      <c r="E848" t="s">
        <v>63</v>
      </c>
      <c r="F848" t="s">
        <v>126</v>
      </c>
      <c r="G848" t="s">
        <v>2255</v>
      </c>
    </row>
    <row r="849" spans="1:9" hidden="1">
      <c r="A849" t="s">
        <v>2256</v>
      </c>
      <c r="B849" t="s">
        <v>175</v>
      </c>
      <c r="C849" t="s">
        <v>113</v>
      </c>
      <c r="D849" t="s">
        <v>176</v>
      </c>
      <c r="E849" t="s">
        <v>121</v>
      </c>
      <c r="F849" t="s">
        <v>177</v>
      </c>
      <c r="G849" t="s">
        <v>2257</v>
      </c>
      <c r="I849">
        <v>3</v>
      </c>
    </row>
    <row r="850" spans="1:9">
      <c r="A850" t="s">
        <v>2258</v>
      </c>
      <c r="B850" t="s">
        <v>2259</v>
      </c>
      <c r="C850" t="s">
        <v>125</v>
      </c>
      <c r="D850" t="s">
        <v>126</v>
      </c>
      <c r="E850" t="s">
        <v>126</v>
      </c>
      <c r="F850" t="s">
        <v>126</v>
      </c>
      <c r="G850" t="s">
        <v>2260</v>
      </c>
    </row>
    <row r="851" spans="1:9" hidden="1">
      <c r="A851" t="s">
        <v>2261</v>
      </c>
      <c r="B851" t="s">
        <v>964</v>
      </c>
      <c r="C851" t="s">
        <v>42</v>
      </c>
      <c r="D851" t="s">
        <v>135</v>
      </c>
      <c r="E851" t="s">
        <v>217</v>
      </c>
      <c r="F851" t="s">
        <v>126</v>
      </c>
      <c r="G851" t="s">
        <v>2078</v>
      </c>
    </row>
    <row r="852" spans="1:9" hidden="1">
      <c r="A852" t="s">
        <v>2262</v>
      </c>
      <c r="B852" t="s">
        <v>1248</v>
      </c>
      <c r="C852" t="s">
        <v>135</v>
      </c>
      <c r="D852" t="s">
        <v>136</v>
      </c>
      <c r="E852" t="s">
        <v>204</v>
      </c>
      <c r="F852" t="s">
        <v>126</v>
      </c>
      <c r="G852" t="s">
        <v>2263</v>
      </c>
    </row>
    <row r="853" spans="1:9" hidden="1">
      <c r="A853" t="s">
        <v>2264</v>
      </c>
      <c r="B853" t="s">
        <v>772</v>
      </c>
      <c r="C853" t="s">
        <v>113</v>
      </c>
      <c r="D853" t="s">
        <v>63</v>
      </c>
      <c r="E853" t="s">
        <v>172</v>
      </c>
      <c r="F853" t="s">
        <v>773</v>
      </c>
      <c r="G853" t="s">
        <v>2265</v>
      </c>
      <c r="I853">
        <v>1</v>
      </c>
    </row>
    <row r="854" spans="1:9">
      <c r="A854" t="s">
        <v>2266</v>
      </c>
      <c r="B854" t="s">
        <v>2267</v>
      </c>
      <c r="C854" t="s">
        <v>125</v>
      </c>
      <c r="D854" t="s">
        <v>126</v>
      </c>
      <c r="E854" t="s">
        <v>126</v>
      </c>
      <c r="F854" t="s">
        <v>126</v>
      </c>
      <c r="G854" t="s">
        <v>2268</v>
      </c>
    </row>
    <row r="855" spans="1:9" hidden="1">
      <c r="A855" t="s">
        <v>2269</v>
      </c>
      <c r="B855" t="s">
        <v>607</v>
      </c>
      <c r="C855" t="s">
        <v>113</v>
      </c>
      <c r="D855" t="s">
        <v>42</v>
      </c>
      <c r="E855" t="s">
        <v>63</v>
      </c>
      <c r="F855" t="s">
        <v>126</v>
      </c>
      <c r="G855" t="s">
        <v>1955</v>
      </c>
      <c r="I855">
        <v>1</v>
      </c>
    </row>
    <row r="856" spans="1:9" hidden="1">
      <c r="A856" t="s">
        <v>2270</v>
      </c>
      <c r="B856" t="s">
        <v>767</v>
      </c>
      <c r="C856" t="s">
        <v>117</v>
      </c>
      <c r="D856" t="s">
        <v>647</v>
      </c>
      <c r="E856" t="s">
        <v>768</v>
      </c>
      <c r="F856" t="s">
        <v>126</v>
      </c>
      <c r="G856" t="s">
        <v>2271</v>
      </c>
      <c r="I856">
        <v>1</v>
      </c>
    </row>
    <row r="857" spans="1:9" hidden="1">
      <c r="A857" t="s">
        <v>2272</v>
      </c>
      <c r="B857" t="s">
        <v>952</v>
      </c>
      <c r="C857" t="s">
        <v>117</v>
      </c>
      <c r="D857" t="s">
        <v>42</v>
      </c>
      <c r="E857" t="s">
        <v>768</v>
      </c>
      <c r="F857" t="s">
        <v>126</v>
      </c>
      <c r="G857" t="s">
        <v>2273</v>
      </c>
    </row>
    <row r="858" spans="1:9" hidden="1">
      <c r="A858" t="s">
        <v>2274</v>
      </c>
      <c r="B858" t="s">
        <v>128</v>
      </c>
      <c r="C858" t="s">
        <v>113</v>
      </c>
      <c r="D858" t="s">
        <v>42</v>
      </c>
      <c r="E858" t="s">
        <v>63</v>
      </c>
      <c r="F858" t="s">
        <v>129</v>
      </c>
      <c r="G858" t="s">
        <v>2275</v>
      </c>
      <c r="I858">
        <v>1</v>
      </c>
    </row>
    <row r="859" spans="1:9" hidden="1">
      <c r="A859" t="s">
        <v>2276</v>
      </c>
      <c r="B859" t="s">
        <v>293</v>
      </c>
      <c r="C859" t="s">
        <v>113</v>
      </c>
      <c r="D859" t="s">
        <v>233</v>
      </c>
      <c r="E859" t="s">
        <v>42</v>
      </c>
      <c r="F859" t="s">
        <v>294</v>
      </c>
      <c r="G859" t="s">
        <v>2277</v>
      </c>
      <c r="I859">
        <v>1</v>
      </c>
    </row>
    <row r="860" spans="1:9" hidden="1">
      <c r="A860" t="s">
        <v>2278</v>
      </c>
      <c r="B860" t="s">
        <v>281</v>
      </c>
      <c r="C860" t="s">
        <v>42</v>
      </c>
      <c r="D860" t="s">
        <v>126</v>
      </c>
      <c r="E860" t="s">
        <v>126</v>
      </c>
      <c r="F860" t="s">
        <v>126</v>
      </c>
      <c r="G860" t="s">
        <v>1682</v>
      </c>
    </row>
    <row r="861" spans="1:9">
      <c r="A861" t="s">
        <v>2279</v>
      </c>
      <c r="B861" t="s">
        <v>2280</v>
      </c>
      <c r="C861" t="s">
        <v>125</v>
      </c>
      <c r="D861" t="s">
        <v>126</v>
      </c>
      <c r="E861" t="s">
        <v>126</v>
      </c>
      <c r="F861" t="s">
        <v>126</v>
      </c>
      <c r="G861" t="s">
        <v>2155</v>
      </c>
    </row>
    <row r="862" spans="1:9" hidden="1">
      <c r="A862" t="s">
        <v>2281</v>
      </c>
      <c r="B862" t="s">
        <v>785</v>
      </c>
      <c r="C862" t="s">
        <v>117</v>
      </c>
      <c r="D862" t="s">
        <v>42</v>
      </c>
      <c r="E862" t="s">
        <v>126</v>
      </c>
      <c r="F862" t="s">
        <v>786</v>
      </c>
      <c r="G862" t="s">
        <v>2041</v>
      </c>
    </row>
    <row r="863" spans="1:9" hidden="1">
      <c r="A863" t="s">
        <v>2282</v>
      </c>
      <c r="B863" t="s">
        <v>212</v>
      </c>
      <c r="C863" t="s">
        <v>42</v>
      </c>
      <c r="D863" t="s">
        <v>213</v>
      </c>
      <c r="E863" t="s">
        <v>126</v>
      </c>
      <c r="F863" t="s">
        <v>214</v>
      </c>
      <c r="G863" t="s">
        <v>2283</v>
      </c>
    </row>
    <row r="864" spans="1:9" hidden="1">
      <c r="A864" t="s">
        <v>2284</v>
      </c>
      <c r="B864" t="s">
        <v>494</v>
      </c>
      <c r="C864" t="s">
        <v>113</v>
      </c>
      <c r="D864" t="s">
        <v>42</v>
      </c>
      <c r="E864" t="s">
        <v>208</v>
      </c>
      <c r="F864" t="s">
        <v>495</v>
      </c>
      <c r="G864" t="s">
        <v>1922</v>
      </c>
      <c r="I864">
        <v>3</v>
      </c>
    </row>
    <row r="865" spans="1:9" hidden="1">
      <c r="A865" t="s">
        <v>2285</v>
      </c>
      <c r="B865" t="s">
        <v>881</v>
      </c>
      <c r="C865" t="s">
        <v>113</v>
      </c>
      <c r="D865" t="s">
        <v>42</v>
      </c>
      <c r="E865" t="s">
        <v>204</v>
      </c>
      <c r="F865" t="s">
        <v>882</v>
      </c>
      <c r="G865" t="s">
        <v>1739</v>
      </c>
    </row>
    <row r="866" spans="1:9" hidden="1">
      <c r="A866" t="s">
        <v>2286</v>
      </c>
      <c r="B866" t="s">
        <v>330</v>
      </c>
      <c r="C866" t="s">
        <v>113</v>
      </c>
      <c r="D866" t="s">
        <v>154</v>
      </c>
      <c r="E866" t="s">
        <v>204</v>
      </c>
      <c r="F866" t="s">
        <v>126</v>
      </c>
      <c r="G866" t="s">
        <v>2039</v>
      </c>
    </row>
    <row r="867" spans="1:9" hidden="1">
      <c r="A867" t="s">
        <v>2287</v>
      </c>
      <c r="B867" t="s">
        <v>337</v>
      </c>
      <c r="C867" t="s">
        <v>113</v>
      </c>
      <c r="D867" t="s">
        <v>42</v>
      </c>
      <c r="E867" t="s">
        <v>217</v>
      </c>
      <c r="F867" t="s">
        <v>338</v>
      </c>
      <c r="G867" t="s">
        <v>1672</v>
      </c>
    </row>
    <row r="868" spans="1:9" hidden="1">
      <c r="A868" t="s">
        <v>2288</v>
      </c>
      <c r="B868" t="s">
        <v>749</v>
      </c>
      <c r="C868" t="s">
        <v>113</v>
      </c>
      <c r="D868" t="s">
        <v>42</v>
      </c>
      <c r="E868" t="s">
        <v>126</v>
      </c>
      <c r="F868" t="s">
        <v>126</v>
      </c>
      <c r="G868" t="s">
        <v>2100</v>
      </c>
    </row>
    <row r="869" spans="1:9" hidden="1">
      <c r="A869" t="s">
        <v>2289</v>
      </c>
      <c r="B869" t="s">
        <v>1156</v>
      </c>
      <c r="C869" t="s">
        <v>113</v>
      </c>
      <c r="D869" t="s">
        <v>233</v>
      </c>
      <c r="E869" t="s">
        <v>624</v>
      </c>
      <c r="F869" t="s">
        <v>126</v>
      </c>
      <c r="G869" t="s">
        <v>2290</v>
      </c>
    </row>
    <row r="870" spans="1:9" hidden="1">
      <c r="A870" t="s">
        <v>2291</v>
      </c>
      <c r="B870" t="s">
        <v>318</v>
      </c>
      <c r="C870" t="s">
        <v>113</v>
      </c>
      <c r="D870" t="s">
        <v>42</v>
      </c>
      <c r="E870" t="s">
        <v>126</v>
      </c>
      <c r="F870" t="s">
        <v>319</v>
      </c>
      <c r="G870" t="s">
        <v>2092</v>
      </c>
    </row>
    <row r="871" spans="1:9" hidden="1">
      <c r="A871" t="s">
        <v>3027</v>
      </c>
      <c r="B871" t="s">
        <v>858</v>
      </c>
      <c r="C871" t="s">
        <v>113</v>
      </c>
      <c r="D871" t="s">
        <v>139</v>
      </c>
      <c r="E871" t="s">
        <v>82</v>
      </c>
      <c r="G871" t="s">
        <v>2526</v>
      </c>
      <c r="I871">
        <v>1</v>
      </c>
    </row>
    <row r="872" spans="1:9" hidden="1">
      <c r="A872" t="s">
        <v>3028</v>
      </c>
      <c r="B872" t="s">
        <v>1447</v>
      </c>
      <c r="C872" t="s">
        <v>113</v>
      </c>
      <c r="D872" t="s">
        <v>154</v>
      </c>
      <c r="E872" t="s">
        <v>160</v>
      </c>
      <c r="G872" t="s">
        <v>2511</v>
      </c>
      <c r="I872">
        <v>4</v>
      </c>
    </row>
    <row r="873" spans="1:9" hidden="1">
      <c r="A873" t="s">
        <v>3029</v>
      </c>
      <c r="B873" t="s">
        <v>677</v>
      </c>
      <c r="C873" t="s">
        <v>113</v>
      </c>
      <c r="D873" t="s">
        <v>42</v>
      </c>
      <c r="E873" t="s">
        <v>126</v>
      </c>
      <c r="G873" t="s">
        <v>3030</v>
      </c>
    </row>
    <row r="874" spans="1:9" hidden="1">
      <c r="A874" t="s">
        <v>3031</v>
      </c>
      <c r="B874" t="s">
        <v>486</v>
      </c>
      <c r="C874" t="s">
        <v>113</v>
      </c>
      <c r="D874" t="s">
        <v>160</v>
      </c>
      <c r="E874" t="s">
        <v>172</v>
      </c>
      <c r="G874" t="s">
        <v>3032</v>
      </c>
      <c r="I874">
        <v>1</v>
      </c>
    </row>
    <row r="875" spans="1:9">
      <c r="A875" t="s">
        <v>2790</v>
      </c>
      <c r="B875" t="s">
        <v>2791</v>
      </c>
      <c r="C875" t="s">
        <v>125</v>
      </c>
      <c r="D875" t="s">
        <v>126</v>
      </c>
      <c r="E875" t="s">
        <v>126</v>
      </c>
      <c r="G875" t="s">
        <v>1733</v>
      </c>
    </row>
    <row r="876" spans="1:9">
      <c r="A876" t="s">
        <v>2792</v>
      </c>
      <c r="B876" t="s">
        <v>2793</v>
      </c>
      <c r="C876" t="s">
        <v>126</v>
      </c>
      <c r="D876" t="s">
        <v>126</v>
      </c>
      <c r="E876" t="s">
        <v>126</v>
      </c>
      <c r="G876" t="s">
        <v>1953</v>
      </c>
    </row>
    <row r="877" spans="1:9">
      <c r="A877" t="s">
        <v>2794</v>
      </c>
      <c r="B877" t="s">
        <v>2795</v>
      </c>
      <c r="C877" t="s">
        <v>126</v>
      </c>
      <c r="D877" t="s">
        <v>126</v>
      </c>
      <c r="E877" t="s">
        <v>126</v>
      </c>
      <c r="G877" t="s">
        <v>2345</v>
      </c>
    </row>
    <row r="878" spans="1:9">
      <c r="A878" t="s">
        <v>2796</v>
      </c>
      <c r="B878" t="s">
        <v>2797</v>
      </c>
      <c r="C878" t="s">
        <v>126</v>
      </c>
      <c r="D878" t="s">
        <v>126</v>
      </c>
      <c r="E878" t="s">
        <v>126</v>
      </c>
      <c r="G878" t="s">
        <v>2798</v>
      </c>
    </row>
    <row r="879" spans="1:9" hidden="1">
      <c r="A879" t="s">
        <v>3033</v>
      </c>
      <c r="B879" t="s">
        <v>862</v>
      </c>
      <c r="C879" t="s">
        <v>113</v>
      </c>
      <c r="D879" t="s">
        <v>139</v>
      </c>
      <c r="E879" t="s">
        <v>86</v>
      </c>
      <c r="G879" t="s">
        <v>1978</v>
      </c>
    </row>
    <row r="880" spans="1:9" hidden="1">
      <c r="A880" t="s">
        <v>3034</v>
      </c>
      <c r="B880" t="s">
        <v>1175</v>
      </c>
      <c r="C880" t="s">
        <v>113</v>
      </c>
      <c r="D880" t="s">
        <v>139</v>
      </c>
      <c r="E880" t="s">
        <v>117</v>
      </c>
      <c r="G880" t="s">
        <v>3035</v>
      </c>
      <c r="I880">
        <v>1</v>
      </c>
    </row>
    <row r="881" spans="1:9" hidden="1">
      <c r="A881" t="s">
        <v>3036</v>
      </c>
      <c r="B881" t="s">
        <v>1595</v>
      </c>
      <c r="C881" t="s">
        <v>113</v>
      </c>
      <c r="D881" t="s">
        <v>233</v>
      </c>
      <c r="E881" t="s">
        <v>154</v>
      </c>
      <c r="G881" t="s">
        <v>3037</v>
      </c>
      <c r="I881">
        <v>2</v>
      </c>
    </row>
    <row r="882" spans="1:9" hidden="1">
      <c r="A882" t="s">
        <v>3038</v>
      </c>
      <c r="B882" t="s">
        <v>775</v>
      </c>
      <c r="C882" t="s">
        <v>42</v>
      </c>
      <c r="D882" t="s">
        <v>82</v>
      </c>
      <c r="E882" t="s">
        <v>217</v>
      </c>
      <c r="G882" t="s">
        <v>2694</v>
      </c>
    </row>
    <row r="883" spans="1:9">
      <c r="A883" t="s">
        <v>2799</v>
      </c>
      <c r="B883" t="s">
        <v>2800</v>
      </c>
      <c r="C883" t="s">
        <v>511</v>
      </c>
      <c r="D883" t="s">
        <v>135</v>
      </c>
      <c r="E883" t="s">
        <v>204</v>
      </c>
      <c r="G883" t="s">
        <v>1951</v>
      </c>
    </row>
    <row r="884" spans="1:9">
      <c r="A884" t="s">
        <v>2801</v>
      </c>
      <c r="B884" t="s">
        <v>2802</v>
      </c>
      <c r="C884" t="s">
        <v>126</v>
      </c>
      <c r="D884" t="s">
        <v>126</v>
      </c>
      <c r="E884" t="s">
        <v>126</v>
      </c>
      <c r="G884" t="s">
        <v>2803</v>
      </c>
    </row>
    <row r="885" spans="1:9" hidden="1">
      <c r="A885" t="s">
        <v>3039</v>
      </c>
      <c r="B885" t="s">
        <v>1480</v>
      </c>
      <c r="C885" t="s">
        <v>117</v>
      </c>
      <c r="D885" t="s">
        <v>42</v>
      </c>
      <c r="E885" t="s">
        <v>126</v>
      </c>
      <c r="G885" t="s">
        <v>3040</v>
      </c>
    </row>
    <row r="886" spans="1:9" hidden="1">
      <c r="A886" t="s">
        <v>3041</v>
      </c>
      <c r="B886" t="s">
        <v>1488</v>
      </c>
      <c r="C886" t="s">
        <v>113</v>
      </c>
      <c r="D886" t="s">
        <v>42</v>
      </c>
      <c r="E886" t="s">
        <v>172</v>
      </c>
      <c r="G886" t="s">
        <v>3042</v>
      </c>
    </row>
    <row r="887" spans="1:9" hidden="1">
      <c r="A887" t="s">
        <v>3043</v>
      </c>
      <c r="B887" t="s">
        <v>1364</v>
      </c>
      <c r="C887" t="s">
        <v>113</v>
      </c>
      <c r="D887" t="s">
        <v>139</v>
      </c>
      <c r="E887" t="s">
        <v>160</v>
      </c>
      <c r="G887" t="s">
        <v>2061</v>
      </c>
      <c r="I887">
        <v>3</v>
      </c>
    </row>
    <row r="888" spans="1:9">
      <c r="A888" t="s">
        <v>2804</v>
      </c>
      <c r="B888" t="s">
        <v>2805</v>
      </c>
      <c r="C888" t="s">
        <v>113</v>
      </c>
      <c r="D888" t="s">
        <v>176</v>
      </c>
      <c r="E888" t="s">
        <v>65</v>
      </c>
      <c r="G888" t="s">
        <v>2297</v>
      </c>
    </row>
    <row r="889" spans="1:9" hidden="1">
      <c r="A889" t="s">
        <v>3044</v>
      </c>
      <c r="B889" t="s">
        <v>1366</v>
      </c>
      <c r="C889" t="s">
        <v>113</v>
      </c>
      <c r="D889" t="s">
        <v>233</v>
      </c>
      <c r="E889" t="s">
        <v>160</v>
      </c>
      <c r="G889" t="s">
        <v>2061</v>
      </c>
      <c r="I889">
        <v>4</v>
      </c>
    </row>
    <row r="890" spans="1:9">
      <c r="A890" t="s">
        <v>2806</v>
      </c>
      <c r="B890" t="s">
        <v>2807</v>
      </c>
      <c r="C890" t="s">
        <v>113</v>
      </c>
      <c r="D890" t="s">
        <v>154</v>
      </c>
      <c r="E890" t="s">
        <v>172</v>
      </c>
      <c r="G890" t="s">
        <v>2568</v>
      </c>
      <c r="I890">
        <v>1</v>
      </c>
    </row>
    <row r="891" spans="1:9" hidden="1">
      <c r="A891" t="s">
        <v>3045</v>
      </c>
      <c r="B891" t="s">
        <v>1603</v>
      </c>
      <c r="C891" t="s">
        <v>233</v>
      </c>
      <c r="D891" t="s">
        <v>42</v>
      </c>
      <c r="E891" t="s">
        <v>126</v>
      </c>
      <c r="G891" t="s">
        <v>3046</v>
      </c>
    </row>
    <row r="892" spans="1:9" hidden="1">
      <c r="A892" t="s">
        <v>3047</v>
      </c>
      <c r="B892" t="s">
        <v>1372</v>
      </c>
      <c r="C892" t="s">
        <v>113</v>
      </c>
      <c r="D892" t="s">
        <v>63</v>
      </c>
      <c r="E892" t="s">
        <v>82</v>
      </c>
      <c r="G892" t="s">
        <v>3012</v>
      </c>
    </row>
    <row r="893" spans="1:9" hidden="1">
      <c r="A893" t="s">
        <v>3048</v>
      </c>
      <c r="B893" t="s">
        <v>1410</v>
      </c>
      <c r="C893" t="s">
        <v>113</v>
      </c>
      <c r="D893" t="s">
        <v>42</v>
      </c>
      <c r="E893" t="s">
        <v>82</v>
      </c>
      <c r="G893" t="s">
        <v>2733</v>
      </c>
    </row>
    <row r="894" spans="1:9" hidden="1">
      <c r="A894" t="s">
        <v>3049</v>
      </c>
      <c r="B894" t="s">
        <v>1449</v>
      </c>
      <c r="C894" t="s">
        <v>139</v>
      </c>
      <c r="D894" t="s">
        <v>233</v>
      </c>
      <c r="E894" t="s">
        <v>117</v>
      </c>
      <c r="G894" t="s">
        <v>2511</v>
      </c>
      <c r="I894">
        <v>2</v>
      </c>
    </row>
    <row r="895" spans="1:9" hidden="1">
      <c r="A895" t="s">
        <v>3050</v>
      </c>
      <c r="B895" t="s">
        <v>933</v>
      </c>
      <c r="C895" t="s">
        <v>113</v>
      </c>
      <c r="D895" t="s">
        <v>135</v>
      </c>
      <c r="E895" t="s">
        <v>121</v>
      </c>
      <c r="G895" t="s">
        <v>2347</v>
      </c>
      <c r="I895">
        <v>1</v>
      </c>
    </row>
    <row r="896" spans="1:9" hidden="1">
      <c r="A896" t="s">
        <v>3051</v>
      </c>
      <c r="B896" t="s">
        <v>1427</v>
      </c>
      <c r="C896" t="s">
        <v>233</v>
      </c>
      <c r="D896" t="s">
        <v>117</v>
      </c>
      <c r="E896" t="s">
        <v>42</v>
      </c>
      <c r="G896" t="s">
        <v>2912</v>
      </c>
      <c r="I896">
        <v>1</v>
      </c>
    </row>
    <row r="897" spans="1:9" hidden="1">
      <c r="A897" t="s">
        <v>3052</v>
      </c>
      <c r="B897" t="s">
        <v>462</v>
      </c>
      <c r="C897" t="s">
        <v>42</v>
      </c>
      <c r="D897" t="s">
        <v>136</v>
      </c>
      <c r="E897" t="s">
        <v>204</v>
      </c>
      <c r="G897" t="s">
        <v>2000</v>
      </c>
    </row>
    <row r="898" spans="1:9" hidden="1">
      <c r="A898" t="s">
        <v>3053</v>
      </c>
      <c r="B898" t="s">
        <v>956</v>
      </c>
      <c r="C898" t="s">
        <v>113</v>
      </c>
      <c r="D898" t="s">
        <v>233</v>
      </c>
      <c r="E898" t="s">
        <v>58</v>
      </c>
      <c r="G898" t="s">
        <v>2273</v>
      </c>
    </row>
    <row r="899" spans="1:9" hidden="1">
      <c r="A899" t="s">
        <v>3054</v>
      </c>
      <c r="B899" t="s">
        <v>1271</v>
      </c>
      <c r="C899" t="s">
        <v>233</v>
      </c>
      <c r="D899" t="s">
        <v>42</v>
      </c>
      <c r="E899" t="s">
        <v>135</v>
      </c>
      <c r="G899" t="s">
        <v>2303</v>
      </c>
      <c r="I899">
        <v>2</v>
      </c>
    </row>
    <row r="900" spans="1:9">
      <c r="A900" t="s">
        <v>2808</v>
      </c>
      <c r="B900" t="s">
        <v>2809</v>
      </c>
      <c r="C900" t="s">
        <v>113</v>
      </c>
      <c r="D900" t="s">
        <v>233</v>
      </c>
      <c r="E900" t="s">
        <v>272</v>
      </c>
      <c r="G900" t="s">
        <v>2810</v>
      </c>
      <c r="I900">
        <v>3</v>
      </c>
    </row>
    <row r="901" spans="1:9" hidden="1">
      <c r="A901" t="s">
        <v>3055</v>
      </c>
      <c r="B901" t="s">
        <v>193</v>
      </c>
      <c r="C901" t="s">
        <v>135</v>
      </c>
      <c r="D901" t="s">
        <v>136</v>
      </c>
      <c r="E901" t="s">
        <v>126</v>
      </c>
      <c r="G901" t="s">
        <v>3056</v>
      </c>
    </row>
    <row r="902" spans="1:9" hidden="1">
      <c r="A902" t="s">
        <v>3057</v>
      </c>
      <c r="B902" t="s">
        <v>1345</v>
      </c>
      <c r="C902" t="s">
        <v>42</v>
      </c>
      <c r="D902" t="s">
        <v>121</v>
      </c>
      <c r="E902" t="s">
        <v>256</v>
      </c>
      <c r="G902" t="s">
        <v>1674</v>
      </c>
    </row>
    <row r="903" spans="1:9" hidden="1">
      <c r="A903" t="s">
        <v>3058</v>
      </c>
      <c r="B903" t="s">
        <v>864</v>
      </c>
      <c r="C903" t="s">
        <v>113</v>
      </c>
      <c r="D903" t="s">
        <v>139</v>
      </c>
      <c r="E903" t="s">
        <v>63</v>
      </c>
      <c r="G903" t="s">
        <v>1978</v>
      </c>
      <c r="I903">
        <v>1</v>
      </c>
    </row>
    <row r="904" spans="1:9" hidden="1">
      <c r="A904" t="s">
        <v>3059</v>
      </c>
      <c r="B904" t="s">
        <v>1571</v>
      </c>
      <c r="C904" t="s">
        <v>113</v>
      </c>
      <c r="D904" t="s">
        <v>139</v>
      </c>
      <c r="E904" t="s">
        <v>42</v>
      </c>
      <c r="G904" t="s">
        <v>3060</v>
      </c>
      <c r="I904">
        <v>1</v>
      </c>
    </row>
    <row r="905" spans="1:9" hidden="1">
      <c r="A905" t="s">
        <v>3061</v>
      </c>
      <c r="B905" t="s">
        <v>1257</v>
      </c>
      <c r="C905" t="s">
        <v>272</v>
      </c>
      <c r="D905" t="s">
        <v>117</v>
      </c>
      <c r="E905" t="s">
        <v>42</v>
      </c>
      <c r="G905" t="s">
        <v>2066</v>
      </c>
    </row>
    <row r="906" spans="1:9">
      <c r="A906" t="s">
        <v>2811</v>
      </c>
      <c r="B906" t="s">
        <v>2812</v>
      </c>
      <c r="C906" t="s">
        <v>233</v>
      </c>
      <c r="D906" t="s">
        <v>42</v>
      </c>
      <c r="E906" t="s">
        <v>263</v>
      </c>
      <c r="G906" t="s">
        <v>2813</v>
      </c>
    </row>
    <row r="907" spans="1:9" hidden="1">
      <c r="A907" t="s">
        <v>3062</v>
      </c>
      <c r="B907" t="s">
        <v>1569</v>
      </c>
      <c r="C907" t="s">
        <v>113</v>
      </c>
      <c r="D907" t="s">
        <v>42</v>
      </c>
      <c r="E907" t="s">
        <v>204</v>
      </c>
      <c r="G907" t="s">
        <v>3063</v>
      </c>
    </row>
    <row r="908" spans="1:9" hidden="1">
      <c r="A908" t="s">
        <v>3064</v>
      </c>
      <c r="B908" t="s">
        <v>1230</v>
      </c>
      <c r="C908" t="s">
        <v>113</v>
      </c>
      <c r="D908" t="s">
        <v>42</v>
      </c>
      <c r="E908" t="s">
        <v>147</v>
      </c>
      <c r="G908" t="s">
        <v>2251</v>
      </c>
    </row>
    <row r="909" spans="1:9">
      <c r="A909" t="s">
        <v>2814</v>
      </c>
      <c r="B909" t="s">
        <v>2815</v>
      </c>
      <c r="C909" t="s">
        <v>113</v>
      </c>
      <c r="D909" t="s">
        <v>300</v>
      </c>
      <c r="E909" t="s">
        <v>156</v>
      </c>
      <c r="G909" t="s">
        <v>2031</v>
      </c>
    </row>
    <row r="910" spans="1:9" hidden="1">
      <c r="A910" t="s">
        <v>3065</v>
      </c>
      <c r="B910" t="s">
        <v>1540</v>
      </c>
      <c r="C910" t="s">
        <v>113</v>
      </c>
      <c r="D910" t="s">
        <v>154</v>
      </c>
      <c r="E910" t="s">
        <v>217</v>
      </c>
      <c r="G910" t="s">
        <v>2556</v>
      </c>
    </row>
    <row r="911" spans="1:9">
      <c r="A911" t="s">
        <v>2816</v>
      </c>
      <c r="B911" t="s">
        <v>2817</v>
      </c>
      <c r="C911" t="s">
        <v>233</v>
      </c>
      <c r="D911" t="s">
        <v>263</v>
      </c>
      <c r="E911" t="s">
        <v>126</v>
      </c>
      <c r="G911" t="s">
        <v>1721</v>
      </c>
    </row>
    <row r="912" spans="1:9" hidden="1">
      <c r="A912" t="s">
        <v>3066</v>
      </c>
      <c r="B912" t="s">
        <v>352</v>
      </c>
      <c r="C912" t="s">
        <v>113</v>
      </c>
      <c r="D912" t="s">
        <v>63</v>
      </c>
      <c r="E912" t="s">
        <v>172</v>
      </c>
      <c r="G912" t="s">
        <v>2268</v>
      </c>
      <c r="I912">
        <v>2</v>
      </c>
    </row>
    <row r="913" spans="1:9" hidden="1">
      <c r="A913" t="s">
        <v>3067</v>
      </c>
      <c r="B913" t="s">
        <v>1431</v>
      </c>
      <c r="C913" t="s">
        <v>113</v>
      </c>
      <c r="D913" t="s">
        <v>139</v>
      </c>
      <c r="E913" t="s">
        <v>82</v>
      </c>
      <c r="G913" t="s">
        <v>3068</v>
      </c>
      <c r="I913">
        <v>2</v>
      </c>
    </row>
    <row r="914" spans="1:9" hidden="1">
      <c r="A914" t="s">
        <v>3069</v>
      </c>
      <c r="B914" t="s">
        <v>593</v>
      </c>
      <c r="C914" t="s">
        <v>113</v>
      </c>
      <c r="D914" t="s">
        <v>154</v>
      </c>
      <c r="E914" t="s">
        <v>160</v>
      </c>
      <c r="G914" t="s">
        <v>1765</v>
      </c>
      <c r="I914">
        <v>4</v>
      </c>
    </row>
    <row r="915" spans="1:9">
      <c r="A915" t="s">
        <v>2818</v>
      </c>
      <c r="B915" t="s">
        <v>2819</v>
      </c>
      <c r="C915" t="s">
        <v>113</v>
      </c>
      <c r="D915" t="s">
        <v>233</v>
      </c>
      <c r="E915" t="s">
        <v>154</v>
      </c>
      <c r="G915" t="s">
        <v>2431</v>
      </c>
      <c r="I915">
        <v>1</v>
      </c>
    </row>
    <row r="916" spans="1:9" hidden="1">
      <c r="A916" t="s">
        <v>3070</v>
      </c>
      <c r="B916" t="s">
        <v>1629</v>
      </c>
      <c r="C916" t="s">
        <v>113</v>
      </c>
      <c r="D916" t="s">
        <v>154</v>
      </c>
      <c r="E916" t="s">
        <v>938</v>
      </c>
      <c r="G916" t="s">
        <v>2963</v>
      </c>
    </row>
    <row r="917" spans="1:9" hidden="1">
      <c r="A917" t="s">
        <v>3071</v>
      </c>
      <c r="B917" t="s">
        <v>1511</v>
      </c>
      <c r="C917" t="s">
        <v>139</v>
      </c>
      <c r="D917" t="s">
        <v>233</v>
      </c>
      <c r="E917" t="s">
        <v>117</v>
      </c>
      <c r="G917" t="s">
        <v>3072</v>
      </c>
      <c r="I917">
        <v>2</v>
      </c>
    </row>
    <row r="918" spans="1:9" hidden="1">
      <c r="A918" t="s">
        <v>3073</v>
      </c>
      <c r="B918" t="s">
        <v>1482</v>
      </c>
      <c r="C918" t="s">
        <v>139</v>
      </c>
      <c r="D918" t="s">
        <v>117</v>
      </c>
      <c r="E918" t="s">
        <v>209</v>
      </c>
      <c r="G918" t="s">
        <v>3074</v>
      </c>
    </row>
    <row r="919" spans="1:9" hidden="1">
      <c r="A919" t="s">
        <v>3075</v>
      </c>
      <c r="B919" t="s">
        <v>1267</v>
      </c>
      <c r="C919" t="s">
        <v>113</v>
      </c>
      <c r="D919" t="s">
        <v>233</v>
      </c>
      <c r="E919" t="s">
        <v>263</v>
      </c>
      <c r="G919" t="s">
        <v>1676</v>
      </c>
    </row>
    <row r="920" spans="1:9" hidden="1">
      <c r="A920" t="s">
        <v>3076</v>
      </c>
      <c r="B920" t="s">
        <v>659</v>
      </c>
      <c r="C920" t="s">
        <v>82</v>
      </c>
      <c r="D920" t="s">
        <v>121</v>
      </c>
      <c r="E920" t="s">
        <v>217</v>
      </c>
      <c r="G920" t="s">
        <v>3077</v>
      </c>
    </row>
    <row r="921" spans="1:9" hidden="1">
      <c r="A921" t="s">
        <v>3078</v>
      </c>
      <c r="B921" t="s">
        <v>777</v>
      </c>
      <c r="C921" t="s">
        <v>113</v>
      </c>
      <c r="D921" t="s">
        <v>139</v>
      </c>
      <c r="E921" t="s">
        <v>233</v>
      </c>
      <c r="G921" t="s">
        <v>2694</v>
      </c>
      <c r="I921">
        <v>1</v>
      </c>
    </row>
    <row r="922" spans="1:9" hidden="1">
      <c r="A922" t="s">
        <v>3079</v>
      </c>
      <c r="B922" t="s">
        <v>1201</v>
      </c>
      <c r="C922" t="s">
        <v>113</v>
      </c>
      <c r="D922" t="s">
        <v>154</v>
      </c>
      <c r="E922" t="s">
        <v>209</v>
      </c>
      <c r="G922" t="s">
        <v>3080</v>
      </c>
      <c r="I922">
        <v>2</v>
      </c>
    </row>
    <row r="923" spans="1:9">
      <c r="A923" t="s">
        <v>2820</v>
      </c>
      <c r="B923" t="s">
        <v>2821</v>
      </c>
      <c r="C923" t="s">
        <v>113</v>
      </c>
      <c r="D923" t="s">
        <v>42</v>
      </c>
      <c r="E923" t="s">
        <v>208</v>
      </c>
      <c r="G923" t="s">
        <v>2822</v>
      </c>
      <c r="I923">
        <v>2</v>
      </c>
    </row>
    <row r="924" spans="1:9" hidden="1">
      <c r="A924" t="s">
        <v>3081</v>
      </c>
      <c r="B924" t="s">
        <v>1105</v>
      </c>
      <c r="C924" t="s">
        <v>113</v>
      </c>
      <c r="D924" t="s">
        <v>272</v>
      </c>
      <c r="E924" t="s">
        <v>154</v>
      </c>
      <c r="G924" t="s">
        <v>2317</v>
      </c>
    </row>
    <row r="925" spans="1:9" hidden="1">
      <c r="A925" t="s">
        <v>3082</v>
      </c>
      <c r="B925" t="s">
        <v>1223</v>
      </c>
      <c r="C925" t="s">
        <v>42</v>
      </c>
      <c r="D925" t="s">
        <v>135</v>
      </c>
      <c r="E925" t="s">
        <v>217</v>
      </c>
      <c r="G925" t="s">
        <v>1755</v>
      </c>
    </row>
    <row r="926" spans="1:9" hidden="1">
      <c r="A926" t="s">
        <v>3083</v>
      </c>
      <c r="B926" t="s">
        <v>1517</v>
      </c>
      <c r="C926" t="s">
        <v>113</v>
      </c>
      <c r="D926" t="s">
        <v>117</v>
      </c>
      <c r="E926" t="s">
        <v>42</v>
      </c>
      <c r="G926" t="s">
        <v>2534</v>
      </c>
      <c r="I926">
        <v>3</v>
      </c>
    </row>
    <row r="927" spans="1:9" hidden="1">
      <c r="A927" t="s">
        <v>3084</v>
      </c>
      <c r="B927" t="s">
        <v>1524</v>
      </c>
      <c r="C927" t="s">
        <v>139</v>
      </c>
      <c r="D927" t="s">
        <v>117</v>
      </c>
      <c r="E927" t="s">
        <v>213</v>
      </c>
      <c r="G927" t="s">
        <v>2037</v>
      </c>
    </row>
    <row r="928" spans="1:9">
      <c r="A928" t="s">
        <v>2823</v>
      </c>
      <c r="B928" t="s">
        <v>2824</v>
      </c>
      <c r="C928" t="s">
        <v>125</v>
      </c>
      <c r="D928" t="s">
        <v>126</v>
      </c>
      <c r="E928" t="s">
        <v>126</v>
      </c>
      <c r="G928" t="s">
        <v>2825</v>
      </c>
    </row>
    <row r="929" spans="1:9">
      <c r="A929" t="s">
        <v>2826</v>
      </c>
      <c r="B929" t="s">
        <v>2827</v>
      </c>
      <c r="C929" t="s">
        <v>125</v>
      </c>
      <c r="D929" t="s">
        <v>126</v>
      </c>
      <c r="E929" t="s">
        <v>126</v>
      </c>
      <c r="G929" t="s">
        <v>2828</v>
      </c>
    </row>
    <row r="930" spans="1:9">
      <c r="A930" t="s">
        <v>2829</v>
      </c>
      <c r="B930" t="s">
        <v>2830</v>
      </c>
      <c r="C930" t="s">
        <v>125</v>
      </c>
      <c r="D930" t="s">
        <v>126</v>
      </c>
      <c r="E930" t="s">
        <v>126</v>
      </c>
      <c r="G930" t="s">
        <v>2831</v>
      </c>
    </row>
    <row r="931" spans="1:9" hidden="1">
      <c r="A931" t="s">
        <v>3085</v>
      </c>
      <c r="B931" t="s">
        <v>1505</v>
      </c>
      <c r="C931" t="s">
        <v>233</v>
      </c>
      <c r="D931" t="s">
        <v>117</v>
      </c>
      <c r="E931" t="s">
        <v>42</v>
      </c>
      <c r="G931" t="s">
        <v>3086</v>
      </c>
    </row>
    <row r="932" spans="1:9" hidden="1">
      <c r="A932" t="s">
        <v>3087</v>
      </c>
      <c r="B932" t="s">
        <v>1494</v>
      </c>
      <c r="C932" t="s">
        <v>117</v>
      </c>
      <c r="D932" t="s">
        <v>42</v>
      </c>
      <c r="E932" t="s">
        <v>204</v>
      </c>
      <c r="G932" t="s">
        <v>3088</v>
      </c>
    </row>
    <row r="933" spans="1:9" hidden="1">
      <c r="A933" t="s">
        <v>3089</v>
      </c>
      <c r="B933" t="s">
        <v>1519</v>
      </c>
      <c r="C933" t="s">
        <v>272</v>
      </c>
      <c r="D933" t="s">
        <v>117</v>
      </c>
      <c r="E933" t="s">
        <v>154</v>
      </c>
      <c r="G933" t="s">
        <v>2534</v>
      </c>
      <c r="I933">
        <v>3</v>
      </c>
    </row>
    <row r="934" spans="1:9">
      <c r="A934" t="s">
        <v>2832</v>
      </c>
      <c r="B934" t="s">
        <v>2833</v>
      </c>
      <c r="C934" t="s">
        <v>113</v>
      </c>
      <c r="D934" t="s">
        <v>233</v>
      </c>
      <c r="E934" t="s">
        <v>300</v>
      </c>
      <c r="G934" t="s">
        <v>2834</v>
      </c>
      <c r="I934">
        <v>1</v>
      </c>
    </row>
    <row r="935" spans="1:9" hidden="1">
      <c r="A935" t="s">
        <v>3090</v>
      </c>
      <c r="B935" t="s">
        <v>1414</v>
      </c>
      <c r="C935" t="s">
        <v>113</v>
      </c>
      <c r="D935" t="s">
        <v>139</v>
      </c>
      <c r="E935" t="s">
        <v>209</v>
      </c>
      <c r="G935" t="s">
        <v>2954</v>
      </c>
      <c r="I935">
        <v>1</v>
      </c>
    </row>
    <row r="936" spans="1:9" hidden="1">
      <c r="A936" t="s">
        <v>3091</v>
      </c>
      <c r="B936" t="s">
        <v>1582</v>
      </c>
      <c r="C936" t="s">
        <v>121</v>
      </c>
      <c r="D936" t="s">
        <v>213</v>
      </c>
      <c r="E936" t="s">
        <v>126</v>
      </c>
      <c r="G936" t="s">
        <v>2485</v>
      </c>
    </row>
    <row r="937" spans="1:9">
      <c r="A937" t="s">
        <v>2835</v>
      </c>
      <c r="B937" t="s">
        <v>2836</v>
      </c>
      <c r="C937" t="s">
        <v>113</v>
      </c>
      <c r="D937" t="s">
        <v>42</v>
      </c>
      <c r="E937" t="s">
        <v>126</v>
      </c>
      <c r="G937" t="s">
        <v>2768</v>
      </c>
    </row>
    <row r="938" spans="1:9" hidden="1">
      <c r="A938" t="s">
        <v>3092</v>
      </c>
      <c r="B938" t="s">
        <v>1423</v>
      </c>
      <c r="C938" t="s">
        <v>113</v>
      </c>
      <c r="D938" t="s">
        <v>63</v>
      </c>
      <c r="E938" t="s">
        <v>82</v>
      </c>
      <c r="G938" t="s">
        <v>2777</v>
      </c>
    </row>
    <row r="939" spans="1:9" hidden="1">
      <c r="A939" t="s">
        <v>3093</v>
      </c>
      <c r="B939" t="s">
        <v>800</v>
      </c>
      <c r="C939" t="s">
        <v>113</v>
      </c>
      <c r="D939" t="s">
        <v>233</v>
      </c>
      <c r="E939" t="s">
        <v>624</v>
      </c>
      <c r="G939" t="s">
        <v>3094</v>
      </c>
      <c r="I939">
        <v>2</v>
      </c>
    </row>
    <row r="940" spans="1:9" hidden="1">
      <c r="A940" t="s">
        <v>3095</v>
      </c>
      <c r="B940" t="s">
        <v>1285</v>
      </c>
      <c r="C940" t="s">
        <v>117</v>
      </c>
      <c r="D940" t="s">
        <v>647</v>
      </c>
      <c r="E940" t="s">
        <v>768</v>
      </c>
      <c r="G940" t="s">
        <v>3096</v>
      </c>
      <c r="I940">
        <v>1</v>
      </c>
    </row>
    <row r="941" spans="1:9" hidden="1">
      <c r="A941" t="s">
        <v>3097</v>
      </c>
      <c r="B941" t="s">
        <v>1368</v>
      </c>
      <c r="C941" t="s">
        <v>113</v>
      </c>
      <c r="D941" t="s">
        <v>647</v>
      </c>
      <c r="E941" t="s">
        <v>768</v>
      </c>
      <c r="G941" t="s">
        <v>2061</v>
      </c>
      <c r="I941">
        <v>1</v>
      </c>
    </row>
    <row r="942" spans="1:9">
      <c r="A942" t="s">
        <v>2837</v>
      </c>
      <c r="B942" t="s">
        <v>2838</v>
      </c>
      <c r="C942" t="s">
        <v>113</v>
      </c>
      <c r="D942" t="s">
        <v>209</v>
      </c>
      <c r="E942" t="s">
        <v>647</v>
      </c>
      <c r="G942" t="s">
        <v>2839</v>
      </c>
      <c r="I942">
        <v>2</v>
      </c>
    </row>
    <row r="943" spans="1:9" hidden="1">
      <c r="A943" t="s">
        <v>3098</v>
      </c>
      <c r="B943" t="s">
        <v>1412</v>
      </c>
      <c r="C943" t="s">
        <v>113</v>
      </c>
      <c r="D943" t="s">
        <v>42</v>
      </c>
      <c r="E943" t="s">
        <v>172</v>
      </c>
      <c r="G943" t="s">
        <v>3099</v>
      </c>
    </row>
    <row r="944" spans="1:9" hidden="1">
      <c r="A944" t="s">
        <v>3100</v>
      </c>
      <c r="B944" t="s">
        <v>1484</v>
      </c>
      <c r="C944" t="s">
        <v>113</v>
      </c>
      <c r="D944" t="s">
        <v>117</v>
      </c>
      <c r="E944" t="s">
        <v>67</v>
      </c>
      <c r="G944" t="s">
        <v>3074</v>
      </c>
      <c r="I944">
        <v>3</v>
      </c>
    </row>
    <row r="945" spans="1:9" hidden="1">
      <c r="A945" t="s">
        <v>3101</v>
      </c>
      <c r="B945" t="s">
        <v>1587</v>
      </c>
      <c r="C945" t="s">
        <v>113</v>
      </c>
      <c r="D945" t="s">
        <v>154</v>
      </c>
      <c r="E945" t="s">
        <v>63</v>
      </c>
      <c r="G945" t="s">
        <v>1692</v>
      </c>
      <c r="I945">
        <v>1</v>
      </c>
    </row>
    <row r="946" spans="1:9">
      <c r="A946" t="s">
        <v>2840</v>
      </c>
      <c r="B946" t="s">
        <v>2841</v>
      </c>
      <c r="C946" t="s">
        <v>125</v>
      </c>
      <c r="D946" t="s">
        <v>126</v>
      </c>
      <c r="E946" t="s">
        <v>126</v>
      </c>
      <c r="G946" t="s">
        <v>2842</v>
      </c>
    </row>
    <row r="947" spans="1:9">
      <c r="A947" t="s">
        <v>2843</v>
      </c>
      <c r="B947" t="s">
        <v>2844</v>
      </c>
      <c r="C947" t="s">
        <v>125</v>
      </c>
      <c r="D947" t="s">
        <v>126</v>
      </c>
      <c r="E947" t="s">
        <v>126</v>
      </c>
      <c r="G947" t="s">
        <v>2845</v>
      </c>
    </row>
    <row r="948" spans="1:9">
      <c r="A948" t="s">
        <v>2846</v>
      </c>
      <c r="B948" t="s">
        <v>2847</v>
      </c>
      <c r="C948" t="s">
        <v>125</v>
      </c>
      <c r="D948" t="s">
        <v>126</v>
      </c>
      <c r="E948" t="s">
        <v>126</v>
      </c>
      <c r="G948" t="s">
        <v>1781</v>
      </c>
    </row>
    <row r="949" spans="1:9">
      <c r="A949" t="s">
        <v>2848</v>
      </c>
      <c r="B949" t="s">
        <v>2849</v>
      </c>
      <c r="C949" t="s">
        <v>125</v>
      </c>
      <c r="D949" t="s">
        <v>126</v>
      </c>
      <c r="E949" t="s">
        <v>126</v>
      </c>
      <c r="G949" t="s">
        <v>2106</v>
      </c>
    </row>
    <row r="950" spans="1:9" hidden="1">
      <c r="A950" t="s">
        <v>3102</v>
      </c>
      <c r="B950" t="s">
        <v>242</v>
      </c>
      <c r="C950" t="s">
        <v>113</v>
      </c>
      <c r="D950" t="s">
        <v>42</v>
      </c>
      <c r="E950" t="s">
        <v>63</v>
      </c>
      <c r="G950" t="s">
        <v>2371</v>
      </c>
      <c r="I950">
        <v>3</v>
      </c>
    </row>
    <row r="951" spans="1:9" hidden="1">
      <c r="A951" t="s">
        <v>3103</v>
      </c>
      <c r="B951" t="s">
        <v>1486</v>
      </c>
      <c r="C951" t="s">
        <v>113</v>
      </c>
      <c r="D951" t="s">
        <v>300</v>
      </c>
      <c r="E951" t="s">
        <v>156</v>
      </c>
      <c r="G951" t="s">
        <v>3074</v>
      </c>
      <c r="I951">
        <v>1</v>
      </c>
    </row>
    <row r="952" spans="1:9" hidden="1">
      <c r="A952" t="s">
        <v>3104</v>
      </c>
      <c r="B952" t="s">
        <v>1499</v>
      </c>
      <c r="C952" t="s">
        <v>113</v>
      </c>
      <c r="D952" t="s">
        <v>42</v>
      </c>
      <c r="E952" t="s">
        <v>213</v>
      </c>
      <c r="G952" t="s">
        <v>1710</v>
      </c>
    </row>
    <row r="953" spans="1:9" hidden="1">
      <c r="A953" t="s">
        <v>3105</v>
      </c>
      <c r="B953" t="s">
        <v>1219</v>
      </c>
      <c r="C953" t="s">
        <v>113</v>
      </c>
      <c r="D953" t="s">
        <v>42</v>
      </c>
      <c r="E953" t="s">
        <v>126</v>
      </c>
      <c r="G953" t="s">
        <v>3106</v>
      </c>
    </row>
    <row r="954" spans="1:9" hidden="1">
      <c r="A954" t="s">
        <v>3107</v>
      </c>
      <c r="B954" t="s">
        <v>1565</v>
      </c>
      <c r="C954" t="s">
        <v>113</v>
      </c>
      <c r="D954" t="s">
        <v>63</v>
      </c>
      <c r="E954" t="s">
        <v>209</v>
      </c>
      <c r="G954" t="s">
        <v>3108</v>
      </c>
      <c r="I954">
        <v>1</v>
      </c>
    </row>
    <row r="955" spans="1:9">
      <c r="A955" t="s">
        <v>2850</v>
      </c>
      <c r="B955" t="s">
        <v>2851</v>
      </c>
      <c r="C955" t="s">
        <v>117</v>
      </c>
      <c r="D955" t="s">
        <v>63</v>
      </c>
      <c r="E955" t="s">
        <v>172</v>
      </c>
      <c r="G955" t="s">
        <v>2160</v>
      </c>
      <c r="I955">
        <v>1</v>
      </c>
    </row>
    <row r="956" spans="1:9" hidden="1">
      <c r="A956" t="s">
        <v>3109</v>
      </c>
      <c r="B956" t="s">
        <v>1179</v>
      </c>
      <c r="C956" t="s">
        <v>113</v>
      </c>
      <c r="D956" t="s">
        <v>117</v>
      </c>
      <c r="E956" t="s">
        <v>67</v>
      </c>
      <c r="G956" t="s">
        <v>3110</v>
      </c>
    </row>
    <row r="957" spans="1:9" hidden="1">
      <c r="A957" t="s">
        <v>3111</v>
      </c>
      <c r="B957" t="s">
        <v>1534</v>
      </c>
      <c r="C957" t="s">
        <v>113</v>
      </c>
      <c r="D957" t="s">
        <v>42</v>
      </c>
      <c r="E957" t="s">
        <v>172</v>
      </c>
      <c r="G957" t="s">
        <v>2930</v>
      </c>
    </row>
    <row r="958" spans="1:9" hidden="1">
      <c r="A958" t="s">
        <v>3112</v>
      </c>
      <c r="B958" t="s">
        <v>1398</v>
      </c>
      <c r="C958" t="s">
        <v>113</v>
      </c>
      <c r="D958" t="s">
        <v>233</v>
      </c>
      <c r="E958" t="s">
        <v>624</v>
      </c>
      <c r="G958" t="s">
        <v>3113</v>
      </c>
      <c r="I958">
        <v>2</v>
      </c>
    </row>
    <row r="959" spans="1:9">
      <c r="A959" t="s">
        <v>2852</v>
      </c>
      <c r="B959" t="s">
        <v>2853</v>
      </c>
      <c r="C959" t="s">
        <v>125</v>
      </c>
      <c r="D959" t="s">
        <v>126</v>
      </c>
      <c r="E959" t="s">
        <v>126</v>
      </c>
      <c r="G959" t="s">
        <v>2421</v>
      </c>
    </row>
    <row r="960" spans="1:9">
      <c r="A960" t="s">
        <v>2854</v>
      </c>
      <c r="B960" t="s">
        <v>2855</v>
      </c>
      <c r="C960" t="s">
        <v>139</v>
      </c>
      <c r="D960" t="s">
        <v>117</v>
      </c>
      <c r="E960" t="s">
        <v>154</v>
      </c>
      <c r="G960" t="s">
        <v>2444</v>
      </c>
      <c r="I960">
        <v>1</v>
      </c>
    </row>
    <row r="961" spans="1:9" hidden="1">
      <c r="A961" t="s">
        <v>3114</v>
      </c>
      <c r="B961" t="s">
        <v>860</v>
      </c>
      <c r="C961" t="s">
        <v>113</v>
      </c>
      <c r="D961" t="s">
        <v>82</v>
      </c>
      <c r="E961" t="s">
        <v>180</v>
      </c>
      <c r="G961" t="s">
        <v>2526</v>
      </c>
      <c r="I961">
        <v>1</v>
      </c>
    </row>
    <row r="962" spans="1:9" hidden="1">
      <c r="A962" t="s">
        <v>3115</v>
      </c>
      <c r="B962" t="s">
        <v>1433</v>
      </c>
      <c r="C962" t="s">
        <v>113</v>
      </c>
      <c r="D962" t="s">
        <v>154</v>
      </c>
      <c r="E962" t="s">
        <v>160</v>
      </c>
      <c r="G962" t="s">
        <v>3116</v>
      </c>
      <c r="I962">
        <v>1</v>
      </c>
    </row>
    <row r="963" spans="1:9" hidden="1">
      <c r="A963" t="s">
        <v>3117</v>
      </c>
      <c r="B963" t="s">
        <v>1625</v>
      </c>
      <c r="C963" t="s">
        <v>113</v>
      </c>
      <c r="D963" t="s">
        <v>233</v>
      </c>
      <c r="E963" t="s">
        <v>154</v>
      </c>
      <c r="G963" t="s">
        <v>3118</v>
      </c>
      <c r="I963">
        <v>3</v>
      </c>
    </row>
    <row r="964" spans="1:9" hidden="1">
      <c r="A964" t="s">
        <v>3119</v>
      </c>
      <c r="B964" t="s">
        <v>1492</v>
      </c>
      <c r="C964" t="s">
        <v>113</v>
      </c>
      <c r="D964" t="s">
        <v>154</v>
      </c>
      <c r="E964" t="s">
        <v>147</v>
      </c>
      <c r="G964" t="s">
        <v>2638</v>
      </c>
    </row>
    <row r="965" spans="1:9" hidden="1">
      <c r="A965" t="s">
        <v>3120</v>
      </c>
      <c r="B965" t="s">
        <v>833</v>
      </c>
      <c r="C965" t="s">
        <v>136</v>
      </c>
      <c r="D965" t="s">
        <v>176</v>
      </c>
      <c r="E965" t="s">
        <v>217</v>
      </c>
      <c r="G965" t="s">
        <v>3121</v>
      </c>
    </row>
    <row r="966" spans="1:9" hidden="1">
      <c r="A966" t="s">
        <v>3122</v>
      </c>
      <c r="B966" t="s">
        <v>1503</v>
      </c>
      <c r="C966" t="s">
        <v>42</v>
      </c>
      <c r="D966" t="s">
        <v>213</v>
      </c>
      <c r="E966" t="s">
        <v>126</v>
      </c>
      <c r="G966" t="s">
        <v>3123</v>
      </c>
    </row>
    <row r="967" spans="1:9" hidden="1">
      <c r="A967" t="s">
        <v>3124</v>
      </c>
      <c r="B967" t="s">
        <v>1465</v>
      </c>
      <c r="C967" t="s">
        <v>113</v>
      </c>
      <c r="D967" t="s">
        <v>139</v>
      </c>
      <c r="E967" t="s">
        <v>154</v>
      </c>
      <c r="G967" t="s">
        <v>3125</v>
      </c>
      <c r="I967">
        <v>1</v>
      </c>
    </row>
    <row r="968" spans="1:9" hidden="1">
      <c r="A968" t="s">
        <v>3126</v>
      </c>
      <c r="B968" t="s">
        <v>1621</v>
      </c>
      <c r="C968" t="s">
        <v>113</v>
      </c>
      <c r="D968" t="s">
        <v>63</v>
      </c>
      <c r="E968" t="s">
        <v>959</v>
      </c>
      <c r="G968" t="s">
        <v>3024</v>
      </c>
    </row>
    <row r="969" spans="1:9">
      <c r="A969" t="s">
        <v>2856</v>
      </c>
      <c r="B969" t="s">
        <v>2857</v>
      </c>
      <c r="C969" t="s">
        <v>113</v>
      </c>
      <c r="D969" t="s">
        <v>82</v>
      </c>
      <c r="E969" t="s">
        <v>176</v>
      </c>
      <c r="G969" t="s">
        <v>2858</v>
      </c>
    </row>
    <row r="970" spans="1:9" hidden="1">
      <c r="A970" t="s">
        <v>3127</v>
      </c>
      <c r="B970" t="s">
        <v>1559</v>
      </c>
      <c r="C970" t="s">
        <v>113</v>
      </c>
      <c r="D970" t="s">
        <v>154</v>
      </c>
      <c r="E970" t="s">
        <v>82</v>
      </c>
      <c r="G970" t="s">
        <v>3128</v>
      </c>
    </row>
  </sheetData>
  <conditionalFormatting sqref="A1:A1048576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5B638-FCBC-41C9-942B-C93F935131EF}">
  <sheetPr codeName="Sheet10"/>
  <dimension ref="A1:J171"/>
  <sheetViews>
    <sheetView topLeftCell="A31" workbookViewId="0">
      <selection activeCell="E50" sqref="E50"/>
    </sheetView>
  </sheetViews>
  <sheetFormatPr defaultRowHeight="14.5"/>
  <cols>
    <col min="1" max="1" width="67.54296875" bestFit="1" customWidth="1"/>
    <col min="2" max="2" width="67.54296875" customWidth="1"/>
    <col min="3" max="3" width="80.7265625" bestFit="1" customWidth="1"/>
    <col min="4" max="5" width="20.54296875" bestFit="1" customWidth="1"/>
    <col min="6" max="6" width="21.54296875" bestFit="1" customWidth="1"/>
    <col min="7" max="7" width="80.7265625" bestFit="1" customWidth="1"/>
    <col min="8" max="8" width="7.453125" bestFit="1" customWidth="1"/>
    <col min="9" max="9" width="11" bestFit="1" customWidth="1"/>
    <col min="10" max="10" width="13.453125" bestFit="1" customWidth="1"/>
  </cols>
  <sheetData>
    <row r="1" spans="1:10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1664</v>
      </c>
      <c r="I1" t="s">
        <v>109</v>
      </c>
      <c r="J1" t="s">
        <v>110</v>
      </c>
    </row>
    <row r="2" spans="1:10">
      <c r="A2">
        <v>1910</v>
      </c>
      <c r="B2" t="s">
        <v>3129</v>
      </c>
      <c r="C2" t="s">
        <v>2787</v>
      </c>
      <c r="D2" t="s">
        <v>117</v>
      </c>
      <c r="E2" t="s">
        <v>160</v>
      </c>
      <c r="F2" t="s">
        <v>797</v>
      </c>
      <c r="G2" t="s">
        <v>2788</v>
      </c>
      <c r="H2" t="s">
        <v>2789</v>
      </c>
      <c r="I2" t="s">
        <v>126</v>
      </c>
    </row>
    <row r="3" spans="1:10">
      <c r="A3">
        <v>158</v>
      </c>
      <c r="B3" t="s">
        <v>3130</v>
      </c>
      <c r="C3" t="s">
        <v>1723</v>
      </c>
      <c r="D3" t="s">
        <v>113</v>
      </c>
      <c r="E3" t="s">
        <v>797</v>
      </c>
      <c r="F3" t="s">
        <v>1081</v>
      </c>
      <c r="G3" t="s">
        <v>126</v>
      </c>
      <c r="H3" t="s">
        <v>1666</v>
      </c>
      <c r="I3" t="s">
        <v>27</v>
      </c>
    </row>
    <row r="4" spans="1:10">
      <c r="A4">
        <v>248</v>
      </c>
      <c r="B4" t="s">
        <v>3131</v>
      </c>
      <c r="C4" t="s">
        <v>1744</v>
      </c>
      <c r="D4" t="s">
        <v>113</v>
      </c>
      <c r="E4" t="s">
        <v>117</v>
      </c>
      <c r="F4" t="s">
        <v>84</v>
      </c>
      <c r="G4" t="s">
        <v>126</v>
      </c>
      <c r="H4" t="s">
        <v>1745</v>
      </c>
      <c r="I4" t="s">
        <v>27</v>
      </c>
    </row>
    <row r="5" spans="1:10">
      <c r="A5">
        <v>265</v>
      </c>
      <c r="B5" t="s">
        <v>3132</v>
      </c>
      <c r="C5" t="s">
        <v>1749</v>
      </c>
      <c r="D5" t="s">
        <v>113</v>
      </c>
      <c r="E5" t="s">
        <v>42</v>
      </c>
      <c r="F5" t="s">
        <v>126</v>
      </c>
      <c r="G5" t="s">
        <v>1750</v>
      </c>
      <c r="H5" t="s">
        <v>1751</v>
      </c>
      <c r="I5" t="s">
        <v>27</v>
      </c>
    </row>
    <row r="6" spans="1:10">
      <c r="A6">
        <v>269</v>
      </c>
      <c r="B6" t="s">
        <v>3133</v>
      </c>
      <c r="C6" t="s">
        <v>1753</v>
      </c>
      <c r="D6" t="s">
        <v>113</v>
      </c>
      <c r="E6" t="s">
        <v>117</v>
      </c>
      <c r="F6" t="s">
        <v>136</v>
      </c>
      <c r="G6" t="s">
        <v>1754</v>
      </c>
      <c r="H6" t="s">
        <v>1755</v>
      </c>
      <c r="I6" t="s">
        <v>27</v>
      </c>
      <c r="J6">
        <v>3</v>
      </c>
    </row>
    <row r="7" spans="1:10">
      <c r="A7">
        <v>272</v>
      </c>
      <c r="B7" t="s">
        <v>3134</v>
      </c>
      <c r="C7" t="s">
        <v>1757</v>
      </c>
      <c r="D7" t="s">
        <v>272</v>
      </c>
      <c r="E7" t="s">
        <v>160</v>
      </c>
      <c r="F7" t="s">
        <v>135</v>
      </c>
      <c r="G7" t="s">
        <v>1758</v>
      </c>
      <c r="H7" t="s">
        <v>1759</v>
      </c>
      <c r="I7" t="s">
        <v>27</v>
      </c>
      <c r="J7">
        <v>4</v>
      </c>
    </row>
    <row r="8" spans="1:10">
      <c r="A8">
        <v>296</v>
      </c>
      <c r="B8" t="s">
        <v>3135</v>
      </c>
      <c r="C8" t="s">
        <v>1767</v>
      </c>
      <c r="D8" t="s">
        <v>113</v>
      </c>
      <c r="E8" t="s">
        <v>233</v>
      </c>
      <c r="F8" t="s">
        <v>172</v>
      </c>
      <c r="G8" t="s">
        <v>1768</v>
      </c>
      <c r="H8" t="s">
        <v>1769</v>
      </c>
      <c r="I8" t="s">
        <v>27</v>
      </c>
      <c r="J8">
        <v>1</v>
      </c>
    </row>
    <row r="9" spans="1:10">
      <c r="A9">
        <v>302</v>
      </c>
      <c r="B9" t="s">
        <v>3136</v>
      </c>
      <c r="C9" t="s">
        <v>1775</v>
      </c>
      <c r="D9" t="s">
        <v>113</v>
      </c>
      <c r="E9" t="s">
        <v>154</v>
      </c>
      <c r="F9" t="s">
        <v>136</v>
      </c>
      <c r="G9" t="s">
        <v>1776</v>
      </c>
      <c r="H9" t="s">
        <v>1777</v>
      </c>
      <c r="I9" t="s">
        <v>27</v>
      </c>
      <c r="J9">
        <v>2</v>
      </c>
    </row>
    <row r="10" spans="1:10">
      <c r="A10">
        <v>305</v>
      </c>
      <c r="B10" t="s">
        <v>3137</v>
      </c>
      <c r="C10" t="s">
        <v>1779</v>
      </c>
      <c r="D10" t="s">
        <v>113</v>
      </c>
      <c r="E10" t="s">
        <v>139</v>
      </c>
      <c r="F10" t="s">
        <v>180</v>
      </c>
      <c r="G10" t="s">
        <v>1780</v>
      </c>
      <c r="H10" t="s">
        <v>1781</v>
      </c>
      <c r="I10" t="s">
        <v>27</v>
      </c>
    </row>
    <row r="11" spans="1:10">
      <c r="A11">
        <v>317</v>
      </c>
      <c r="B11" t="s">
        <v>3138</v>
      </c>
      <c r="C11" t="s">
        <v>1786</v>
      </c>
      <c r="D11" t="s">
        <v>113</v>
      </c>
      <c r="E11" t="s">
        <v>176</v>
      </c>
      <c r="F11" t="s">
        <v>65</v>
      </c>
      <c r="G11" t="s">
        <v>1787</v>
      </c>
      <c r="H11" t="s">
        <v>1788</v>
      </c>
      <c r="I11" t="s">
        <v>27</v>
      </c>
    </row>
    <row r="12" spans="1:10">
      <c r="A12">
        <v>358</v>
      </c>
      <c r="B12" t="s">
        <v>3139</v>
      </c>
      <c r="C12" t="s">
        <v>1808</v>
      </c>
      <c r="D12" t="s">
        <v>139</v>
      </c>
      <c r="E12" t="s">
        <v>117</v>
      </c>
      <c r="F12" t="s">
        <v>63</v>
      </c>
      <c r="G12" t="s">
        <v>1809</v>
      </c>
      <c r="H12" t="s">
        <v>1810</v>
      </c>
      <c r="I12" t="s">
        <v>27</v>
      </c>
      <c r="J12">
        <v>3</v>
      </c>
    </row>
    <row r="13" spans="1:10">
      <c r="A13">
        <v>411</v>
      </c>
      <c r="B13" t="s">
        <v>3140</v>
      </c>
      <c r="C13" t="s">
        <v>1823</v>
      </c>
      <c r="D13" t="s">
        <v>113</v>
      </c>
      <c r="E13" t="s">
        <v>117</v>
      </c>
      <c r="F13" t="s">
        <v>44</v>
      </c>
      <c r="G13" t="s">
        <v>126</v>
      </c>
      <c r="H13" t="s">
        <v>1781</v>
      </c>
      <c r="I13" t="s">
        <v>27</v>
      </c>
      <c r="J13">
        <v>1</v>
      </c>
    </row>
    <row r="14" spans="1:10">
      <c r="A14">
        <v>425</v>
      </c>
      <c r="B14" t="s">
        <v>3141</v>
      </c>
      <c r="C14" t="s">
        <v>1827</v>
      </c>
      <c r="D14" t="s">
        <v>113</v>
      </c>
      <c r="E14" t="s">
        <v>117</v>
      </c>
      <c r="F14" t="s">
        <v>44</v>
      </c>
      <c r="G14" t="s">
        <v>1828</v>
      </c>
      <c r="H14" t="s">
        <v>1829</v>
      </c>
      <c r="I14" t="s">
        <v>27</v>
      </c>
      <c r="J14">
        <v>1</v>
      </c>
    </row>
    <row r="15" spans="1:10">
      <c r="A15">
        <v>428</v>
      </c>
      <c r="B15" t="s">
        <v>3142</v>
      </c>
      <c r="C15" t="s">
        <v>1831</v>
      </c>
      <c r="D15" t="s">
        <v>117</v>
      </c>
      <c r="E15" t="s">
        <v>135</v>
      </c>
      <c r="F15" t="s">
        <v>136</v>
      </c>
      <c r="G15" t="s">
        <v>1832</v>
      </c>
      <c r="H15" t="s">
        <v>1833</v>
      </c>
      <c r="I15" t="s">
        <v>27</v>
      </c>
      <c r="J15">
        <v>1</v>
      </c>
    </row>
    <row r="16" spans="1:10">
      <c r="A16">
        <v>431</v>
      </c>
      <c r="B16" t="s">
        <v>3143</v>
      </c>
      <c r="C16" t="s">
        <v>1835</v>
      </c>
      <c r="D16" t="s">
        <v>135</v>
      </c>
      <c r="E16" t="s">
        <v>136</v>
      </c>
      <c r="F16" t="s">
        <v>217</v>
      </c>
      <c r="G16" t="s">
        <v>1836</v>
      </c>
      <c r="H16" t="s">
        <v>1837</v>
      </c>
      <c r="I16" t="s">
        <v>27</v>
      </c>
    </row>
    <row r="17" spans="1:10">
      <c r="A17">
        <v>465</v>
      </c>
      <c r="B17" t="s">
        <v>3144</v>
      </c>
      <c r="C17" t="s">
        <v>1849</v>
      </c>
      <c r="D17" t="s">
        <v>113</v>
      </c>
      <c r="E17" t="s">
        <v>42</v>
      </c>
      <c r="F17" t="s">
        <v>217</v>
      </c>
      <c r="G17" t="s">
        <v>1850</v>
      </c>
      <c r="H17" t="s">
        <v>1851</v>
      </c>
      <c r="I17" t="s">
        <v>27</v>
      </c>
    </row>
    <row r="18" spans="1:10">
      <c r="A18">
        <v>471</v>
      </c>
      <c r="B18" t="s">
        <v>3145</v>
      </c>
      <c r="C18" t="s">
        <v>1855</v>
      </c>
      <c r="D18" t="s">
        <v>117</v>
      </c>
      <c r="E18" t="s">
        <v>42</v>
      </c>
      <c r="F18" t="s">
        <v>126</v>
      </c>
      <c r="G18" t="s">
        <v>126</v>
      </c>
      <c r="H18" t="s">
        <v>1856</v>
      </c>
      <c r="I18" t="s">
        <v>27</v>
      </c>
    </row>
    <row r="19" spans="1:10">
      <c r="A19">
        <v>489</v>
      </c>
      <c r="B19" t="s">
        <v>3146</v>
      </c>
      <c r="C19" t="s">
        <v>1867</v>
      </c>
      <c r="D19" t="s">
        <v>44</v>
      </c>
      <c r="E19" t="s">
        <v>1081</v>
      </c>
      <c r="F19" t="s">
        <v>126</v>
      </c>
      <c r="G19" t="s">
        <v>1868</v>
      </c>
      <c r="H19" t="s">
        <v>1869</v>
      </c>
      <c r="I19" t="s">
        <v>27</v>
      </c>
    </row>
    <row r="20" spans="1:10">
      <c r="A20">
        <v>499</v>
      </c>
      <c r="B20" t="s">
        <v>3147</v>
      </c>
      <c r="C20" t="s">
        <v>1873</v>
      </c>
      <c r="D20" t="s">
        <v>113</v>
      </c>
      <c r="E20" t="s">
        <v>117</v>
      </c>
      <c r="F20" t="s">
        <v>136</v>
      </c>
      <c r="G20" t="s">
        <v>1874</v>
      </c>
      <c r="H20" t="s">
        <v>1875</v>
      </c>
      <c r="I20" t="s">
        <v>27</v>
      </c>
      <c r="J20">
        <v>5</v>
      </c>
    </row>
    <row r="21" spans="1:10">
      <c r="A21">
        <v>527</v>
      </c>
      <c r="B21" t="s">
        <v>3148</v>
      </c>
      <c r="C21" t="s">
        <v>1882</v>
      </c>
      <c r="D21" t="s">
        <v>113</v>
      </c>
      <c r="E21" t="s">
        <v>117</v>
      </c>
      <c r="F21" t="s">
        <v>63</v>
      </c>
      <c r="G21" t="s">
        <v>1883</v>
      </c>
      <c r="H21" t="s">
        <v>1884</v>
      </c>
      <c r="I21" t="s">
        <v>27</v>
      </c>
      <c r="J21">
        <v>2</v>
      </c>
    </row>
    <row r="22" spans="1:10">
      <c r="A22">
        <v>548</v>
      </c>
      <c r="B22" t="s">
        <v>3149</v>
      </c>
      <c r="C22" t="s">
        <v>1888</v>
      </c>
      <c r="D22" t="s">
        <v>113</v>
      </c>
      <c r="E22" t="s">
        <v>139</v>
      </c>
      <c r="F22" t="s">
        <v>213</v>
      </c>
      <c r="G22" t="s">
        <v>1889</v>
      </c>
      <c r="H22" t="s">
        <v>1890</v>
      </c>
      <c r="I22" t="s">
        <v>27</v>
      </c>
    </row>
    <row r="23" spans="1:10">
      <c r="A23">
        <v>568</v>
      </c>
      <c r="B23" t="s">
        <v>3150</v>
      </c>
      <c r="C23" t="s">
        <v>1894</v>
      </c>
      <c r="D23" t="s">
        <v>113</v>
      </c>
      <c r="E23" t="s">
        <v>42</v>
      </c>
      <c r="F23" t="s">
        <v>65</v>
      </c>
      <c r="G23" t="s">
        <v>1895</v>
      </c>
      <c r="H23" t="s">
        <v>1896</v>
      </c>
      <c r="I23" t="s">
        <v>27</v>
      </c>
    </row>
    <row r="24" spans="1:10">
      <c r="A24">
        <v>569</v>
      </c>
      <c r="B24" t="s">
        <v>3151</v>
      </c>
      <c r="C24" t="s">
        <v>1898</v>
      </c>
      <c r="D24" t="s">
        <v>125</v>
      </c>
      <c r="E24" t="s">
        <v>126</v>
      </c>
      <c r="F24" t="s">
        <v>126</v>
      </c>
      <c r="G24" t="s">
        <v>1899</v>
      </c>
      <c r="H24" t="s">
        <v>1900</v>
      </c>
      <c r="I24" t="s">
        <v>27</v>
      </c>
    </row>
    <row r="25" spans="1:10">
      <c r="A25">
        <v>571</v>
      </c>
      <c r="B25" t="s">
        <v>3152</v>
      </c>
      <c r="C25" t="s">
        <v>1902</v>
      </c>
      <c r="D25" t="s">
        <v>125</v>
      </c>
      <c r="E25" t="s">
        <v>126</v>
      </c>
      <c r="F25" t="s">
        <v>126</v>
      </c>
      <c r="G25" t="s">
        <v>126</v>
      </c>
      <c r="H25" t="s">
        <v>1903</v>
      </c>
      <c r="I25" t="s">
        <v>27</v>
      </c>
    </row>
    <row r="26" spans="1:10">
      <c r="A26">
        <v>579</v>
      </c>
      <c r="B26" t="s">
        <v>3153</v>
      </c>
      <c r="C26" t="s">
        <v>1905</v>
      </c>
      <c r="D26" t="s">
        <v>125</v>
      </c>
      <c r="E26" t="s">
        <v>126</v>
      </c>
      <c r="F26" t="s">
        <v>126</v>
      </c>
      <c r="G26" t="s">
        <v>1906</v>
      </c>
      <c r="H26" t="s">
        <v>1886</v>
      </c>
      <c r="I26" t="s">
        <v>27</v>
      </c>
    </row>
    <row r="27" spans="1:10">
      <c r="A27">
        <v>588</v>
      </c>
      <c r="B27" t="s">
        <v>3154</v>
      </c>
      <c r="C27" t="s">
        <v>1910</v>
      </c>
      <c r="D27" t="s">
        <v>139</v>
      </c>
      <c r="E27" t="s">
        <v>117</v>
      </c>
      <c r="F27" t="s">
        <v>155</v>
      </c>
      <c r="G27" t="s">
        <v>1911</v>
      </c>
      <c r="H27" t="s">
        <v>1912</v>
      </c>
      <c r="I27" t="s">
        <v>27</v>
      </c>
      <c r="J27">
        <v>2</v>
      </c>
    </row>
    <row r="28" spans="1:10">
      <c r="A28">
        <v>615</v>
      </c>
      <c r="B28" t="s">
        <v>3155</v>
      </c>
      <c r="C28" t="s">
        <v>1920</v>
      </c>
      <c r="D28" t="s">
        <v>125</v>
      </c>
      <c r="E28" t="s">
        <v>126</v>
      </c>
      <c r="F28" t="s">
        <v>126</v>
      </c>
      <c r="G28" t="s">
        <v>1921</v>
      </c>
      <c r="H28" t="s">
        <v>1922</v>
      </c>
      <c r="I28" t="s">
        <v>27</v>
      </c>
    </row>
    <row r="29" spans="1:10">
      <c r="A29">
        <v>618</v>
      </c>
      <c r="B29" t="s">
        <v>3156</v>
      </c>
      <c r="C29" t="s">
        <v>1924</v>
      </c>
      <c r="D29" t="s">
        <v>125</v>
      </c>
      <c r="E29" t="s">
        <v>126</v>
      </c>
      <c r="F29" t="s">
        <v>126</v>
      </c>
      <c r="G29" t="s">
        <v>1925</v>
      </c>
      <c r="H29" t="s">
        <v>1678</v>
      </c>
      <c r="I29" t="s">
        <v>27</v>
      </c>
    </row>
    <row r="30" spans="1:10">
      <c r="A30">
        <v>631</v>
      </c>
      <c r="B30" t="s">
        <v>3157</v>
      </c>
      <c r="C30" t="s">
        <v>1931</v>
      </c>
      <c r="D30" t="s">
        <v>113</v>
      </c>
      <c r="E30" t="s">
        <v>121</v>
      </c>
      <c r="F30" t="s">
        <v>155</v>
      </c>
      <c r="G30" t="s">
        <v>1932</v>
      </c>
      <c r="H30" t="s">
        <v>1721</v>
      </c>
      <c r="I30" t="s">
        <v>27</v>
      </c>
      <c r="J30">
        <v>2</v>
      </c>
    </row>
    <row r="31" spans="1:10">
      <c r="A31">
        <v>642</v>
      </c>
      <c r="B31" t="s">
        <v>3158</v>
      </c>
      <c r="C31" t="s">
        <v>1938</v>
      </c>
      <c r="D31" t="s">
        <v>117</v>
      </c>
      <c r="E31" t="s">
        <v>136</v>
      </c>
      <c r="F31" t="s">
        <v>155</v>
      </c>
      <c r="G31" t="s">
        <v>1939</v>
      </c>
      <c r="H31" t="s">
        <v>1940</v>
      </c>
      <c r="I31" t="s">
        <v>27</v>
      </c>
      <c r="J31">
        <v>4</v>
      </c>
    </row>
    <row r="32" spans="1:10">
      <c r="A32">
        <v>644</v>
      </c>
      <c r="B32" t="s">
        <v>3159</v>
      </c>
      <c r="C32" t="s">
        <v>1942</v>
      </c>
      <c r="D32" t="s">
        <v>113</v>
      </c>
      <c r="E32" t="s">
        <v>154</v>
      </c>
      <c r="F32" t="s">
        <v>213</v>
      </c>
      <c r="G32" t="s">
        <v>1943</v>
      </c>
      <c r="H32" t="s">
        <v>1806</v>
      </c>
      <c r="I32" t="s">
        <v>27</v>
      </c>
    </row>
    <row r="33" spans="1:10">
      <c r="A33">
        <v>656</v>
      </c>
      <c r="B33" t="s">
        <v>3160</v>
      </c>
      <c r="C33" t="s">
        <v>1945</v>
      </c>
      <c r="D33" t="s">
        <v>113</v>
      </c>
      <c r="E33" t="s">
        <v>42</v>
      </c>
      <c r="F33" t="s">
        <v>126</v>
      </c>
      <c r="G33" t="s">
        <v>1946</v>
      </c>
      <c r="H33" t="s">
        <v>1947</v>
      </c>
      <c r="I33" t="s">
        <v>27</v>
      </c>
    </row>
    <row r="34" spans="1:10">
      <c r="A34">
        <v>660</v>
      </c>
      <c r="B34" t="s">
        <v>3161</v>
      </c>
      <c r="C34" t="s">
        <v>1949</v>
      </c>
      <c r="D34" t="s">
        <v>233</v>
      </c>
      <c r="E34" t="s">
        <v>126</v>
      </c>
      <c r="F34" t="s">
        <v>126</v>
      </c>
      <c r="G34" t="s">
        <v>1950</v>
      </c>
      <c r="H34" t="s">
        <v>1951</v>
      </c>
      <c r="I34" t="s">
        <v>27</v>
      </c>
    </row>
    <row r="35" spans="1:10">
      <c r="A35">
        <v>683</v>
      </c>
      <c r="B35" t="s">
        <v>3162</v>
      </c>
      <c r="C35" t="s">
        <v>1961</v>
      </c>
      <c r="D35" t="s">
        <v>113</v>
      </c>
      <c r="E35" t="s">
        <v>300</v>
      </c>
      <c r="F35" t="s">
        <v>156</v>
      </c>
      <c r="G35" t="s">
        <v>1962</v>
      </c>
      <c r="H35" t="s">
        <v>1806</v>
      </c>
      <c r="I35" t="s">
        <v>27</v>
      </c>
      <c r="J35">
        <v>5</v>
      </c>
    </row>
    <row r="36" spans="1:10">
      <c r="A36">
        <v>711</v>
      </c>
      <c r="B36" t="s">
        <v>3163</v>
      </c>
      <c r="C36" t="s">
        <v>1971</v>
      </c>
      <c r="D36" t="s">
        <v>139</v>
      </c>
      <c r="E36" t="s">
        <v>136</v>
      </c>
      <c r="F36" t="s">
        <v>217</v>
      </c>
      <c r="G36" t="s">
        <v>1972</v>
      </c>
      <c r="H36" t="s">
        <v>1973</v>
      </c>
      <c r="I36" t="s">
        <v>27</v>
      </c>
    </row>
    <row r="37" spans="1:10">
      <c r="A37">
        <v>716</v>
      </c>
      <c r="B37" t="s">
        <v>3164</v>
      </c>
      <c r="C37" t="s">
        <v>1976</v>
      </c>
      <c r="D37" t="s">
        <v>43</v>
      </c>
      <c r="E37" t="s">
        <v>160</v>
      </c>
      <c r="F37" t="s">
        <v>155</v>
      </c>
      <c r="G37" t="s">
        <v>1977</v>
      </c>
      <c r="H37" t="s">
        <v>1978</v>
      </c>
      <c r="I37" t="s">
        <v>27</v>
      </c>
      <c r="J37">
        <v>2</v>
      </c>
    </row>
    <row r="38" spans="1:10">
      <c r="A38">
        <v>727</v>
      </c>
      <c r="B38" t="s">
        <v>3165</v>
      </c>
      <c r="C38" t="s">
        <v>1984</v>
      </c>
      <c r="D38" t="s">
        <v>117</v>
      </c>
      <c r="E38" t="s">
        <v>42</v>
      </c>
      <c r="F38" t="s">
        <v>209</v>
      </c>
      <c r="G38" t="s">
        <v>1985</v>
      </c>
      <c r="H38" t="s">
        <v>1986</v>
      </c>
      <c r="I38" t="s">
        <v>27</v>
      </c>
    </row>
    <row r="39" spans="1:10">
      <c r="A39">
        <v>759</v>
      </c>
      <c r="B39" t="s">
        <v>3166</v>
      </c>
      <c r="C39" t="s">
        <v>2004</v>
      </c>
      <c r="D39" t="s">
        <v>113</v>
      </c>
      <c r="E39" t="s">
        <v>172</v>
      </c>
      <c r="F39" t="s">
        <v>184</v>
      </c>
      <c r="G39" t="s">
        <v>2005</v>
      </c>
      <c r="H39" t="s">
        <v>2006</v>
      </c>
      <c r="I39" t="s">
        <v>27</v>
      </c>
    </row>
    <row r="40" spans="1:10">
      <c r="A40">
        <v>772</v>
      </c>
      <c r="B40" t="s">
        <v>3167</v>
      </c>
      <c r="C40" t="s">
        <v>2016</v>
      </c>
      <c r="D40" t="s">
        <v>233</v>
      </c>
      <c r="E40" t="s">
        <v>117</v>
      </c>
      <c r="F40" t="s">
        <v>160</v>
      </c>
      <c r="G40" t="s">
        <v>2017</v>
      </c>
      <c r="H40" t="s">
        <v>2018</v>
      </c>
      <c r="I40" t="s">
        <v>27</v>
      </c>
      <c r="J40">
        <v>1</v>
      </c>
    </row>
    <row r="41" spans="1:10">
      <c r="A41">
        <v>774</v>
      </c>
      <c r="B41" t="s">
        <v>3168</v>
      </c>
      <c r="C41" t="s">
        <v>2022</v>
      </c>
      <c r="D41" t="s">
        <v>113</v>
      </c>
      <c r="E41" t="s">
        <v>154</v>
      </c>
      <c r="F41" t="s">
        <v>126</v>
      </c>
      <c r="G41" t="s">
        <v>2023</v>
      </c>
      <c r="H41" t="s">
        <v>1700</v>
      </c>
      <c r="I41" t="s">
        <v>27</v>
      </c>
    </row>
    <row r="42" spans="1:10">
      <c r="A42">
        <v>1063</v>
      </c>
      <c r="B42" t="s">
        <v>3169</v>
      </c>
      <c r="C42" t="s">
        <v>2129</v>
      </c>
      <c r="D42" t="s">
        <v>113</v>
      </c>
      <c r="E42" t="s">
        <v>160</v>
      </c>
      <c r="F42" t="s">
        <v>191</v>
      </c>
      <c r="G42" t="s">
        <v>2130</v>
      </c>
      <c r="H42" t="s">
        <v>2131</v>
      </c>
      <c r="I42" t="s">
        <v>27</v>
      </c>
    </row>
    <row r="43" spans="1:10">
      <c r="A43">
        <v>1067</v>
      </c>
      <c r="B43" t="s">
        <v>3170</v>
      </c>
      <c r="C43" t="s">
        <v>2133</v>
      </c>
      <c r="D43" t="s">
        <v>233</v>
      </c>
      <c r="E43" t="s">
        <v>42</v>
      </c>
      <c r="F43" t="s">
        <v>126</v>
      </c>
      <c r="G43" t="s">
        <v>126</v>
      </c>
      <c r="H43" t="s">
        <v>1698</v>
      </c>
      <c r="I43" t="s">
        <v>27</v>
      </c>
    </row>
    <row r="44" spans="1:10">
      <c r="A44">
        <v>1088</v>
      </c>
      <c r="B44" t="s">
        <v>3171</v>
      </c>
      <c r="C44" t="s">
        <v>2137</v>
      </c>
      <c r="D44" t="s">
        <v>233</v>
      </c>
      <c r="E44" t="s">
        <v>44</v>
      </c>
      <c r="F44" t="s">
        <v>126</v>
      </c>
      <c r="G44" t="s">
        <v>2138</v>
      </c>
      <c r="H44" t="s">
        <v>2041</v>
      </c>
      <c r="I44" t="s">
        <v>27</v>
      </c>
    </row>
    <row r="45" spans="1:10">
      <c r="A45">
        <v>1097</v>
      </c>
      <c r="B45" t="s">
        <v>3172</v>
      </c>
      <c r="C45" t="s">
        <v>2144</v>
      </c>
      <c r="D45" t="s">
        <v>125</v>
      </c>
      <c r="E45" t="s">
        <v>126</v>
      </c>
      <c r="F45" t="s">
        <v>126</v>
      </c>
      <c r="G45" t="s">
        <v>2145</v>
      </c>
      <c r="H45" t="s">
        <v>2069</v>
      </c>
      <c r="I45" t="s">
        <v>27</v>
      </c>
    </row>
    <row r="46" spans="1:10">
      <c r="A46">
        <v>1121</v>
      </c>
      <c r="B46" t="s">
        <v>3173</v>
      </c>
      <c r="C46" t="s">
        <v>2149</v>
      </c>
      <c r="D46" t="s">
        <v>113</v>
      </c>
      <c r="E46" t="s">
        <v>1027</v>
      </c>
      <c r="F46" t="s">
        <v>126</v>
      </c>
      <c r="G46" t="s">
        <v>126</v>
      </c>
      <c r="H46" t="s">
        <v>2150</v>
      </c>
      <c r="I46" t="s">
        <v>27</v>
      </c>
    </row>
    <row r="47" spans="1:10">
      <c r="A47">
        <v>1127</v>
      </c>
      <c r="B47" t="s">
        <v>3174</v>
      </c>
      <c r="C47" t="s">
        <v>2153</v>
      </c>
      <c r="D47" t="s">
        <v>125</v>
      </c>
      <c r="E47" t="s">
        <v>126</v>
      </c>
      <c r="F47" t="s">
        <v>126</v>
      </c>
      <c r="G47" t="s">
        <v>126</v>
      </c>
      <c r="H47" t="s">
        <v>2041</v>
      </c>
      <c r="I47" t="s">
        <v>27</v>
      </c>
    </row>
    <row r="48" spans="1:10">
      <c r="A48">
        <v>1153</v>
      </c>
      <c r="B48" t="s">
        <v>3175</v>
      </c>
      <c r="C48" t="s">
        <v>2157</v>
      </c>
      <c r="D48" t="s">
        <v>139</v>
      </c>
      <c r="E48" t="s">
        <v>117</v>
      </c>
      <c r="F48" t="s">
        <v>126</v>
      </c>
      <c r="G48" t="s">
        <v>2158</v>
      </c>
      <c r="H48" t="s">
        <v>1714</v>
      </c>
      <c r="I48" t="s">
        <v>27</v>
      </c>
    </row>
    <row r="49" spans="1:10">
      <c r="A49">
        <v>1159</v>
      </c>
      <c r="B49" t="s">
        <v>3176</v>
      </c>
      <c r="C49" t="s">
        <v>2162</v>
      </c>
      <c r="D49" t="s">
        <v>125</v>
      </c>
      <c r="E49" t="s">
        <v>126</v>
      </c>
      <c r="F49" t="s">
        <v>126</v>
      </c>
      <c r="G49" t="s">
        <v>2163</v>
      </c>
      <c r="H49" t="s">
        <v>2164</v>
      </c>
      <c r="I49" t="s">
        <v>27</v>
      </c>
    </row>
    <row r="50" spans="1:10">
      <c r="A50">
        <v>1168</v>
      </c>
      <c r="B50" t="s">
        <v>3177</v>
      </c>
      <c r="C50" t="s">
        <v>2167</v>
      </c>
      <c r="D50" t="s">
        <v>180</v>
      </c>
      <c r="E50" t="s">
        <v>121</v>
      </c>
      <c r="F50" t="s">
        <v>184</v>
      </c>
      <c r="G50" t="s">
        <v>2168</v>
      </c>
      <c r="H50" t="s">
        <v>2111</v>
      </c>
      <c r="I50" t="s">
        <v>27</v>
      </c>
      <c r="J50">
        <v>1</v>
      </c>
    </row>
    <row r="51" spans="1:10">
      <c r="A51">
        <v>1183</v>
      </c>
      <c r="B51" t="s">
        <v>3178</v>
      </c>
      <c r="C51" t="s">
        <v>2173</v>
      </c>
      <c r="D51" t="s">
        <v>233</v>
      </c>
      <c r="E51" t="s">
        <v>63</v>
      </c>
      <c r="F51" t="s">
        <v>172</v>
      </c>
      <c r="G51" t="s">
        <v>2174</v>
      </c>
      <c r="H51" t="s">
        <v>2175</v>
      </c>
      <c r="I51" t="s">
        <v>27</v>
      </c>
      <c r="J51">
        <v>1</v>
      </c>
    </row>
    <row r="52" spans="1:10">
      <c r="A52">
        <v>1194</v>
      </c>
      <c r="B52" t="s">
        <v>3179</v>
      </c>
      <c r="C52" t="s">
        <v>2181</v>
      </c>
      <c r="D52" t="s">
        <v>125</v>
      </c>
      <c r="E52" t="s">
        <v>126</v>
      </c>
      <c r="F52" t="s">
        <v>126</v>
      </c>
      <c r="G52" t="s">
        <v>2182</v>
      </c>
      <c r="H52" t="s">
        <v>2183</v>
      </c>
      <c r="I52" t="s">
        <v>27</v>
      </c>
    </row>
    <row r="53" spans="1:10">
      <c r="A53">
        <v>1199</v>
      </c>
      <c r="B53" t="s">
        <v>3180</v>
      </c>
      <c r="C53" t="s">
        <v>2185</v>
      </c>
      <c r="D53" t="s">
        <v>113</v>
      </c>
      <c r="E53" t="s">
        <v>233</v>
      </c>
      <c r="F53" t="s">
        <v>63</v>
      </c>
      <c r="G53" t="s">
        <v>2186</v>
      </c>
      <c r="H53" t="s">
        <v>2187</v>
      </c>
      <c r="I53" t="s">
        <v>27</v>
      </c>
      <c r="J53">
        <v>1</v>
      </c>
    </row>
    <row r="54" spans="1:10">
      <c r="A54">
        <v>1216</v>
      </c>
      <c r="B54" t="s">
        <v>3181</v>
      </c>
      <c r="C54" t="s">
        <v>2194</v>
      </c>
      <c r="D54" t="s">
        <v>117</v>
      </c>
      <c r="E54" t="s">
        <v>42</v>
      </c>
      <c r="F54" t="s">
        <v>126</v>
      </c>
      <c r="G54" t="s">
        <v>2195</v>
      </c>
      <c r="H54" t="s">
        <v>1927</v>
      </c>
      <c r="I54" t="s">
        <v>27</v>
      </c>
    </row>
    <row r="55" spans="1:10">
      <c r="A55">
        <v>1225</v>
      </c>
      <c r="B55" t="s">
        <v>3182</v>
      </c>
      <c r="C55" t="s">
        <v>2202</v>
      </c>
      <c r="D55" t="s">
        <v>125</v>
      </c>
      <c r="E55" t="s">
        <v>126</v>
      </c>
      <c r="F55" t="s">
        <v>126</v>
      </c>
      <c r="G55" t="s">
        <v>126</v>
      </c>
      <c r="H55" t="s">
        <v>1821</v>
      </c>
      <c r="I55" t="s">
        <v>27</v>
      </c>
    </row>
    <row r="56" spans="1:10">
      <c r="A56">
        <v>1231</v>
      </c>
      <c r="B56" t="s">
        <v>3183</v>
      </c>
      <c r="C56" t="s">
        <v>2204</v>
      </c>
      <c r="D56" t="s">
        <v>113</v>
      </c>
      <c r="E56" t="s">
        <v>154</v>
      </c>
      <c r="F56" t="s">
        <v>126</v>
      </c>
      <c r="G56" t="s">
        <v>2205</v>
      </c>
      <c r="H56" t="s">
        <v>2206</v>
      </c>
      <c r="I56" t="s">
        <v>27</v>
      </c>
    </row>
    <row r="57" spans="1:10">
      <c r="A57">
        <v>1246</v>
      </c>
      <c r="B57" t="s">
        <v>3184</v>
      </c>
      <c r="C57" t="s">
        <v>2211</v>
      </c>
      <c r="D57" t="s">
        <v>113</v>
      </c>
      <c r="E57" t="s">
        <v>42</v>
      </c>
      <c r="F57" t="s">
        <v>126</v>
      </c>
      <c r="G57" t="s">
        <v>126</v>
      </c>
      <c r="H57" t="s">
        <v>1698</v>
      </c>
      <c r="I57" t="s">
        <v>27</v>
      </c>
    </row>
    <row r="58" spans="1:10">
      <c r="A58">
        <v>1259</v>
      </c>
      <c r="B58" t="s">
        <v>3185</v>
      </c>
      <c r="C58" t="s">
        <v>2217</v>
      </c>
      <c r="D58" t="s">
        <v>233</v>
      </c>
      <c r="E58" t="s">
        <v>42</v>
      </c>
      <c r="F58" t="s">
        <v>126</v>
      </c>
      <c r="G58" t="s">
        <v>2218</v>
      </c>
      <c r="H58" t="s">
        <v>1759</v>
      </c>
      <c r="I58" t="s">
        <v>27</v>
      </c>
    </row>
    <row r="59" spans="1:10">
      <c r="A59">
        <v>1274</v>
      </c>
      <c r="B59" t="s">
        <v>3186</v>
      </c>
      <c r="C59" t="s">
        <v>2222</v>
      </c>
      <c r="D59" t="s">
        <v>113</v>
      </c>
      <c r="E59" t="s">
        <v>511</v>
      </c>
      <c r="F59" t="s">
        <v>1081</v>
      </c>
      <c r="G59" t="s">
        <v>2223</v>
      </c>
      <c r="H59" t="s">
        <v>2224</v>
      </c>
      <c r="I59" t="s">
        <v>27</v>
      </c>
    </row>
    <row r="60" spans="1:10">
      <c r="A60">
        <v>1336</v>
      </c>
      <c r="B60" t="s">
        <v>3187</v>
      </c>
      <c r="C60" t="s">
        <v>2245</v>
      </c>
      <c r="D60" t="s">
        <v>125</v>
      </c>
      <c r="E60" t="s">
        <v>126</v>
      </c>
      <c r="F60" t="s">
        <v>126</v>
      </c>
      <c r="G60" t="s">
        <v>126</v>
      </c>
      <c r="H60" t="s">
        <v>1912</v>
      </c>
      <c r="I60" t="s">
        <v>27</v>
      </c>
    </row>
    <row r="61" spans="1:10">
      <c r="A61">
        <v>1369</v>
      </c>
      <c r="B61" t="s">
        <v>3188</v>
      </c>
      <c r="C61" t="s">
        <v>2259</v>
      </c>
      <c r="D61" t="s">
        <v>125</v>
      </c>
      <c r="E61" t="s">
        <v>126</v>
      </c>
      <c r="F61" t="s">
        <v>126</v>
      </c>
      <c r="G61" t="s">
        <v>126</v>
      </c>
      <c r="H61" t="s">
        <v>2260</v>
      </c>
      <c r="I61" t="s">
        <v>27</v>
      </c>
    </row>
    <row r="62" spans="1:10">
      <c r="A62">
        <v>1384</v>
      </c>
      <c r="B62" t="s">
        <v>3189</v>
      </c>
      <c r="C62" t="s">
        <v>2267</v>
      </c>
      <c r="D62" t="s">
        <v>125</v>
      </c>
      <c r="E62" t="s">
        <v>126</v>
      </c>
      <c r="F62" t="s">
        <v>126</v>
      </c>
      <c r="G62" t="s">
        <v>126</v>
      </c>
      <c r="H62" t="s">
        <v>2268</v>
      </c>
      <c r="I62" t="s">
        <v>27</v>
      </c>
    </row>
    <row r="63" spans="1:10">
      <c r="A63">
        <v>1412</v>
      </c>
      <c r="B63" t="s">
        <v>3190</v>
      </c>
      <c r="C63" t="s">
        <v>2280</v>
      </c>
      <c r="D63" t="s">
        <v>125</v>
      </c>
      <c r="E63" t="s">
        <v>126</v>
      </c>
      <c r="F63" t="s">
        <v>126</v>
      </c>
      <c r="G63" t="s">
        <v>126</v>
      </c>
      <c r="H63" t="s">
        <v>2155</v>
      </c>
      <c r="I63" t="s">
        <v>27</v>
      </c>
    </row>
    <row r="64" spans="1:10">
      <c r="A64">
        <v>1479</v>
      </c>
      <c r="B64" t="s">
        <v>3191</v>
      </c>
      <c r="C64" t="s">
        <v>2299</v>
      </c>
      <c r="D64" t="s">
        <v>125</v>
      </c>
      <c r="E64" t="s">
        <v>126</v>
      </c>
      <c r="F64" t="s">
        <v>126</v>
      </c>
      <c r="G64" t="s">
        <v>2300</v>
      </c>
      <c r="H64" t="s">
        <v>2301</v>
      </c>
      <c r="I64" t="s">
        <v>27</v>
      </c>
    </row>
    <row r="65" spans="1:10">
      <c r="A65">
        <v>1516</v>
      </c>
      <c r="B65" t="s">
        <v>3192</v>
      </c>
      <c r="C65" t="s">
        <v>2314</v>
      </c>
      <c r="D65" t="s">
        <v>135</v>
      </c>
      <c r="E65" t="s">
        <v>136</v>
      </c>
      <c r="F65" t="s">
        <v>126</v>
      </c>
      <c r="G65" t="s">
        <v>126</v>
      </c>
      <c r="H65" t="s">
        <v>2315</v>
      </c>
      <c r="I65" t="s">
        <v>27</v>
      </c>
    </row>
    <row r="66" spans="1:10">
      <c r="A66">
        <v>1548</v>
      </c>
      <c r="B66" t="s">
        <v>3193</v>
      </c>
      <c r="C66" t="s">
        <v>2327</v>
      </c>
      <c r="D66" t="s">
        <v>42</v>
      </c>
      <c r="E66" t="s">
        <v>121</v>
      </c>
      <c r="F66" t="s">
        <v>126</v>
      </c>
      <c r="G66" t="s">
        <v>2328</v>
      </c>
      <c r="H66" t="s">
        <v>1845</v>
      </c>
      <c r="I66" t="s">
        <v>27</v>
      </c>
    </row>
    <row r="67" spans="1:10">
      <c r="A67">
        <v>1597</v>
      </c>
      <c r="B67" t="s">
        <v>3194</v>
      </c>
      <c r="C67" t="s">
        <v>2342</v>
      </c>
      <c r="D67" t="s">
        <v>117</v>
      </c>
      <c r="E67" t="s">
        <v>160</v>
      </c>
      <c r="F67" t="s">
        <v>135</v>
      </c>
      <c r="G67" t="s">
        <v>126</v>
      </c>
      <c r="H67" t="s">
        <v>2343</v>
      </c>
      <c r="I67" t="s">
        <v>27</v>
      </c>
      <c r="J67">
        <v>1</v>
      </c>
    </row>
    <row r="68" spans="1:10">
      <c r="A68">
        <v>1635</v>
      </c>
      <c r="B68" t="s">
        <v>3195</v>
      </c>
      <c r="C68" t="s">
        <v>2360</v>
      </c>
      <c r="D68" t="s">
        <v>125</v>
      </c>
      <c r="E68" t="s">
        <v>126</v>
      </c>
      <c r="F68" t="s">
        <v>126</v>
      </c>
      <c r="G68" t="s">
        <v>2361</v>
      </c>
      <c r="H68" t="s">
        <v>1912</v>
      </c>
      <c r="I68" t="s">
        <v>27</v>
      </c>
    </row>
    <row r="69" spans="1:10">
      <c r="A69">
        <v>1645</v>
      </c>
      <c r="B69" t="s">
        <v>3196</v>
      </c>
      <c r="C69" t="s">
        <v>2365</v>
      </c>
      <c r="D69" t="s">
        <v>125</v>
      </c>
      <c r="E69" t="s">
        <v>126</v>
      </c>
      <c r="F69" t="s">
        <v>126</v>
      </c>
      <c r="G69" t="s">
        <v>126</v>
      </c>
      <c r="H69" t="s">
        <v>2366</v>
      </c>
      <c r="I69" t="s">
        <v>27</v>
      </c>
    </row>
    <row r="70" spans="1:10">
      <c r="A70">
        <v>1651</v>
      </c>
      <c r="B70" t="s">
        <v>3197</v>
      </c>
      <c r="C70" t="s">
        <v>2370</v>
      </c>
      <c r="D70" t="s">
        <v>125</v>
      </c>
      <c r="E70" t="s">
        <v>126</v>
      </c>
      <c r="F70" t="s">
        <v>126</v>
      </c>
      <c r="G70" t="s">
        <v>126</v>
      </c>
      <c r="H70" t="s">
        <v>2371</v>
      </c>
      <c r="I70" t="s">
        <v>27</v>
      </c>
    </row>
    <row r="71" spans="1:10">
      <c r="A71">
        <v>1692</v>
      </c>
      <c r="B71" t="s">
        <v>3198</v>
      </c>
      <c r="C71" t="s">
        <v>2384</v>
      </c>
      <c r="D71" t="s">
        <v>42</v>
      </c>
      <c r="E71" t="s">
        <v>126</v>
      </c>
      <c r="F71" t="s">
        <v>126</v>
      </c>
      <c r="G71" t="s">
        <v>126</v>
      </c>
      <c r="H71" t="s">
        <v>2385</v>
      </c>
      <c r="I71" t="s">
        <v>27</v>
      </c>
    </row>
    <row r="72" spans="1:10">
      <c r="A72">
        <v>1714</v>
      </c>
      <c r="B72" t="s">
        <v>3199</v>
      </c>
      <c r="C72" t="s">
        <v>2391</v>
      </c>
      <c r="D72" t="s">
        <v>113</v>
      </c>
      <c r="E72" t="s">
        <v>42</v>
      </c>
      <c r="F72" t="s">
        <v>126</v>
      </c>
      <c r="G72" t="s">
        <v>126</v>
      </c>
      <c r="H72" t="s">
        <v>1940</v>
      </c>
      <c r="I72" t="s">
        <v>27</v>
      </c>
    </row>
    <row r="73" spans="1:10">
      <c r="A73">
        <v>1724</v>
      </c>
      <c r="B73" t="s">
        <v>3200</v>
      </c>
      <c r="C73" t="s">
        <v>2396</v>
      </c>
      <c r="D73" t="s">
        <v>180</v>
      </c>
      <c r="E73" t="s">
        <v>121</v>
      </c>
      <c r="F73" t="s">
        <v>2397</v>
      </c>
      <c r="G73" t="s">
        <v>126</v>
      </c>
      <c r="H73" t="s">
        <v>2398</v>
      </c>
      <c r="I73" t="s">
        <v>27</v>
      </c>
    </row>
    <row r="74" spans="1:10">
      <c r="A74">
        <v>1767</v>
      </c>
      <c r="B74" t="s">
        <v>3201</v>
      </c>
      <c r="C74" t="s">
        <v>2408</v>
      </c>
      <c r="D74" t="s">
        <v>125</v>
      </c>
      <c r="E74" t="s">
        <v>126</v>
      </c>
      <c r="F74" t="s">
        <v>126</v>
      </c>
      <c r="G74" t="s">
        <v>126</v>
      </c>
      <c r="H74" t="s">
        <v>2409</v>
      </c>
      <c r="I74" t="s">
        <v>27</v>
      </c>
    </row>
    <row r="75" spans="1:10">
      <c r="A75">
        <v>1788</v>
      </c>
      <c r="B75" t="s">
        <v>3202</v>
      </c>
      <c r="C75" t="s">
        <v>2418</v>
      </c>
      <c r="D75" t="s">
        <v>113</v>
      </c>
      <c r="E75" t="s">
        <v>139</v>
      </c>
      <c r="F75" t="s">
        <v>63</v>
      </c>
      <c r="G75" t="s">
        <v>126</v>
      </c>
      <c r="H75" t="s">
        <v>2419</v>
      </c>
      <c r="I75" t="s">
        <v>27</v>
      </c>
      <c r="J75">
        <v>1</v>
      </c>
    </row>
    <row r="76" spans="1:10">
      <c r="A76">
        <v>1842</v>
      </c>
      <c r="B76" t="s">
        <v>3203</v>
      </c>
      <c r="C76" t="s">
        <v>2436</v>
      </c>
      <c r="D76" t="s">
        <v>272</v>
      </c>
      <c r="E76" t="s">
        <v>117</v>
      </c>
      <c r="F76" t="s">
        <v>126</v>
      </c>
      <c r="G76" t="s">
        <v>126</v>
      </c>
      <c r="H76" t="s">
        <v>2334</v>
      </c>
      <c r="I76" t="s">
        <v>27</v>
      </c>
    </row>
    <row r="77" spans="1:10">
      <c r="A77">
        <v>1892</v>
      </c>
      <c r="B77" t="s">
        <v>3204</v>
      </c>
      <c r="C77" t="s">
        <v>2452</v>
      </c>
      <c r="D77" t="s">
        <v>125</v>
      </c>
      <c r="E77" t="s">
        <v>126</v>
      </c>
      <c r="F77" t="s">
        <v>126</v>
      </c>
      <c r="G77" t="s">
        <v>126</v>
      </c>
      <c r="H77" t="s">
        <v>1716</v>
      </c>
      <c r="I77" t="s">
        <v>27</v>
      </c>
    </row>
    <row r="78" spans="1:10">
      <c r="A78">
        <v>1917</v>
      </c>
      <c r="B78" t="s">
        <v>3205</v>
      </c>
      <c r="C78" t="s">
        <v>2458</v>
      </c>
      <c r="D78" t="s">
        <v>125</v>
      </c>
      <c r="E78" t="s">
        <v>126</v>
      </c>
      <c r="F78" t="s">
        <v>126</v>
      </c>
      <c r="G78" t="s">
        <v>126</v>
      </c>
      <c r="H78" t="s">
        <v>2459</v>
      </c>
      <c r="I78" t="s">
        <v>27</v>
      </c>
    </row>
    <row r="79" spans="1:10">
      <c r="A79">
        <v>1919</v>
      </c>
      <c r="B79" t="s">
        <v>3206</v>
      </c>
      <c r="C79" t="s">
        <v>2461</v>
      </c>
      <c r="D79" t="s">
        <v>125</v>
      </c>
      <c r="E79" t="s">
        <v>126</v>
      </c>
      <c r="F79" t="s">
        <v>126</v>
      </c>
      <c r="G79" t="s">
        <v>126</v>
      </c>
      <c r="H79" t="s">
        <v>1863</v>
      </c>
      <c r="I79" t="s">
        <v>27</v>
      </c>
    </row>
    <row r="80" spans="1:10">
      <c r="A80">
        <v>1924</v>
      </c>
      <c r="B80" t="s">
        <v>3207</v>
      </c>
      <c r="C80" t="s">
        <v>2465</v>
      </c>
      <c r="D80" t="s">
        <v>113</v>
      </c>
      <c r="E80" t="s">
        <v>233</v>
      </c>
      <c r="F80" t="s">
        <v>624</v>
      </c>
      <c r="G80" t="s">
        <v>126</v>
      </c>
      <c r="H80" t="s">
        <v>2115</v>
      </c>
      <c r="I80" t="s">
        <v>27</v>
      </c>
    </row>
    <row r="81" spans="1:10">
      <c r="A81">
        <v>1956</v>
      </c>
      <c r="B81" t="s">
        <v>3208</v>
      </c>
      <c r="C81" t="s">
        <v>2474</v>
      </c>
      <c r="D81" t="s">
        <v>113</v>
      </c>
      <c r="E81" t="s">
        <v>233</v>
      </c>
      <c r="F81" t="s">
        <v>154</v>
      </c>
      <c r="G81" t="s">
        <v>126</v>
      </c>
      <c r="H81" t="s">
        <v>2447</v>
      </c>
      <c r="I81" t="s">
        <v>27</v>
      </c>
      <c r="J81">
        <v>2</v>
      </c>
    </row>
    <row r="82" spans="1:10">
      <c r="A82">
        <v>1972</v>
      </c>
      <c r="B82" t="s">
        <v>3209</v>
      </c>
      <c r="C82" t="s">
        <v>2481</v>
      </c>
      <c r="D82" t="s">
        <v>125</v>
      </c>
      <c r="E82" t="s">
        <v>126</v>
      </c>
      <c r="F82" t="s">
        <v>126</v>
      </c>
      <c r="G82" t="s">
        <v>2483</v>
      </c>
      <c r="H82" t="s">
        <v>2482</v>
      </c>
      <c r="I82" t="s">
        <v>27</v>
      </c>
    </row>
    <row r="83" spans="1:10">
      <c r="A83">
        <v>2004</v>
      </c>
      <c r="B83" t="s">
        <v>3210</v>
      </c>
      <c r="C83" t="s">
        <v>2494</v>
      </c>
      <c r="D83" t="s">
        <v>125</v>
      </c>
      <c r="E83" t="s">
        <v>126</v>
      </c>
      <c r="F83" t="s">
        <v>126</v>
      </c>
      <c r="G83" t="s">
        <v>2495</v>
      </c>
      <c r="H83" t="s">
        <v>1739</v>
      </c>
      <c r="I83" t="s">
        <v>27</v>
      </c>
    </row>
    <row r="84" spans="1:10">
      <c r="A84">
        <v>2005</v>
      </c>
      <c r="B84" t="s">
        <v>3211</v>
      </c>
      <c r="C84" t="s">
        <v>2497</v>
      </c>
      <c r="D84" t="s">
        <v>233</v>
      </c>
      <c r="E84" t="s">
        <v>42</v>
      </c>
      <c r="F84" t="s">
        <v>135</v>
      </c>
      <c r="G84" t="s">
        <v>126</v>
      </c>
      <c r="H84" t="s">
        <v>2164</v>
      </c>
      <c r="I84" t="s">
        <v>27</v>
      </c>
      <c r="J84">
        <v>2</v>
      </c>
    </row>
    <row r="85" spans="1:10">
      <c r="A85">
        <v>2010</v>
      </c>
      <c r="B85" t="s">
        <v>3212</v>
      </c>
      <c r="C85" t="s">
        <v>2500</v>
      </c>
      <c r="D85" t="s">
        <v>125</v>
      </c>
      <c r="E85" t="s">
        <v>126</v>
      </c>
      <c r="F85" t="s">
        <v>126</v>
      </c>
      <c r="G85" t="s">
        <v>126</v>
      </c>
      <c r="H85" t="s">
        <v>2247</v>
      </c>
      <c r="I85" t="s">
        <v>27</v>
      </c>
    </row>
    <row r="86" spans="1:10">
      <c r="A86">
        <v>2118</v>
      </c>
      <c r="B86" t="s">
        <v>3213</v>
      </c>
      <c r="C86" t="s">
        <v>2536</v>
      </c>
      <c r="D86" t="s">
        <v>125</v>
      </c>
      <c r="E86" t="s">
        <v>126</v>
      </c>
      <c r="F86" t="s">
        <v>126</v>
      </c>
      <c r="G86" t="s">
        <v>126</v>
      </c>
      <c r="H86" t="s">
        <v>2537</v>
      </c>
      <c r="I86" t="s">
        <v>27</v>
      </c>
    </row>
    <row r="87" spans="1:10">
      <c r="A87">
        <v>2123</v>
      </c>
      <c r="B87" t="s">
        <v>3214</v>
      </c>
      <c r="C87" t="s">
        <v>2540</v>
      </c>
      <c r="D87" t="s">
        <v>113</v>
      </c>
      <c r="E87" t="s">
        <v>121</v>
      </c>
      <c r="F87" t="s">
        <v>65</v>
      </c>
      <c r="G87" t="s">
        <v>126</v>
      </c>
      <c r="H87" t="s">
        <v>1680</v>
      </c>
      <c r="I87" t="s">
        <v>27</v>
      </c>
    </row>
    <row r="88" spans="1:10">
      <c r="A88">
        <v>2143</v>
      </c>
      <c r="B88" t="s">
        <v>3215</v>
      </c>
      <c r="C88" t="s">
        <v>2548</v>
      </c>
      <c r="D88" t="s">
        <v>113</v>
      </c>
      <c r="E88" t="s">
        <v>42</v>
      </c>
      <c r="F88" t="s">
        <v>126</v>
      </c>
      <c r="G88" t="s">
        <v>126</v>
      </c>
      <c r="H88" t="s">
        <v>2549</v>
      </c>
      <c r="I88" t="s">
        <v>27</v>
      </c>
    </row>
    <row r="89" spans="1:10">
      <c r="A89">
        <v>2153</v>
      </c>
      <c r="B89" t="s">
        <v>3216</v>
      </c>
      <c r="C89" t="s">
        <v>2553</v>
      </c>
      <c r="D89" t="s">
        <v>125</v>
      </c>
      <c r="E89" t="s">
        <v>126</v>
      </c>
      <c r="F89" t="s">
        <v>126</v>
      </c>
      <c r="G89" t="s">
        <v>2554</v>
      </c>
      <c r="H89" t="s">
        <v>2380</v>
      </c>
      <c r="I89" t="s">
        <v>27</v>
      </c>
    </row>
    <row r="90" spans="1:10">
      <c r="A90">
        <v>2158</v>
      </c>
      <c r="B90" t="s">
        <v>3217</v>
      </c>
      <c r="C90" t="s">
        <v>2560</v>
      </c>
      <c r="D90" t="s">
        <v>113</v>
      </c>
      <c r="E90" t="s">
        <v>156</v>
      </c>
      <c r="F90" t="s">
        <v>86</v>
      </c>
      <c r="G90" t="s">
        <v>126</v>
      </c>
      <c r="H90" t="s">
        <v>2051</v>
      </c>
      <c r="I90" t="s">
        <v>27</v>
      </c>
    </row>
    <row r="91" spans="1:10">
      <c r="A91">
        <v>2173</v>
      </c>
      <c r="B91" t="s">
        <v>3218</v>
      </c>
      <c r="C91" t="s">
        <v>2565</v>
      </c>
      <c r="D91" t="s">
        <v>125</v>
      </c>
      <c r="E91" t="s">
        <v>126</v>
      </c>
      <c r="F91" t="s">
        <v>126</v>
      </c>
      <c r="G91" t="s">
        <v>2566</v>
      </c>
      <c r="H91" t="s">
        <v>1796</v>
      </c>
      <c r="I91" t="s">
        <v>27</v>
      </c>
    </row>
    <row r="92" spans="1:10">
      <c r="A92">
        <v>2199</v>
      </c>
      <c r="B92" t="s">
        <v>3219</v>
      </c>
      <c r="C92" t="s">
        <v>2576</v>
      </c>
      <c r="D92" t="s">
        <v>125</v>
      </c>
      <c r="E92" t="s">
        <v>126</v>
      </c>
      <c r="F92" t="s">
        <v>126</v>
      </c>
      <c r="G92" t="s">
        <v>126</v>
      </c>
      <c r="H92" t="s">
        <v>2441</v>
      </c>
      <c r="I92" t="s">
        <v>27</v>
      </c>
    </row>
    <row r="93" spans="1:10">
      <c r="A93">
        <v>2204</v>
      </c>
      <c r="B93" t="s">
        <v>3220</v>
      </c>
      <c r="C93" t="s">
        <v>2579</v>
      </c>
      <c r="D93" t="s">
        <v>136</v>
      </c>
      <c r="E93" t="s">
        <v>176</v>
      </c>
      <c r="F93" t="s">
        <v>204</v>
      </c>
      <c r="G93" t="s">
        <v>2581</v>
      </c>
      <c r="H93" t="s">
        <v>2580</v>
      </c>
      <c r="I93" t="s">
        <v>27</v>
      </c>
    </row>
    <row r="94" spans="1:10">
      <c r="A94">
        <v>2247</v>
      </c>
      <c r="B94" t="s">
        <v>3221</v>
      </c>
      <c r="C94" t="s">
        <v>2593</v>
      </c>
      <c r="D94" t="s">
        <v>42</v>
      </c>
      <c r="E94" t="s">
        <v>82</v>
      </c>
      <c r="F94" t="s">
        <v>204</v>
      </c>
      <c r="G94" t="s">
        <v>126</v>
      </c>
      <c r="H94" t="s">
        <v>1959</v>
      </c>
      <c r="I94" t="s">
        <v>27</v>
      </c>
    </row>
    <row r="95" spans="1:10">
      <c r="A95">
        <v>2252</v>
      </c>
      <c r="B95" t="s">
        <v>3222</v>
      </c>
      <c r="C95" t="s">
        <v>2596</v>
      </c>
      <c r="D95" t="s">
        <v>125</v>
      </c>
      <c r="E95" t="s">
        <v>126</v>
      </c>
      <c r="F95" t="s">
        <v>126</v>
      </c>
      <c r="G95" t="s">
        <v>126</v>
      </c>
      <c r="H95" t="s">
        <v>1922</v>
      </c>
      <c r="I95" t="s">
        <v>27</v>
      </c>
    </row>
    <row r="96" spans="1:10">
      <c r="A96">
        <v>2253</v>
      </c>
      <c r="B96" t="s">
        <v>3223</v>
      </c>
      <c r="C96" t="s">
        <v>2598</v>
      </c>
      <c r="D96" t="s">
        <v>125</v>
      </c>
      <c r="E96" t="s">
        <v>126</v>
      </c>
      <c r="F96" t="s">
        <v>126</v>
      </c>
      <c r="G96" t="s">
        <v>126</v>
      </c>
      <c r="H96" t="s">
        <v>2260</v>
      </c>
      <c r="I96" t="s">
        <v>27</v>
      </c>
    </row>
    <row r="97" spans="1:10">
      <c r="A97">
        <v>2254</v>
      </c>
      <c r="B97" t="s">
        <v>3224</v>
      </c>
      <c r="C97" t="s">
        <v>2600</v>
      </c>
      <c r="D97" t="s">
        <v>139</v>
      </c>
      <c r="E97" t="s">
        <v>160</v>
      </c>
      <c r="F97" t="s">
        <v>155</v>
      </c>
      <c r="G97" t="s">
        <v>126</v>
      </c>
      <c r="H97" t="s">
        <v>2601</v>
      </c>
      <c r="I97" t="s">
        <v>27</v>
      </c>
      <c r="J97">
        <v>1</v>
      </c>
    </row>
    <row r="98" spans="1:10">
      <c r="A98">
        <v>2263</v>
      </c>
      <c r="B98" t="s">
        <v>3225</v>
      </c>
      <c r="C98" t="s">
        <v>2607</v>
      </c>
      <c r="D98" t="s">
        <v>42</v>
      </c>
      <c r="E98" t="s">
        <v>63</v>
      </c>
      <c r="F98" t="s">
        <v>126</v>
      </c>
      <c r="G98" t="s">
        <v>126</v>
      </c>
      <c r="H98" t="s">
        <v>2524</v>
      </c>
      <c r="I98" t="s">
        <v>27</v>
      </c>
    </row>
    <row r="99" spans="1:10">
      <c r="A99">
        <v>2277</v>
      </c>
      <c r="B99" t="s">
        <v>3226</v>
      </c>
      <c r="C99" t="s">
        <v>2612</v>
      </c>
      <c r="D99" t="s">
        <v>113</v>
      </c>
      <c r="E99" t="s">
        <v>135</v>
      </c>
      <c r="F99" t="s">
        <v>136</v>
      </c>
      <c r="G99" t="s">
        <v>126</v>
      </c>
      <c r="H99" t="s">
        <v>2613</v>
      </c>
      <c r="I99" t="s">
        <v>27</v>
      </c>
      <c r="J99">
        <v>1</v>
      </c>
    </row>
    <row r="100" spans="1:10">
      <c r="A100">
        <v>2307</v>
      </c>
      <c r="B100" t="s">
        <v>3227</v>
      </c>
      <c r="C100" t="s">
        <v>2625</v>
      </c>
      <c r="D100" t="s">
        <v>113</v>
      </c>
      <c r="E100" t="s">
        <v>136</v>
      </c>
      <c r="F100" t="s">
        <v>180</v>
      </c>
      <c r="G100" t="s">
        <v>126</v>
      </c>
      <c r="H100" t="s">
        <v>1798</v>
      </c>
      <c r="I100" t="s">
        <v>27</v>
      </c>
      <c r="J100">
        <v>1</v>
      </c>
    </row>
    <row r="101" spans="1:10">
      <c r="A101">
        <v>2313</v>
      </c>
      <c r="B101" t="s">
        <v>3228</v>
      </c>
      <c r="C101" t="s">
        <v>2629</v>
      </c>
      <c r="D101" t="s">
        <v>42</v>
      </c>
      <c r="E101" t="s">
        <v>135</v>
      </c>
      <c r="F101" t="s">
        <v>204</v>
      </c>
      <c r="G101" t="s">
        <v>126</v>
      </c>
      <c r="H101" t="s">
        <v>2630</v>
      </c>
      <c r="I101" t="s">
        <v>27</v>
      </c>
    </row>
    <row r="102" spans="1:10">
      <c r="A102">
        <v>2355</v>
      </c>
      <c r="B102" t="s">
        <v>3229</v>
      </c>
      <c r="C102" t="s">
        <v>2644</v>
      </c>
      <c r="D102" t="s">
        <v>113</v>
      </c>
      <c r="E102" t="s">
        <v>42</v>
      </c>
      <c r="F102" t="s">
        <v>160</v>
      </c>
      <c r="G102" t="s">
        <v>2645</v>
      </c>
      <c r="H102" t="s">
        <v>2366</v>
      </c>
      <c r="I102" t="s">
        <v>27</v>
      </c>
      <c r="J102">
        <v>1</v>
      </c>
    </row>
    <row r="103" spans="1:10">
      <c r="A103">
        <v>2361</v>
      </c>
      <c r="B103" t="s">
        <v>3230</v>
      </c>
      <c r="C103" t="s">
        <v>2648</v>
      </c>
      <c r="D103" t="s">
        <v>113</v>
      </c>
      <c r="E103" t="s">
        <v>42</v>
      </c>
      <c r="F103" t="s">
        <v>126</v>
      </c>
      <c r="H103" t="s">
        <v>2301</v>
      </c>
    </row>
    <row r="104" spans="1:10">
      <c r="A104">
        <v>2362</v>
      </c>
      <c r="B104" t="s">
        <v>3231</v>
      </c>
      <c r="C104" t="s">
        <v>2651</v>
      </c>
      <c r="D104" t="s">
        <v>125</v>
      </c>
      <c r="E104" t="s">
        <v>126</v>
      </c>
      <c r="F104" t="s">
        <v>126</v>
      </c>
      <c r="H104" t="s">
        <v>2652</v>
      </c>
    </row>
    <row r="105" spans="1:10">
      <c r="A105">
        <v>2371</v>
      </c>
      <c r="B105" t="s">
        <v>3232</v>
      </c>
      <c r="C105" t="s">
        <v>2655</v>
      </c>
      <c r="D105" t="s">
        <v>113</v>
      </c>
      <c r="E105" t="s">
        <v>180</v>
      </c>
      <c r="F105" t="s">
        <v>121</v>
      </c>
      <c r="H105" t="s">
        <v>2656</v>
      </c>
      <c r="J105">
        <v>3</v>
      </c>
    </row>
    <row r="106" spans="1:10">
      <c r="A106">
        <v>2403</v>
      </c>
      <c r="B106" t="s">
        <v>3233</v>
      </c>
      <c r="C106" t="s">
        <v>2667</v>
      </c>
      <c r="D106" t="s">
        <v>113</v>
      </c>
      <c r="E106" t="s">
        <v>42</v>
      </c>
      <c r="F106" t="s">
        <v>204</v>
      </c>
      <c r="H106" t="s">
        <v>2537</v>
      </c>
    </row>
    <row r="107" spans="1:10">
      <c r="A107">
        <v>2459</v>
      </c>
      <c r="B107" t="s">
        <v>3234</v>
      </c>
      <c r="C107" t="s">
        <v>2687</v>
      </c>
      <c r="D107" t="s">
        <v>113</v>
      </c>
      <c r="E107" t="s">
        <v>63</v>
      </c>
      <c r="F107" t="s">
        <v>172</v>
      </c>
      <c r="H107" t="s">
        <v>2002</v>
      </c>
    </row>
    <row r="108" spans="1:10">
      <c r="A108">
        <v>2474</v>
      </c>
      <c r="B108" t="s">
        <v>3235</v>
      </c>
      <c r="C108" t="s">
        <v>2693</v>
      </c>
      <c r="D108" t="s">
        <v>125</v>
      </c>
      <c r="E108" t="s">
        <v>126</v>
      </c>
      <c r="F108" t="s">
        <v>126</v>
      </c>
      <c r="H108" t="s">
        <v>2694</v>
      </c>
    </row>
    <row r="109" spans="1:10">
      <c r="A109">
        <v>2479</v>
      </c>
      <c r="B109" t="s">
        <v>3236</v>
      </c>
      <c r="C109" t="s">
        <v>2697</v>
      </c>
      <c r="D109" t="s">
        <v>135</v>
      </c>
      <c r="E109" t="s">
        <v>136</v>
      </c>
      <c r="F109" t="s">
        <v>121</v>
      </c>
      <c r="H109" t="s">
        <v>2698</v>
      </c>
      <c r="J109">
        <v>1</v>
      </c>
    </row>
    <row r="110" spans="1:10">
      <c r="A110">
        <v>2494</v>
      </c>
      <c r="B110" t="s">
        <v>3237</v>
      </c>
      <c r="C110" t="s">
        <v>2703</v>
      </c>
      <c r="D110" t="s">
        <v>125</v>
      </c>
      <c r="E110" t="s">
        <v>126</v>
      </c>
      <c r="F110" t="s">
        <v>126</v>
      </c>
      <c r="H110" t="s">
        <v>2519</v>
      </c>
    </row>
    <row r="111" spans="1:10">
      <c r="A111">
        <v>2519</v>
      </c>
      <c r="B111" t="s">
        <v>3238</v>
      </c>
      <c r="C111" t="s">
        <v>2711</v>
      </c>
      <c r="D111" t="s">
        <v>113</v>
      </c>
      <c r="E111" t="s">
        <v>154</v>
      </c>
      <c r="F111" t="s">
        <v>511</v>
      </c>
      <c r="H111" t="s">
        <v>2712</v>
      </c>
      <c r="J111">
        <v>4</v>
      </c>
    </row>
    <row r="112" spans="1:10">
      <c r="A112">
        <v>2524</v>
      </c>
      <c r="B112" t="s">
        <v>3239</v>
      </c>
      <c r="C112" t="s">
        <v>2714</v>
      </c>
      <c r="D112" t="s">
        <v>113</v>
      </c>
      <c r="E112" t="s">
        <v>139</v>
      </c>
      <c r="F112" t="s">
        <v>233</v>
      </c>
      <c r="H112" t="s">
        <v>2715</v>
      </c>
      <c r="J112">
        <v>2</v>
      </c>
    </row>
    <row r="113" spans="1:10">
      <c r="A113">
        <v>2534</v>
      </c>
      <c r="B113" t="s">
        <v>3240</v>
      </c>
      <c r="C113" t="s">
        <v>2719</v>
      </c>
      <c r="D113" t="s">
        <v>113</v>
      </c>
      <c r="E113" t="s">
        <v>208</v>
      </c>
      <c r="F113" t="s">
        <v>797</v>
      </c>
      <c r="H113" t="s">
        <v>1690</v>
      </c>
    </row>
    <row r="114" spans="1:10">
      <c r="A114">
        <v>2604</v>
      </c>
      <c r="B114" t="s">
        <v>3241</v>
      </c>
      <c r="C114" t="s">
        <v>2744</v>
      </c>
      <c r="D114" t="s">
        <v>113</v>
      </c>
      <c r="E114" t="s">
        <v>272</v>
      </c>
      <c r="F114" t="s">
        <v>154</v>
      </c>
      <c r="H114" t="s">
        <v>2366</v>
      </c>
      <c r="J114">
        <v>1</v>
      </c>
    </row>
    <row r="115" spans="1:10">
      <c r="A115">
        <v>2613</v>
      </c>
      <c r="B115" t="s">
        <v>3242</v>
      </c>
      <c r="C115" t="s">
        <v>2749</v>
      </c>
      <c r="D115" t="s">
        <v>113</v>
      </c>
      <c r="E115" t="s">
        <v>233</v>
      </c>
      <c r="F115" t="s">
        <v>511</v>
      </c>
      <c r="H115" t="s">
        <v>1929</v>
      </c>
      <c r="J115">
        <v>3</v>
      </c>
    </row>
    <row r="116" spans="1:10">
      <c r="A116">
        <v>2647</v>
      </c>
      <c r="B116" t="s">
        <v>3243</v>
      </c>
      <c r="C116" t="s">
        <v>2755</v>
      </c>
      <c r="D116" t="s">
        <v>113</v>
      </c>
      <c r="E116" t="s">
        <v>233</v>
      </c>
      <c r="F116" t="s">
        <v>126</v>
      </c>
      <c r="H116" t="s">
        <v>2756</v>
      </c>
    </row>
    <row r="117" spans="1:10">
      <c r="A117">
        <v>2675</v>
      </c>
      <c r="B117" t="s">
        <v>3244</v>
      </c>
      <c r="C117" t="s">
        <v>2763</v>
      </c>
      <c r="D117" t="s">
        <v>126</v>
      </c>
      <c r="E117" t="s">
        <v>126</v>
      </c>
      <c r="F117" t="s">
        <v>126</v>
      </c>
      <c r="H117" t="s">
        <v>2641</v>
      </c>
    </row>
    <row r="118" spans="1:10">
      <c r="A118">
        <v>2691</v>
      </c>
      <c r="B118" t="s">
        <v>3245</v>
      </c>
      <c r="C118" t="s">
        <v>2767</v>
      </c>
      <c r="D118" t="s">
        <v>126</v>
      </c>
      <c r="E118" t="s">
        <v>126</v>
      </c>
      <c r="F118" t="s">
        <v>126</v>
      </c>
      <c r="H118" t="s">
        <v>2768</v>
      </c>
    </row>
    <row r="119" spans="1:10">
      <c r="A119">
        <v>2701</v>
      </c>
      <c r="B119" t="s">
        <v>3246</v>
      </c>
      <c r="C119" t="s">
        <v>2771</v>
      </c>
      <c r="D119" t="s">
        <v>125</v>
      </c>
      <c r="E119" t="s">
        <v>126</v>
      </c>
      <c r="F119" t="s">
        <v>126</v>
      </c>
      <c r="H119" t="s">
        <v>2726</v>
      </c>
    </row>
    <row r="120" spans="1:10">
      <c r="A120">
        <v>2702</v>
      </c>
      <c r="B120" t="s">
        <v>3247</v>
      </c>
      <c r="C120" t="s">
        <v>2774</v>
      </c>
      <c r="D120" t="s">
        <v>113</v>
      </c>
      <c r="E120" t="s">
        <v>154</v>
      </c>
      <c r="F120" t="s">
        <v>126</v>
      </c>
      <c r="H120" t="s">
        <v>2587</v>
      </c>
    </row>
    <row r="121" spans="1:10">
      <c r="A121">
        <v>2714</v>
      </c>
      <c r="B121" t="s">
        <v>3248</v>
      </c>
      <c r="C121" t="s">
        <v>2779</v>
      </c>
      <c r="D121" t="s">
        <v>121</v>
      </c>
      <c r="E121" t="s">
        <v>184</v>
      </c>
      <c r="F121" t="s">
        <v>83</v>
      </c>
      <c r="H121" t="s">
        <v>2780</v>
      </c>
    </row>
    <row r="122" spans="1:10">
      <c r="A122">
        <v>2720</v>
      </c>
      <c r="B122" t="s">
        <v>3249</v>
      </c>
      <c r="C122" t="s">
        <v>2783</v>
      </c>
      <c r="D122" t="s">
        <v>125</v>
      </c>
      <c r="E122" t="s">
        <v>126</v>
      </c>
      <c r="F122" t="s">
        <v>126</v>
      </c>
      <c r="H122" t="s">
        <v>2784</v>
      </c>
    </row>
    <row r="123" spans="1:10">
      <c r="A123">
        <v>2752</v>
      </c>
      <c r="B123" t="s">
        <v>3250</v>
      </c>
      <c r="C123" t="s">
        <v>2791</v>
      </c>
      <c r="D123" t="s">
        <v>125</v>
      </c>
      <c r="E123" t="s">
        <v>126</v>
      </c>
      <c r="F123" t="s">
        <v>126</v>
      </c>
      <c r="H123" t="s">
        <v>1733</v>
      </c>
    </row>
    <row r="124" spans="1:10">
      <c r="A124">
        <v>2753</v>
      </c>
      <c r="B124" t="s">
        <v>3251</v>
      </c>
      <c r="C124" t="s">
        <v>2793</v>
      </c>
      <c r="D124" t="s">
        <v>126</v>
      </c>
      <c r="E124" t="s">
        <v>126</v>
      </c>
      <c r="F124" t="s">
        <v>126</v>
      </c>
      <c r="H124" t="s">
        <v>1953</v>
      </c>
    </row>
    <row r="125" spans="1:10">
      <c r="A125">
        <v>2756</v>
      </c>
      <c r="B125" t="s">
        <v>3252</v>
      </c>
      <c r="C125" t="s">
        <v>2795</v>
      </c>
      <c r="D125" t="s">
        <v>126</v>
      </c>
      <c r="E125" t="s">
        <v>126</v>
      </c>
      <c r="F125" t="s">
        <v>126</v>
      </c>
      <c r="H125" t="s">
        <v>2345</v>
      </c>
    </row>
    <row r="126" spans="1:10">
      <c r="A126">
        <v>2759</v>
      </c>
      <c r="B126" t="s">
        <v>3253</v>
      </c>
      <c r="C126" t="s">
        <v>2797</v>
      </c>
      <c r="D126" t="s">
        <v>126</v>
      </c>
      <c r="E126" t="s">
        <v>126</v>
      </c>
      <c r="F126" t="s">
        <v>126</v>
      </c>
      <c r="H126" t="s">
        <v>2798</v>
      </c>
    </row>
    <row r="127" spans="1:10">
      <c r="A127">
        <v>2792</v>
      </c>
      <c r="B127" t="s">
        <v>3254</v>
      </c>
      <c r="C127" t="s">
        <v>2800</v>
      </c>
      <c r="D127" t="s">
        <v>511</v>
      </c>
      <c r="E127" t="s">
        <v>135</v>
      </c>
      <c r="F127" t="s">
        <v>204</v>
      </c>
      <c r="H127" t="s">
        <v>1951</v>
      </c>
    </row>
    <row r="128" spans="1:10">
      <c r="A128">
        <v>2793</v>
      </c>
      <c r="B128" t="s">
        <v>3255</v>
      </c>
      <c r="C128" t="s">
        <v>2802</v>
      </c>
      <c r="D128" t="s">
        <v>126</v>
      </c>
      <c r="E128" t="s">
        <v>126</v>
      </c>
      <c r="F128" t="s">
        <v>126</v>
      </c>
      <c r="H128" t="s">
        <v>2803</v>
      </c>
    </row>
    <row r="129" spans="1:10">
      <c r="A129">
        <v>2814</v>
      </c>
      <c r="B129" t="s">
        <v>3256</v>
      </c>
      <c r="C129" t="s">
        <v>2805</v>
      </c>
      <c r="D129" t="s">
        <v>113</v>
      </c>
      <c r="E129" t="s">
        <v>176</v>
      </c>
      <c r="F129" t="s">
        <v>65</v>
      </c>
      <c r="H129" t="s">
        <v>2297</v>
      </c>
    </row>
    <row r="130" spans="1:10">
      <c r="A130">
        <v>2819</v>
      </c>
      <c r="B130" t="s">
        <v>3257</v>
      </c>
      <c r="C130" t="s">
        <v>2807</v>
      </c>
      <c r="D130" t="s">
        <v>113</v>
      </c>
      <c r="E130" t="s">
        <v>154</v>
      </c>
      <c r="F130" t="s">
        <v>172</v>
      </c>
      <c r="H130" t="s">
        <v>2568</v>
      </c>
      <c r="J130">
        <v>1</v>
      </c>
    </row>
    <row r="131" spans="1:10">
      <c r="A131">
        <v>2868</v>
      </c>
      <c r="B131" t="s">
        <v>3258</v>
      </c>
      <c r="C131" t="s">
        <v>2809</v>
      </c>
      <c r="D131" t="s">
        <v>113</v>
      </c>
      <c r="E131" t="s">
        <v>233</v>
      </c>
      <c r="F131" t="s">
        <v>272</v>
      </c>
      <c r="H131" t="s">
        <v>2810</v>
      </c>
      <c r="J131">
        <v>3</v>
      </c>
    </row>
    <row r="132" spans="1:10">
      <c r="A132">
        <v>2912</v>
      </c>
      <c r="B132" t="s">
        <v>3259</v>
      </c>
      <c r="C132" t="s">
        <v>2812</v>
      </c>
      <c r="D132" t="s">
        <v>233</v>
      </c>
      <c r="E132" t="s">
        <v>42</v>
      </c>
      <c r="F132" t="s">
        <v>263</v>
      </c>
      <c r="H132" t="s">
        <v>2813</v>
      </c>
    </row>
    <row r="133" spans="1:10">
      <c r="A133">
        <v>2921</v>
      </c>
      <c r="B133" t="s">
        <v>3260</v>
      </c>
      <c r="C133" t="s">
        <v>2815</v>
      </c>
      <c r="D133" t="s">
        <v>113</v>
      </c>
      <c r="E133" t="s">
        <v>300</v>
      </c>
      <c r="F133" t="s">
        <v>156</v>
      </c>
      <c r="H133" t="s">
        <v>2031</v>
      </c>
    </row>
    <row r="134" spans="1:10">
      <c r="A134">
        <v>2927</v>
      </c>
      <c r="B134" t="s">
        <v>3261</v>
      </c>
      <c r="C134" t="s">
        <v>2817</v>
      </c>
      <c r="D134" t="s">
        <v>233</v>
      </c>
      <c r="E134" t="s">
        <v>263</v>
      </c>
      <c r="F134" t="s">
        <v>126</v>
      </c>
      <c r="H134" t="s">
        <v>1721</v>
      </c>
    </row>
    <row r="135" spans="1:10">
      <c r="A135">
        <v>2941</v>
      </c>
      <c r="B135" t="s">
        <v>3262</v>
      </c>
      <c r="C135" t="s">
        <v>2819</v>
      </c>
      <c r="D135" t="s">
        <v>113</v>
      </c>
      <c r="E135" t="s">
        <v>233</v>
      </c>
      <c r="F135" t="s">
        <v>154</v>
      </c>
      <c r="H135" t="s">
        <v>2431</v>
      </c>
      <c r="J135">
        <v>1</v>
      </c>
    </row>
    <row r="136" spans="1:10">
      <c r="A136">
        <v>2969</v>
      </c>
      <c r="B136" t="s">
        <v>3263</v>
      </c>
      <c r="C136" t="s">
        <v>2821</v>
      </c>
      <c r="D136" t="s">
        <v>113</v>
      </c>
      <c r="E136" t="s">
        <v>42</v>
      </c>
      <c r="F136" t="s">
        <v>208</v>
      </c>
      <c r="H136" t="s">
        <v>2822</v>
      </c>
      <c r="J136">
        <v>2</v>
      </c>
    </row>
    <row r="137" spans="1:10">
      <c r="A137">
        <v>2991</v>
      </c>
      <c r="B137" t="s">
        <v>3264</v>
      </c>
      <c r="C137" t="s">
        <v>2824</v>
      </c>
      <c r="D137" t="s">
        <v>125</v>
      </c>
      <c r="E137" t="s">
        <v>126</v>
      </c>
      <c r="F137" t="s">
        <v>126</v>
      </c>
      <c r="H137" t="s">
        <v>2825</v>
      </c>
    </row>
    <row r="138" spans="1:10">
      <c r="A138">
        <v>2994</v>
      </c>
      <c r="B138" t="s">
        <v>3265</v>
      </c>
      <c r="C138" t="s">
        <v>2827</v>
      </c>
      <c r="D138" t="s">
        <v>125</v>
      </c>
      <c r="E138" t="s">
        <v>126</v>
      </c>
      <c r="F138" t="s">
        <v>126</v>
      </c>
      <c r="H138" t="s">
        <v>2828</v>
      </c>
    </row>
    <row r="139" spans="1:10">
      <c r="A139">
        <v>2995</v>
      </c>
      <c r="B139" t="s">
        <v>3266</v>
      </c>
      <c r="C139" t="s">
        <v>2830</v>
      </c>
      <c r="D139" t="s">
        <v>125</v>
      </c>
      <c r="E139" t="s">
        <v>126</v>
      </c>
      <c r="F139" t="s">
        <v>126</v>
      </c>
      <c r="H139" t="s">
        <v>2831</v>
      </c>
    </row>
    <row r="140" spans="1:10">
      <c r="A140">
        <v>3009</v>
      </c>
      <c r="B140" t="s">
        <v>3267</v>
      </c>
      <c r="C140" t="s">
        <v>2833</v>
      </c>
      <c r="D140" t="s">
        <v>113</v>
      </c>
      <c r="E140" t="s">
        <v>233</v>
      </c>
      <c r="F140" t="s">
        <v>300</v>
      </c>
      <c r="H140" t="s">
        <v>2834</v>
      </c>
      <c r="J140">
        <v>1</v>
      </c>
    </row>
    <row r="141" spans="1:10">
      <c r="A141">
        <v>3018</v>
      </c>
      <c r="B141" t="s">
        <v>3268</v>
      </c>
      <c r="C141" t="s">
        <v>2836</v>
      </c>
      <c r="D141" t="s">
        <v>113</v>
      </c>
      <c r="E141" t="s">
        <v>42</v>
      </c>
      <c r="F141" t="s">
        <v>126</v>
      </c>
      <c r="H141" t="s">
        <v>2768</v>
      </c>
    </row>
    <row r="142" spans="1:10">
      <c r="A142">
        <v>3037</v>
      </c>
      <c r="B142" t="s">
        <v>3269</v>
      </c>
      <c r="C142" t="s">
        <v>2838</v>
      </c>
      <c r="D142" t="s">
        <v>113</v>
      </c>
      <c r="E142" t="s">
        <v>209</v>
      </c>
      <c r="F142" t="s">
        <v>647</v>
      </c>
      <c r="H142" t="s">
        <v>2839</v>
      </c>
      <c r="J142">
        <v>2</v>
      </c>
    </row>
    <row r="143" spans="1:10">
      <c r="A143">
        <v>3052</v>
      </c>
      <c r="B143" t="s">
        <v>3270</v>
      </c>
      <c r="C143" t="s">
        <v>2841</v>
      </c>
      <c r="D143" t="s">
        <v>125</v>
      </c>
      <c r="E143" t="s">
        <v>126</v>
      </c>
      <c r="F143" t="s">
        <v>126</v>
      </c>
      <c r="H143" t="s">
        <v>2842</v>
      </c>
    </row>
    <row r="144" spans="1:10">
      <c r="A144">
        <v>3057</v>
      </c>
      <c r="B144" t="s">
        <v>3271</v>
      </c>
      <c r="C144" t="s">
        <v>2844</v>
      </c>
      <c r="D144" t="s">
        <v>125</v>
      </c>
      <c r="E144" t="s">
        <v>126</v>
      </c>
      <c r="F144" t="s">
        <v>126</v>
      </c>
      <c r="H144" t="s">
        <v>2845</v>
      </c>
    </row>
    <row r="145" spans="1:10">
      <c r="A145">
        <v>3060</v>
      </c>
      <c r="B145" t="s">
        <v>3272</v>
      </c>
      <c r="C145" t="s">
        <v>2847</v>
      </c>
      <c r="D145" t="s">
        <v>125</v>
      </c>
      <c r="E145" t="s">
        <v>126</v>
      </c>
      <c r="F145" t="s">
        <v>126</v>
      </c>
      <c r="H145" t="s">
        <v>1781</v>
      </c>
    </row>
    <row r="146" spans="1:10">
      <c r="A146">
        <v>3061</v>
      </c>
      <c r="B146" t="s">
        <v>3273</v>
      </c>
      <c r="C146" t="s">
        <v>2849</v>
      </c>
      <c r="D146" t="s">
        <v>125</v>
      </c>
      <c r="E146" t="s">
        <v>126</v>
      </c>
      <c r="F146" t="s">
        <v>126</v>
      </c>
      <c r="H146" t="s">
        <v>2106</v>
      </c>
    </row>
    <row r="147" spans="1:10">
      <c r="A147">
        <v>3088</v>
      </c>
      <c r="B147" t="s">
        <v>3274</v>
      </c>
      <c r="C147" t="s">
        <v>2851</v>
      </c>
      <c r="D147" t="s">
        <v>117</v>
      </c>
      <c r="E147" t="s">
        <v>63</v>
      </c>
      <c r="F147" t="s">
        <v>172</v>
      </c>
      <c r="H147" t="s">
        <v>2160</v>
      </c>
      <c r="J147">
        <v>1</v>
      </c>
    </row>
    <row r="148" spans="1:10">
      <c r="A148">
        <v>3103</v>
      </c>
      <c r="B148" t="s">
        <v>3275</v>
      </c>
      <c r="C148" t="s">
        <v>2853</v>
      </c>
      <c r="D148" t="s">
        <v>125</v>
      </c>
      <c r="E148" t="s">
        <v>126</v>
      </c>
      <c r="F148" t="s">
        <v>126</v>
      </c>
      <c r="H148" t="s">
        <v>2421</v>
      </c>
    </row>
    <row r="149" spans="1:10">
      <c r="A149">
        <v>3104</v>
      </c>
      <c r="B149" t="s">
        <v>3276</v>
      </c>
      <c r="C149" t="s">
        <v>2855</v>
      </c>
      <c r="D149" t="s">
        <v>139</v>
      </c>
      <c r="E149" t="s">
        <v>117</v>
      </c>
      <c r="F149" t="s">
        <v>154</v>
      </c>
      <c r="H149" t="s">
        <v>2444</v>
      </c>
      <c r="J149">
        <v>1</v>
      </c>
    </row>
    <row r="150" spans="1:10">
      <c r="A150">
        <v>3141</v>
      </c>
      <c r="B150" t="s">
        <v>3277</v>
      </c>
      <c r="C150" t="s">
        <v>2857</v>
      </c>
      <c r="D150" t="s">
        <v>113</v>
      </c>
      <c r="E150" t="s">
        <v>82</v>
      </c>
      <c r="F150" t="s">
        <v>176</v>
      </c>
      <c r="H150" t="s">
        <v>2858</v>
      </c>
    </row>
    <row r="151" spans="1:10">
      <c r="A151">
        <v>3156</v>
      </c>
      <c r="B151" t="s">
        <v>3278</v>
      </c>
      <c r="C151" t="s">
        <v>2860</v>
      </c>
      <c r="D151" t="s">
        <v>125</v>
      </c>
      <c r="E151" t="s">
        <v>126</v>
      </c>
      <c r="F151" t="s">
        <v>126</v>
      </c>
      <c r="H151" t="s">
        <v>1927</v>
      </c>
    </row>
    <row r="152" spans="1:10">
      <c r="A152">
        <v>3188</v>
      </c>
      <c r="B152" t="s">
        <v>3279</v>
      </c>
      <c r="C152" t="s">
        <v>2862</v>
      </c>
      <c r="D152" t="s">
        <v>125</v>
      </c>
      <c r="E152" t="s">
        <v>126</v>
      </c>
      <c r="F152" t="s">
        <v>126</v>
      </c>
      <c r="H152" t="s">
        <v>1861</v>
      </c>
    </row>
    <row r="153" spans="1:10">
      <c r="A153">
        <v>3214</v>
      </c>
      <c r="B153" t="s">
        <v>3280</v>
      </c>
      <c r="C153" t="s">
        <v>2864</v>
      </c>
      <c r="D153" t="s">
        <v>125</v>
      </c>
      <c r="E153" t="s">
        <v>126</v>
      </c>
      <c r="F153" t="s">
        <v>126</v>
      </c>
      <c r="H153" t="s">
        <v>1765</v>
      </c>
    </row>
    <row r="154" spans="1:10">
      <c r="A154">
        <v>3231</v>
      </c>
      <c r="B154" t="s">
        <v>3281</v>
      </c>
      <c r="C154" t="s">
        <v>2866</v>
      </c>
      <c r="D154" t="s">
        <v>113</v>
      </c>
      <c r="E154" t="s">
        <v>154</v>
      </c>
      <c r="F154" t="s">
        <v>126</v>
      </c>
      <c r="H154" t="s">
        <v>2690</v>
      </c>
    </row>
    <row r="155" spans="1:10">
      <c r="A155">
        <v>3236</v>
      </c>
      <c r="B155" t="s">
        <v>3282</v>
      </c>
      <c r="C155" t="s">
        <v>2868</v>
      </c>
      <c r="D155" t="s">
        <v>125</v>
      </c>
      <c r="E155" t="s">
        <v>126</v>
      </c>
      <c r="F155" t="s">
        <v>126</v>
      </c>
      <c r="H155" t="s">
        <v>2545</v>
      </c>
    </row>
    <row r="156" spans="1:10">
      <c r="A156">
        <v>3268</v>
      </c>
      <c r="B156" t="s">
        <v>3283</v>
      </c>
      <c r="C156" t="s">
        <v>2870</v>
      </c>
      <c r="D156" t="s">
        <v>125</v>
      </c>
      <c r="E156" t="s">
        <v>126</v>
      </c>
      <c r="F156" t="s">
        <v>126</v>
      </c>
      <c r="H156" t="s">
        <v>2150</v>
      </c>
    </row>
    <row r="157" spans="1:10">
      <c r="A157">
        <v>3269</v>
      </c>
      <c r="B157" t="s">
        <v>3284</v>
      </c>
      <c r="C157" t="s">
        <v>2872</v>
      </c>
      <c r="D157" t="s">
        <v>113</v>
      </c>
      <c r="E157" t="s">
        <v>42</v>
      </c>
      <c r="F157" t="s">
        <v>126</v>
      </c>
      <c r="H157" t="s">
        <v>2111</v>
      </c>
    </row>
    <row r="158" spans="1:10">
      <c r="A158">
        <v>3279</v>
      </c>
      <c r="B158" t="s">
        <v>3285</v>
      </c>
      <c r="C158" t="s">
        <v>2874</v>
      </c>
      <c r="D158" t="s">
        <v>113</v>
      </c>
      <c r="E158" t="s">
        <v>139</v>
      </c>
      <c r="F158" t="s">
        <v>117</v>
      </c>
      <c r="H158" t="s">
        <v>2376</v>
      </c>
      <c r="J158">
        <v>3</v>
      </c>
    </row>
    <row r="159" spans="1:10">
      <c r="A159">
        <v>3299</v>
      </c>
      <c r="B159" t="s">
        <v>3286</v>
      </c>
      <c r="C159" t="s">
        <v>2876</v>
      </c>
      <c r="D159" t="s">
        <v>113</v>
      </c>
      <c r="E159" t="s">
        <v>139</v>
      </c>
      <c r="F159" t="s">
        <v>42</v>
      </c>
      <c r="H159" t="s">
        <v>1916</v>
      </c>
    </row>
    <row r="160" spans="1:10">
      <c r="A160">
        <v>3313</v>
      </c>
      <c r="B160" t="s">
        <v>3287</v>
      </c>
      <c r="C160" t="s">
        <v>2878</v>
      </c>
      <c r="D160" t="s">
        <v>135</v>
      </c>
      <c r="E160" t="s">
        <v>136</v>
      </c>
      <c r="F160" t="s">
        <v>126</v>
      </c>
      <c r="H160" t="s">
        <v>1742</v>
      </c>
    </row>
    <row r="161" spans="1:10">
      <c r="A161">
        <v>3329</v>
      </c>
      <c r="B161" t="s">
        <v>3288</v>
      </c>
      <c r="C161" t="s">
        <v>2880</v>
      </c>
      <c r="D161" t="s">
        <v>139</v>
      </c>
      <c r="E161" t="s">
        <v>117</v>
      </c>
      <c r="F161" t="s">
        <v>209</v>
      </c>
      <c r="H161" t="s">
        <v>2881</v>
      </c>
    </row>
    <row r="162" spans="1:10">
      <c r="A162">
        <v>3359</v>
      </c>
      <c r="B162" t="s">
        <v>3289</v>
      </c>
      <c r="C162" t="s">
        <v>2883</v>
      </c>
      <c r="D162" t="s">
        <v>113</v>
      </c>
      <c r="E162" t="s">
        <v>160</v>
      </c>
      <c r="F162" t="s">
        <v>65</v>
      </c>
      <c r="H162" t="s">
        <v>2046</v>
      </c>
      <c r="J162">
        <v>1</v>
      </c>
    </row>
    <row r="163" spans="1:10">
      <c r="A163">
        <v>3368</v>
      </c>
      <c r="B163" t="s">
        <v>3290</v>
      </c>
      <c r="C163" t="s">
        <v>2885</v>
      </c>
      <c r="D163" t="s">
        <v>125</v>
      </c>
      <c r="E163" t="s">
        <v>126</v>
      </c>
      <c r="F163" t="s">
        <v>126</v>
      </c>
      <c r="H163" t="s">
        <v>2886</v>
      </c>
    </row>
    <row r="164" spans="1:10">
      <c r="A164">
        <v>3369</v>
      </c>
      <c r="B164" t="s">
        <v>3291</v>
      </c>
      <c r="C164" t="s">
        <v>2888</v>
      </c>
      <c r="D164" t="s">
        <v>139</v>
      </c>
      <c r="E164" t="s">
        <v>154</v>
      </c>
      <c r="F164" t="s">
        <v>155</v>
      </c>
      <c r="H164" t="s">
        <v>1790</v>
      </c>
      <c r="J164">
        <v>4</v>
      </c>
    </row>
    <row r="165" spans="1:10">
      <c r="A165">
        <v>3383</v>
      </c>
      <c r="B165" t="s">
        <v>3292</v>
      </c>
      <c r="C165" t="s">
        <v>2890</v>
      </c>
      <c r="D165" t="s">
        <v>113</v>
      </c>
      <c r="E165" t="s">
        <v>136</v>
      </c>
      <c r="F165" t="s">
        <v>147</v>
      </c>
      <c r="H165" t="s">
        <v>2265</v>
      </c>
    </row>
    <row r="166" spans="1:10">
      <c r="A166">
        <v>3384</v>
      </c>
      <c r="B166" t="s">
        <v>3293</v>
      </c>
      <c r="C166" t="s">
        <v>2892</v>
      </c>
      <c r="D166" t="s">
        <v>125</v>
      </c>
      <c r="E166" t="s">
        <v>126</v>
      </c>
      <c r="F166" t="s">
        <v>126</v>
      </c>
      <c r="H166" t="s">
        <v>2893</v>
      </c>
    </row>
    <row r="167" spans="1:10">
      <c r="A167">
        <v>3385</v>
      </c>
      <c r="B167" t="s">
        <v>3294</v>
      </c>
      <c r="C167" t="s">
        <v>2895</v>
      </c>
      <c r="D167" t="s">
        <v>113</v>
      </c>
      <c r="E167" t="s">
        <v>136</v>
      </c>
      <c r="F167" t="s">
        <v>121</v>
      </c>
      <c r="H167" t="s">
        <v>1908</v>
      </c>
    </row>
    <row r="168" spans="1:10">
      <c r="A168">
        <v>3390</v>
      </c>
      <c r="B168" t="s">
        <v>3295</v>
      </c>
      <c r="C168" t="s">
        <v>2897</v>
      </c>
      <c r="D168" t="s">
        <v>125</v>
      </c>
      <c r="E168" t="s">
        <v>126</v>
      </c>
      <c r="F168" t="s">
        <v>126</v>
      </c>
      <c r="H168" t="s">
        <v>1886</v>
      </c>
    </row>
    <row r="169" spans="1:10">
      <c r="A169">
        <v>3401</v>
      </c>
      <c r="B169" t="s">
        <v>3296</v>
      </c>
      <c r="C169" t="s">
        <v>2899</v>
      </c>
      <c r="D169" t="s">
        <v>125</v>
      </c>
      <c r="E169" t="s">
        <v>126</v>
      </c>
      <c r="F169" t="s">
        <v>126</v>
      </c>
      <c r="H169" t="s">
        <v>2086</v>
      </c>
    </row>
    <row r="170" spans="1:10">
      <c r="A170">
        <v>3406</v>
      </c>
      <c r="B170" t="s">
        <v>3297</v>
      </c>
      <c r="C170" t="s">
        <v>2901</v>
      </c>
      <c r="D170" t="s">
        <v>272</v>
      </c>
      <c r="E170" t="s">
        <v>117</v>
      </c>
      <c r="F170" t="s">
        <v>126</v>
      </c>
      <c r="H170" t="s">
        <v>1796</v>
      </c>
    </row>
    <row r="171" spans="1:10">
      <c r="A171">
        <v>3416</v>
      </c>
      <c r="B171" t="s">
        <v>3298</v>
      </c>
      <c r="C171" t="s">
        <v>2903</v>
      </c>
      <c r="D171" t="s">
        <v>113</v>
      </c>
      <c r="E171" t="s">
        <v>139</v>
      </c>
      <c r="F171" t="s">
        <v>233</v>
      </c>
      <c r="H171" t="s">
        <v>1729</v>
      </c>
      <c r="J171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D1413-D4A9-4889-A941-50583898C58A}">
  <sheetPr codeName="Sheet11"/>
  <dimension ref="A1:I102"/>
  <sheetViews>
    <sheetView workbookViewId="0">
      <selection activeCell="C6" sqref="C6"/>
    </sheetView>
  </sheetViews>
  <sheetFormatPr defaultRowHeight="14.5"/>
  <cols>
    <col min="1" max="1" width="55.1796875" bestFit="1" customWidth="1"/>
    <col min="2" max="2" width="80.7265625" bestFit="1" customWidth="1"/>
    <col min="3" max="4" width="20.54296875" bestFit="1" customWidth="1"/>
    <col min="5" max="5" width="21.54296875" bestFit="1" customWidth="1"/>
    <col min="6" max="6" width="80.7265625" bestFit="1" customWidth="1"/>
    <col min="7" max="7" width="7.453125" bestFit="1" customWidth="1"/>
    <col min="8" max="8" width="11" bestFit="1" customWidth="1"/>
    <col min="9" max="9" width="13.453125" bestFit="1" customWidth="1"/>
  </cols>
  <sheetData>
    <row r="1" spans="1:9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1664</v>
      </c>
      <c r="H1" t="s">
        <v>109</v>
      </c>
      <c r="I1" t="s">
        <v>110</v>
      </c>
    </row>
    <row r="2" spans="1:9">
      <c r="A2" t="s">
        <v>2786</v>
      </c>
      <c r="B2" t="s">
        <v>2787</v>
      </c>
      <c r="C2" t="s">
        <v>117</v>
      </c>
      <c r="D2" t="s">
        <v>160</v>
      </c>
      <c r="E2" t="s">
        <v>797</v>
      </c>
      <c r="F2" t="s">
        <v>2788</v>
      </c>
      <c r="G2" t="s">
        <v>2789</v>
      </c>
      <c r="H2" t="s">
        <v>126</v>
      </c>
    </row>
    <row r="3" spans="1:9">
      <c r="A3" t="s">
        <v>1722</v>
      </c>
      <c r="B3" t="s">
        <v>1723</v>
      </c>
      <c r="C3" t="s">
        <v>113</v>
      </c>
      <c r="D3" t="s">
        <v>797</v>
      </c>
      <c r="E3" t="s">
        <v>1081</v>
      </c>
      <c r="F3" t="s">
        <v>126</v>
      </c>
      <c r="G3" t="s">
        <v>1666</v>
      </c>
      <c r="H3" t="s">
        <v>27</v>
      </c>
    </row>
    <row r="4" spans="1:9">
      <c r="A4" t="s">
        <v>1743</v>
      </c>
      <c r="B4" t="s">
        <v>1744</v>
      </c>
      <c r="C4" t="s">
        <v>113</v>
      </c>
      <c r="D4" t="s">
        <v>117</v>
      </c>
      <c r="E4" t="s">
        <v>84</v>
      </c>
      <c r="F4" t="s">
        <v>126</v>
      </c>
      <c r="G4" t="s">
        <v>1745</v>
      </c>
      <c r="H4" t="s">
        <v>27</v>
      </c>
    </row>
    <row r="5" spans="1:9">
      <c r="A5" t="s">
        <v>1748</v>
      </c>
      <c r="B5" t="s">
        <v>1749</v>
      </c>
      <c r="C5" t="s">
        <v>113</v>
      </c>
      <c r="D5" t="s">
        <v>42</v>
      </c>
      <c r="E5" t="s">
        <v>126</v>
      </c>
      <c r="F5" t="s">
        <v>1750</v>
      </c>
      <c r="G5" t="s">
        <v>1751</v>
      </c>
      <c r="H5" t="s">
        <v>27</v>
      </c>
    </row>
    <row r="6" spans="1:9">
      <c r="A6" t="s">
        <v>1752</v>
      </c>
      <c r="B6" t="s">
        <v>1753</v>
      </c>
      <c r="C6" t="s">
        <v>113</v>
      </c>
      <c r="D6" t="s">
        <v>117</v>
      </c>
      <c r="E6" t="s">
        <v>136</v>
      </c>
      <c r="F6" t="s">
        <v>1754</v>
      </c>
      <c r="G6" t="s">
        <v>1755</v>
      </c>
      <c r="H6" t="s">
        <v>27</v>
      </c>
      <c r="I6">
        <v>3</v>
      </c>
    </row>
    <row r="7" spans="1:9">
      <c r="A7" t="s">
        <v>1756</v>
      </c>
      <c r="B7" t="s">
        <v>1757</v>
      </c>
      <c r="C7" t="s">
        <v>272</v>
      </c>
      <c r="D7" t="s">
        <v>160</v>
      </c>
      <c r="E7" t="s">
        <v>135</v>
      </c>
      <c r="F7" t="s">
        <v>1758</v>
      </c>
      <c r="G7" t="s">
        <v>1759</v>
      </c>
      <c r="H7" t="s">
        <v>27</v>
      </c>
      <c r="I7">
        <v>4</v>
      </c>
    </row>
    <row r="8" spans="1:9">
      <c r="A8" t="s">
        <v>1766</v>
      </c>
      <c r="B8" t="s">
        <v>1767</v>
      </c>
      <c r="C8" t="s">
        <v>113</v>
      </c>
      <c r="D8" t="s">
        <v>233</v>
      </c>
      <c r="E8" t="s">
        <v>172</v>
      </c>
      <c r="F8" t="s">
        <v>1768</v>
      </c>
      <c r="G8" t="s">
        <v>1769</v>
      </c>
      <c r="H8" t="s">
        <v>27</v>
      </c>
      <c r="I8">
        <v>1</v>
      </c>
    </row>
    <row r="9" spans="1:9">
      <c r="A9" t="s">
        <v>1774</v>
      </c>
      <c r="B9" t="s">
        <v>1775</v>
      </c>
      <c r="C9" t="s">
        <v>113</v>
      </c>
      <c r="D9" t="s">
        <v>154</v>
      </c>
      <c r="E9" t="s">
        <v>136</v>
      </c>
      <c r="F9" t="s">
        <v>1776</v>
      </c>
      <c r="G9" t="s">
        <v>1777</v>
      </c>
      <c r="H9" t="s">
        <v>27</v>
      </c>
      <c r="I9">
        <v>2</v>
      </c>
    </row>
    <row r="10" spans="1:9">
      <c r="A10" t="s">
        <v>1778</v>
      </c>
      <c r="B10" t="s">
        <v>1779</v>
      </c>
      <c r="C10" t="s">
        <v>113</v>
      </c>
      <c r="D10" t="s">
        <v>139</v>
      </c>
      <c r="E10" t="s">
        <v>180</v>
      </c>
      <c r="F10" t="s">
        <v>1780</v>
      </c>
      <c r="G10" t="s">
        <v>1781</v>
      </c>
      <c r="H10" t="s">
        <v>27</v>
      </c>
    </row>
    <row r="11" spans="1:9">
      <c r="A11" t="s">
        <v>1785</v>
      </c>
      <c r="B11" t="s">
        <v>1786</v>
      </c>
      <c r="C11" t="s">
        <v>113</v>
      </c>
      <c r="D11" t="s">
        <v>176</v>
      </c>
      <c r="E11" t="s">
        <v>65</v>
      </c>
      <c r="F11" t="s">
        <v>1787</v>
      </c>
      <c r="G11" t="s">
        <v>1788</v>
      </c>
      <c r="H11" t="s">
        <v>27</v>
      </c>
    </row>
    <row r="12" spans="1:9">
      <c r="A12" t="s">
        <v>1807</v>
      </c>
      <c r="B12" t="s">
        <v>1808</v>
      </c>
      <c r="C12" t="s">
        <v>139</v>
      </c>
      <c r="D12" t="s">
        <v>117</v>
      </c>
      <c r="E12" t="s">
        <v>63</v>
      </c>
      <c r="F12" t="s">
        <v>1809</v>
      </c>
      <c r="G12" t="s">
        <v>1810</v>
      </c>
      <c r="H12" t="s">
        <v>27</v>
      </c>
      <c r="I12">
        <v>3</v>
      </c>
    </row>
    <row r="13" spans="1:9">
      <c r="A13" t="s">
        <v>1822</v>
      </c>
      <c r="B13" t="s">
        <v>1823</v>
      </c>
      <c r="C13" t="s">
        <v>113</v>
      </c>
      <c r="D13" t="s">
        <v>117</v>
      </c>
      <c r="E13" t="s">
        <v>44</v>
      </c>
      <c r="F13" t="s">
        <v>126</v>
      </c>
      <c r="G13" t="s">
        <v>1781</v>
      </c>
      <c r="H13" t="s">
        <v>27</v>
      </c>
      <c r="I13">
        <v>1</v>
      </c>
    </row>
    <row r="14" spans="1:9">
      <c r="A14" t="s">
        <v>1826</v>
      </c>
      <c r="B14" t="s">
        <v>1827</v>
      </c>
      <c r="C14" t="s">
        <v>113</v>
      </c>
      <c r="D14" t="s">
        <v>117</v>
      </c>
      <c r="E14" t="s">
        <v>44</v>
      </c>
      <c r="F14" t="s">
        <v>1828</v>
      </c>
      <c r="G14" t="s">
        <v>1829</v>
      </c>
      <c r="H14" t="s">
        <v>27</v>
      </c>
      <c r="I14">
        <v>1</v>
      </c>
    </row>
    <row r="15" spans="1:9">
      <c r="A15" t="s">
        <v>1830</v>
      </c>
      <c r="B15" t="s">
        <v>1831</v>
      </c>
      <c r="C15" t="s">
        <v>117</v>
      </c>
      <c r="D15" t="s">
        <v>135</v>
      </c>
      <c r="E15" t="s">
        <v>136</v>
      </c>
      <c r="F15" t="s">
        <v>1832</v>
      </c>
      <c r="G15" t="s">
        <v>1833</v>
      </c>
      <c r="H15" t="s">
        <v>27</v>
      </c>
      <c r="I15">
        <v>1</v>
      </c>
    </row>
    <row r="16" spans="1:9">
      <c r="A16" t="s">
        <v>1834</v>
      </c>
      <c r="B16" t="s">
        <v>1835</v>
      </c>
      <c r="C16" t="s">
        <v>135</v>
      </c>
      <c r="D16" t="s">
        <v>136</v>
      </c>
      <c r="E16" t="s">
        <v>217</v>
      </c>
      <c r="F16" t="s">
        <v>1836</v>
      </c>
      <c r="G16" t="s">
        <v>1837</v>
      </c>
      <c r="H16" t="s">
        <v>27</v>
      </c>
    </row>
    <row r="17" spans="1:9">
      <c r="A17" t="s">
        <v>1848</v>
      </c>
      <c r="B17" t="s">
        <v>1849</v>
      </c>
      <c r="C17" t="s">
        <v>113</v>
      </c>
      <c r="D17" t="s">
        <v>42</v>
      </c>
      <c r="E17" t="s">
        <v>217</v>
      </c>
      <c r="F17" t="s">
        <v>1850</v>
      </c>
      <c r="G17" t="s">
        <v>1851</v>
      </c>
      <c r="H17" t="s">
        <v>27</v>
      </c>
    </row>
    <row r="18" spans="1:9">
      <c r="A18" t="s">
        <v>1854</v>
      </c>
      <c r="B18" t="s">
        <v>1855</v>
      </c>
      <c r="C18" t="s">
        <v>117</v>
      </c>
      <c r="D18" t="s">
        <v>42</v>
      </c>
      <c r="E18" t="s">
        <v>126</v>
      </c>
      <c r="F18" t="s">
        <v>126</v>
      </c>
      <c r="G18" t="s">
        <v>1856</v>
      </c>
      <c r="H18" t="s">
        <v>27</v>
      </c>
    </row>
    <row r="19" spans="1:9">
      <c r="A19" t="s">
        <v>1866</v>
      </c>
      <c r="B19" t="s">
        <v>1867</v>
      </c>
      <c r="C19" t="s">
        <v>44</v>
      </c>
      <c r="D19" t="s">
        <v>1081</v>
      </c>
      <c r="E19" t="s">
        <v>126</v>
      </c>
      <c r="F19" t="s">
        <v>1868</v>
      </c>
      <c r="G19" t="s">
        <v>1869</v>
      </c>
      <c r="H19" t="s">
        <v>27</v>
      </c>
    </row>
    <row r="20" spans="1:9">
      <c r="A20" t="s">
        <v>1872</v>
      </c>
      <c r="B20" t="s">
        <v>1873</v>
      </c>
      <c r="C20" t="s">
        <v>113</v>
      </c>
      <c r="D20" t="s">
        <v>117</v>
      </c>
      <c r="E20" t="s">
        <v>136</v>
      </c>
      <c r="F20" t="s">
        <v>1874</v>
      </c>
      <c r="G20" t="s">
        <v>1875</v>
      </c>
      <c r="H20" t="s">
        <v>27</v>
      </c>
      <c r="I20">
        <v>5</v>
      </c>
    </row>
    <row r="21" spans="1:9">
      <c r="A21" t="s">
        <v>1881</v>
      </c>
      <c r="B21" t="s">
        <v>1882</v>
      </c>
      <c r="C21" t="s">
        <v>113</v>
      </c>
      <c r="D21" t="s">
        <v>117</v>
      </c>
      <c r="E21" t="s">
        <v>63</v>
      </c>
      <c r="F21" t="s">
        <v>1883</v>
      </c>
      <c r="G21" t="s">
        <v>1884</v>
      </c>
      <c r="H21" t="s">
        <v>27</v>
      </c>
      <c r="I21">
        <v>2</v>
      </c>
    </row>
    <row r="22" spans="1:9">
      <c r="A22" t="s">
        <v>1887</v>
      </c>
      <c r="B22" t="s">
        <v>1888</v>
      </c>
      <c r="C22" t="s">
        <v>113</v>
      </c>
      <c r="D22" t="s">
        <v>139</v>
      </c>
      <c r="E22" t="s">
        <v>213</v>
      </c>
      <c r="F22" t="s">
        <v>1889</v>
      </c>
      <c r="G22" t="s">
        <v>1890</v>
      </c>
      <c r="H22" t="s">
        <v>27</v>
      </c>
    </row>
    <row r="23" spans="1:9">
      <c r="A23" t="s">
        <v>1893</v>
      </c>
      <c r="B23" t="s">
        <v>1894</v>
      </c>
      <c r="C23" t="s">
        <v>113</v>
      </c>
      <c r="D23" t="s">
        <v>42</v>
      </c>
      <c r="E23" t="s">
        <v>65</v>
      </c>
      <c r="F23" t="s">
        <v>1895</v>
      </c>
      <c r="G23" t="s">
        <v>1896</v>
      </c>
      <c r="H23" t="s">
        <v>27</v>
      </c>
    </row>
    <row r="24" spans="1:9">
      <c r="A24" t="s">
        <v>1897</v>
      </c>
      <c r="B24" t="s">
        <v>1898</v>
      </c>
      <c r="C24" t="s">
        <v>125</v>
      </c>
      <c r="D24" t="s">
        <v>126</v>
      </c>
      <c r="E24" t="s">
        <v>126</v>
      </c>
      <c r="F24" t="s">
        <v>1899</v>
      </c>
      <c r="G24" t="s">
        <v>1900</v>
      </c>
      <c r="H24" t="s">
        <v>27</v>
      </c>
    </row>
    <row r="25" spans="1:9">
      <c r="A25" t="s">
        <v>1901</v>
      </c>
      <c r="B25" t="s">
        <v>1902</v>
      </c>
      <c r="C25" t="s">
        <v>125</v>
      </c>
      <c r="D25" t="s">
        <v>126</v>
      </c>
      <c r="E25" t="s">
        <v>126</v>
      </c>
      <c r="F25" t="s">
        <v>126</v>
      </c>
      <c r="G25" t="s">
        <v>1903</v>
      </c>
      <c r="H25" t="s">
        <v>27</v>
      </c>
    </row>
    <row r="26" spans="1:9">
      <c r="A26" t="s">
        <v>1904</v>
      </c>
      <c r="B26" t="s">
        <v>1905</v>
      </c>
      <c r="C26" t="s">
        <v>125</v>
      </c>
      <c r="D26" t="s">
        <v>126</v>
      </c>
      <c r="E26" t="s">
        <v>126</v>
      </c>
      <c r="F26" t="s">
        <v>1906</v>
      </c>
      <c r="G26" t="s">
        <v>1886</v>
      </c>
      <c r="H26" t="s">
        <v>27</v>
      </c>
    </row>
    <row r="27" spans="1:9">
      <c r="A27" t="s">
        <v>1909</v>
      </c>
      <c r="B27" t="s">
        <v>1910</v>
      </c>
      <c r="C27" t="s">
        <v>139</v>
      </c>
      <c r="D27" t="s">
        <v>117</v>
      </c>
      <c r="E27" t="s">
        <v>155</v>
      </c>
      <c r="F27" t="s">
        <v>1911</v>
      </c>
      <c r="G27" t="s">
        <v>1912</v>
      </c>
      <c r="H27" t="s">
        <v>27</v>
      </c>
      <c r="I27">
        <v>2</v>
      </c>
    </row>
    <row r="28" spans="1:9">
      <c r="A28" t="s">
        <v>1919</v>
      </c>
      <c r="B28" t="s">
        <v>1920</v>
      </c>
      <c r="C28" t="s">
        <v>125</v>
      </c>
      <c r="D28" t="s">
        <v>126</v>
      </c>
      <c r="E28" t="s">
        <v>126</v>
      </c>
      <c r="F28" t="s">
        <v>1921</v>
      </c>
      <c r="G28" t="s">
        <v>1922</v>
      </c>
      <c r="H28" t="s">
        <v>27</v>
      </c>
    </row>
    <row r="29" spans="1:9">
      <c r="A29" t="s">
        <v>1923</v>
      </c>
      <c r="B29" t="s">
        <v>1924</v>
      </c>
      <c r="C29" t="s">
        <v>125</v>
      </c>
      <c r="D29" t="s">
        <v>126</v>
      </c>
      <c r="E29" t="s">
        <v>126</v>
      </c>
      <c r="F29" t="s">
        <v>1925</v>
      </c>
      <c r="G29" t="s">
        <v>1678</v>
      </c>
      <c r="H29" t="s">
        <v>27</v>
      </c>
    </row>
    <row r="30" spans="1:9">
      <c r="A30" t="s">
        <v>1930</v>
      </c>
      <c r="B30" t="s">
        <v>1931</v>
      </c>
      <c r="C30" t="s">
        <v>113</v>
      </c>
      <c r="D30" t="s">
        <v>121</v>
      </c>
      <c r="E30" t="s">
        <v>155</v>
      </c>
      <c r="F30" t="s">
        <v>1932</v>
      </c>
      <c r="G30" t="s">
        <v>1721</v>
      </c>
      <c r="H30" t="s">
        <v>27</v>
      </c>
      <c r="I30">
        <v>2</v>
      </c>
    </row>
    <row r="31" spans="1:9">
      <c r="A31" t="s">
        <v>1937</v>
      </c>
      <c r="B31" t="s">
        <v>1938</v>
      </c>
      <c r="C31" t="s">
        <v>117</v>
      </c>
      <c r="D31" t="s">
        <v>136</v>
      </c>
      <c r="E31" t="s">
        <v>155</v>
      </c>
      <c r="F31" t="s">
        <v>1939</v>
      </c>
      <c r="G31" t="s">
        <v>1940</v>
      </c>
      <c r="H31" t="s">
        <v>27</v>
      </c>
      <c r="I31">
        <v>4</v>
      </c>
    </row>
    <row r="32" spans="1:9">
      <c r="A32" t="s">
        <v>1941</v>
      </c>
      <c r="B32" t="s">
        <v>1942</v>
      </c>
      <c r="C32" t="s">
        <v>113</v>
      </c>
      <c r="D32" t="s">
        <v>154</v>
      </c>
      <c r="E32" t="s">
        <v>213</v>
      </c>
      <c r="F32" t="s">
        <v>1943</v>
      </c>
      <c r="G32" t="s">
        <v>1806</v>
      </c>
      <c r="H32" t="s">
        <v>27</v>
      </c>
    </row>
    <row r="33" spans="1:9">
      <c r="A33" t="s">
        <v>1944</v>
      </c>
      <c r="B33" t="s">
        <v>1945</v>
      </c>
      <c r="C33" t="s">
        <v>113</v>
      </c>
      <c r="D33" t="s">
        <v>42</v>
      </c>
      <c r="E33" t="s">
        <v>126</v>
      </c>
      <c r="F33" t="s">
        <v>1946</v>
      </c>
      <c r="G33" t="s">
        <v>1947</v>
      </c>
      <c r="H33" t="s">
        <v>27</v>
      </c>
    </row>
    <row r="34" spans="1:9">
      <c r="A34" t="s">
        <v>1948</v>
      </c>
      <c r="B34" t="s">
        <v>1949</v>
      </c>
      <c r="C34" t="s">
        <v>233</v>
      </c>
      <c r="D34" t="s">
        <v>126</v>
      </c>
      <c r="E34" t="s">
        <v>126</v>
      </c>
      <c r="F34" t="s">
        <v>1950</v>
      </c>
      <c r="G34" t="s">
        <v>1951</v>
      </c>
      <c r="H34" t="s">
        <v>27</v>
      </c>
    </row>
    <row r="35" spans="1:9">
      <c r="A35" t="s">
        <v>1960</v>
      </c>
      <c r="B35" t="s">
        <v>1961</v>
      </c>
      <c r="C35" t="s">
        <v>113</v>
      </c>
      <c r="D35" t="s">
        <v>300</v>
      </c>
      <c r="E35" t="s">
        <v>156</v>
      </c>
      <c r="F35" t="s">
        <v>1962</v>
      </c>
      <c r="G35" t="s">
        <v>1806</v>
      </c>
      <c r="H35" t="s">
        <v>27</v>
      </c>
      <c r="I35">
        <v>5</v>
      </c>
    </row>
    <row r="36" spans="1:9">
      <c r="A36" t="s">
        <v>1970</v>
      </c>
      <c r="B36" t="s">
        <v>1971</v>
      </c>
      <c r="C36" t="s">
        <v>139</v>
      </c>
      <c r="D36" t="s">
        <v>136</v>
      </c>
      <c r="E36" t="s">
        <v>217</v>
      </c>
      <c r="F36" t="s">
        <v>1972</v>
      </c>
      <c r="G36" t="s">
        <v>1973</v>
      </c>
      <c r="H36" t="s">
        <v>27</v>
      </c>
    </row>
    <row r="37" spans="1:9">
      <c r="A37" t="s">
        <v>1975</v>
      </c>
      <c r="B37" t="s">
        <v>1976</v>
      </c>
      <c r="C37" t="s">
        <v>43</v>
      </c>
      <c r="D37" t="s">
        <v>160</v>
      </c>
      <c r="E37" t="s">
        <v>155</v>
      </c>
      <c r="F37" t="s">
        <v>1977</v>
      </c>
      <c r="G37" t="s">
        <v>1978</v>
      </c>
      <c r="H37" t="s">
        <v>27</v>
      </c>
      <c r="I37">
        <v>2</v>
      </c>
    </row>
    <row r="38" spans="1:9">
      <c r="A38" t="s">
        <v>1983</v>
      </c>
      <c r="B38" t="s">
        <v>1984</v>
      </c>
      <c r="C38" t="s">
        <v>117</v>
      </c>
      <c r="D38" t="s">
        <v>42</v>
      </c>
      <c r="E38" t="s">
        <v>209</v>
      </c>
      <c r="F38" t="s">
        <v>1985</v>
      </c>
      <c r="G38" t="s">
        <v>1986</v>
      </c>
      <c r="H38" t="s">
        <v>27</v>
      </c>
    </row>
    <row r="39" spans="1:9">
      <c r="A39" t="s">
        <v>2003</v>
      </c>
      <c r="B39" t="s">
        <v>2004</v>
      </c>
      <c r="C39" t="s">
        <v>113</v>
      </c>
      <c r="D39" t="s">
        <v>172</v>
      </c>
      <c r="E39" t="s">
        <v>184</v>
      </c>
      <c r="F39" t="s">
        <v>2005</v>
      </c>
      <c r="G39" t="s">
        <v>2006</v>
      </c>
      <c r="H39" t="s">
        <v>27</v>
      </c>
    </row>
    <row r="40" spans="1:9">
      <c r="A40" t="s">
        <v>2015</v>
      </c>
      <c r="B40" t="s">
        <v>2016</v>
      </c>
      <c r="C40" t="s">
        <v>233</v>
      </c>
      <c r="D40" t="s">
        <v>117</v>
      </c>
      <c r="E40" t="s">
        <v>160</v>
      </c>
      <c r="F40" t="s">
        <v>2017</v>
      </c>
      <c r="G40" t="s">
        <v>2018</v>
      </c>
      <c r="H40" t="s">
        <v>27</v>
      </c>
      <c r="I40">
        <v>1</v>
      </c>
    </row>
    <row r="41" spans="1:9">
      <c r="A41" t="s">
        <v>2021</v>
      </c>
      <c r="B41" t="s">
        <v>2022</v>
      </c>
      <c r="C41" t="s">
        <v>113</v>
      </c>
      <c r="D41" t="s">
        <v>154</v>
      </c>
      <c r="E41" t="s">
        <v>126</v>
      </c>
      <c r="F41" t="s">
        <v>2023</v>
      </c>
      <c r="G41" t="s">
        <v>1700</v>
      </c>
      <c r="H41" t="s">
        <v>27</v>
      </c>
    </row>
    <row r="42" spans="1:9">
      <c r="A42" t="s">
        <v>2128</v>
      </c>
      <c r="B42" t="s">
        <v>2129</v>
      </c>
      <c r="C42" t="s">
        <v>113</v>
      </c>
      <c r="D42" t="s">
        <v>160</v>
      </c>
      <c r="E42" t="s">
        <v>191</v>
      </c>
      <c r="F42" t="s">
        <v>2130</v>
      </c>
      <c r="G42" t="s">
        <v>2131</v>
      </c>
      <c r="H42" t="s">
        <v>27</v>
      </c>
    </row>
    <row r="43" spans="1:9">
      <c r="A43" t="s">
        <v>2132</v>
      </c>
      <c r="B43" t="s">
        <v>2133</v>
      </c>
      <c r="C43" t="s">
        <v>233</v>
      </c>
      <c r="D43" t="s">
        <v>42</v>
      </c>
      <c r="E43" t="s">
        <v>126</v>
      </c>
      <c r="F43" t="s">
        <v>126</v>
      </c>
      <c r="G43" t="s">
        <v>1698</v>
      </c>
      <c r="H43" t="s">
        <v>27</v>
      </c>
    </row>
    <row r="44" spans="1:9">
      <c r="A44" t="s">
        <v>2136</v>
      </c>
      <c r="B44" t="s">
        <v>2137</v>
      </c>
      <c r="C44" t="s">
        <v>233</v>
      </c>
      <c r="D44" t="s">
        <v>44</v>
      </c>
      <c r="E44" t="s">
        <v>126</v>
      </c>
      <c r="F44" t="s">
        <v>2138</v>
      </c>
      <c r="G44" t="s">
        <v>2041</v>
      </c>
      <c r="H44" t="s">
        <v>27</v>
      </c>
    </row>
    <row r="45" spans="1:9">
      <c r="A45" t="s">
        <v>2143</v>
      </c>
      <c r="B45" t="s">
        <v>2144</v>
      </c>
      <c r="C45" t="s">
        <v>125</v>
      </c>
      <c r="D45" t="s">
        <v>126</v>
      </c>
      <c r="E45" t="s">
        <v>126</v>
      </c>
      <c r="F45" t="s">
        <v>2145</v>
      </c>
      <c r="G45" t="s">
        <v>2069</v>
      </c>
      <c r="H45" t="s">
        <v>27</v>
      </c>
    </row>
    <row r="46" spans="1:9">
      <c r="A46" t="s">
        <v>2148</v>
      </c>
      <c r="B46" t="s">
        <v>2149</v>
      </c>
      <c r="C46" t="s">
        <v>113</v>
      </c>
      <c r="D46" t="s">
        <v>1027</v>
      </c>
      <c r="E46" t="s">
        <v>126</v>
      </c>
      <c r="F46" t="s">
        <v>126</v>
      </c>
      <c r="G46" t="s">
        <v>2150</v>
      </c>
      <c r="H46" t="s">
        <v>27</v>
      </c>
    </row>
    <row r="47" spans="1:9">
      <c r="A47" t="s">
        <v>2152</v>
      </c>
      <c r="B47" t="s">
        <v>2153</v>
      </c>
      <c r="C47" t="s">
        <v>125</v>
      </c>
      <c r="D47" t="s">
        <v>126</v>
      </c>
      <c r="E47" t="s">
        <v>126</v>
      </c>
      <c r="F47" t="s">
        <v>126</v>
      </c>
      <c r="G47" t="s">
        <v>2041</v>
      </c>
      <c r="H47" t="s">
        <v>27</v>
      </c>
    </row>
    <row r="48" spans="1:9">
      <c r="A48" t="s">
        <v>2156</v>
      </c>
      <c r="B48" t="s">
        <v>2157</v>
      </c>
      <c r="C48" t="s">
        <v>139</v>
      </c>
      <c r="D48" t="s">
        <v>117</v>
      </c>
      <c r="E48" t="s">
        <v>126</v>
      </c>
      <c r="F48" t="s">
        <v>2158</v>
      </c>
      <c r="G48" t="s">
        <v>1714</v>
      </c>
      <c r="H48" t="s">
        <v>27</v>
      </c>
    </row>
    <row r="49" spans="1:9">
      <c r="A49" t="s">
        <v>2161</v>
      </c>
      <c r="B49" t="s">
        <v>2162</v>
      </c>
      <c r="C49" t="s">
        <v>125</v>
      </c>
      <c r="D49" t="s">
        <v>126</v>
      </c>
      <c r="E49" t="s">
        <v>126</v>
      </c>
      <c r="F49" t="s">
        <v>2163</v>
      </c>
      <c r="G49" t="s">
        <v>2164</v>
      </c>
      <c r="H49" t="s">
        <v>27</v>
      </c>
    </row>
    <row r="50" spans="1:9">
      <c r="A50" t="s">
        <v>2166</v>
      </c>
      <c r="B50" t="s">
        <v>2167</v>
      </c>
      <c r="C50" t="s">
        <v>180</v>
      </c>
      <c r="D50" t="s">
        <v>121</v>
      </c>
      <c r="E50" t="s">
        <v>184</v>
      </c>
      <c r="F50" t="s">
        <v>2168</v>
      </c>
      <c r="G50" t="s">
        <v>2111</v>
      </c>
      <c r="H50" t="s">
        <v>27</v>
      </c>
      <c r="I50">
        <v>1</v>
      </c>
    </row>
    <row r="51" spans="1:9">
      <c r="A51" t="s">
        <v>2172</v>
      </c>
      <c r="B51" t="s">
        <v>2173</v>
      </c>
      <c r="C51" t="s">
        <v>233</v>
      </c>
      <c r="D51" t="s">
        <v>63</v>
      </c>
      <c r="E51" t="s">
        <v>172</v>
      </c>
      <c r="F51" t="s">
        <v>2174</v>
      </c>
      <c r="G51" t="s">
        <v>2175</v>
      </c>
      <c r="H51" t="s">
        <v>27</v>
      </c>
      <c r="I51">
        <v>1</v>
      </c>
    </row>
    <row r="52" spans="1:9">
      <c r="A52" t="s">
        <v>2180</v>
      </c>
      <c r="B52" t="s">
        <v>2181</v>
      </c>
      <c r="C52" t="s">
        <v>125</v>
      </c>
      <c r="D52" t="s">
        <v>126</v>
      </c>
      <c r="E52" t="s">
        <v>126</v>
      </c>
      <c r="F52" t="s">
        <v>2182</v>
      </c>
      <c r="G52" t="s">
        <v>2183</v>
      </c>
      <c r="H52" t="s">
        <v>27</v>
      </c>
    </row>
    <row r="53" spans="1:9">
      <c r="A53" t="s">
        <v>2184</v>
      </c>
      <c r="B53" t="s">
        <v>2185</v>
      </c>
      <c r="C53" t="s">
        <v>113</v>
      </c>
      <c r="D53" t="s">
        <v>233</v>
      </c>
      <c r="E53" t="s">
        <v>63</v>
      </c>
      <c r="F53" t="s">
        <v>2186</v>
      </c>
      <c r="G53" t="s">
        <v>2187</v>
      </c>
      <c r="H53" t="s">
        <v>27</v>
      </c>
      <c r="I53">
        <v>1</v>
      </c>
    </row>
    <row r="54" spans="1:9">
      <c r="A54" t="s">
        <v>2193</v>
      </c>
      <c r="B54" t="s">
        <v>2194</v>
      </c>
      <c r="C54" t="s">
        <v>117</v>
      </c>
      <c r="D54" t="s">
        <v>42</v>
      </c>
      <c r="E54" t="s">
        <v>126</v>
      </c>
      <c r="F54" t="s">
        <v>2195</v>
      </c>
      <c r="G54" t="s">
        <v>1927</v>
      </c>
      <c r="H54" t="s">
        <v>27</v>
      </c>
    </row>
    <row r="55" spans="1:9">
      <c r="A55" t="s">
        <v>2201</v>
      </c>
      <c r="B55" t="s">
        <v>2202</v>
      </c>
      <c r="C55" t="s">
        <v>125</v>
      </c>
      <c r="D55" t="s">
        <v>126</v>
      </c>
      <c r="E55" t="s">
        <v>126</v>
      </c>
      <c r="F55" t="s">
        <v>126</v>
      </c>
      <c r="G55" t="s">
        <v>1821</v>
      </c>
      <c r="H55" t="s">
        <v>27</v>
      </c>
    </row>
    <row r="56" spans="1:9">
      <c r="A56" t="s">
        <v>2203</v>
      </c>
      <c r="B56" t="s">
        <v>2204</v>
      </c>
      <c r="C56" t="s">
        <v>113</v>
      </c>
      <c r="D56" t="s">
        <v>154</v>
      </c>
      <c r="E56" t="s">
        <v>126</v>
      </c>
      <c r="F56" t="s">
        <v>2205</v>
      </c>
      <c r="G56" t="s">
        <v>2206</v>
      </c>
      <c r="H56" t="s">
        <v>27</v>
      </c>
    </row>
    <row r="57" spans="1:9">
      <c r="A57" t="s">
        <v>2210</v>
      </c>
      <c r="B57" t="s">
        <v>2211</v>
      </c>
      <c r="C57" t="s">
        <v>113</v>
      </c>
      <c r="D57" t="s">
        <v>42</v>
      </c>
      <c r="E57" t="s">
        <v>126</v>
      </c>
      <c r="F57" t="s">
        <v>126</v>
      </c>
      <c r="G57" t="s">
        <v>1698</v>
      </c>
      <c r="H57" t="s">
        <v>27</v>
      </c>
    </row>
    <row r="58" spans="1:9">
      <c r="A58" t="s">
        <v>2216</v>
      </c>
      <c r="B58" t="s">
        <v>2217</v>
      </c>
      <c r="C58" t="s">
        <v>233</v>
      </c>
      <c r="D58" t="s">
        <v>42</v>
      </c>
      <c r="E58" t="s">
        <v>126</v>
      </c>
      <c r="F58" t="s">
        <v>2218</v>
      </c>
      <c r="G58" t="s">
        <v>1759</v>
      </c>
      <c r="H58" t="s">
        <v>27</v>
      </c>
    </row>
    <row r="59" spans="1:9">
      <c r="A59" t="s">
        <v>2221</v>
      </c>
      <c r="B59" t="s">
        <v>2222</v>
      </c>
      <c r="C59" t="s">
        <v>113</v>
      </c>
      <c r="D59" t="s">
        <v>511</v>
      </c>
      <c r="E59" t="s">
        <v>1081</v>
      </c>
      <c r="F59" t="s">
        <v>2223</v>
      </c>
      <c r="G59" t="s">
        <v>2224</v>
      </c>
      <c r="H59" t="s">
        <v>27</v>
      </c>
    </row>
    <row r="60" spans="1:9">
      <c r="A60" t="s">
        <v>2244</v>
      </c>
      <c r="B60" t="s">
        <v>2245</v>
      </c>
      <c r="C60" t="s">
        <v>125</v>
      </c>
      <c r="D60" t="s">
        <v>126</v>
      </c>
      <c r="E60" t="s">
        <v>126</v>
      </c>
      <c r="F60" t="s">
        <v>126</v>
      </c>
      <c r="G60" t="s">
        <v>1912</v>
      </c>
      <c r="H60" t="s">
        <v>27</v>
      </c>
    </row>
    <row r="61" spans="1:9">
      <c r="A61" t="s">
        <v>2258</v>
      </c>
      <c r="B61" t="s">
        <v>2259</v>
      </c>
      <c r="C61" t="s">
        <v>125</v>
      </c>
      <c r="D61" t="s">
        <v>126</v>
      </c>
      <c r="E61" t="s">
        <v>126</v>
      </c>
      <c r="F61" t="s">
        <v>126</v>
      </c>
      <c r="G61" t="s">
        <v>2260</v>
      </c>
      <c r="H61" t="s">
        <v>27</v>
      </c>
    </row>
    <row r="62" spans="1:9">
      <c r="A62" t="s">
        <v>2266</v>
      </c>
      <c r="B62" t="s">
        <v>2267</v>
      </c>
      <c r="C62" t="s">
        <v>125</v>
      </c>
      <c r="D62" t="s">
        <v>126</v>
      </c>
      <c r="E62" t="s">
        <v>126</v>
      </c>
      <c r="F62" t="s">
        <v>126</v>
      </c>
      <c r="G62" t="s">
        <v>2268</v>
      </c>
      <c r="H62" t="s">
        <v>27</v>
      </c>
    </row>
    <row r="63" spans="1:9">
      <c r="A63" t="s">
        <v>2279</v>
      </c>
      <c r="B63" t="s">
        <v>2280</v>
      </c>
      <c r="C63" t="s">
        <v>125</v>
      </c>
      <c r="D63" t="s">
        <v>126</v>
      </c>
      <c r="E63" t="s">
        <v>126</v>
      </c>
      <c r="F63" t="s">
        <v>126</v>
      </c>
      <c r="G63" t="s">
        <v>2155</v>
      </c>
      <c r="H63" t="s">
        <v>27</v>
      </c>
    </row>
    <row r="64" spans="1:9">
      <c r="A64" t="s">
        <v>2298</v>
      </c>
      <c r="B64" t="s">
        <v>2299</v>
      </c>
      <c r="C64" t="s">
        <v>125</v>
      </c>
      <c r="D64" t="s">
        <v>126</v>
      </c>
      <c r="E64" t="s">
        <v>126</v>
      </c>
      <c r="F64" t="s">
        <v>2300</v>
      </c>
      <c r="G64" t="s">
        <v>2301</v>
      </c>
      <c r="H64" t="s">
        <v>27</v>
      </c>
    </row>
    <row r="65" spans="1:9">
      <c r="A65" t="s">
        <v>2313</v>
      </c>
      <c r="B65" t="s">
        <v>2314</v>
      </c>
      <c r="C65" t="s">
        <v>135</v>
      </c>
      <c r="D65" t="s">
        <v>136</v>
      </c>
      <c r="E65" t="s">
        <v>126</v>
      </c>
      <c r="F65" t="s">
        <v>126</v>
      </c>
      <c r="G65" t="s">
        <v>2315</v>
      </c>
      <c r="H65" t="s">
        <v>27</v>
      </c>
    </row>
    <row r="66" spans="1:9">
      <c r="A66" t="s">
        <v>2326</v>
      </c>
      <c r="B66" t="s">
        <v>2327</v>
      </c>
      <c r="C66" t="s">
        <v>42</v>
      </c>
      <c r="D66" t="s">
        <v>121</v>
      </c>
      <c r="E66" t="s">
        <v>126</v>
      </c>
      <c r="F66" t="s">
        <v>2328</v>
      </c>
      <c r="G66" t="s">
        <v>1845</v>
      </c>
      <c r="H66" t="s">
        <v>27</v>
      </c>
    </row>
    <row r="67" spans="1:9">
      <c r="A67" t="s">
        <v>2341</v>
      </c>
      <c r="B67" t="s">
        <v>2342</v>
      </c>
      <c r="C67" t="s">
        <v>117</v>
      </c>
      <c r="D67" t="s">
        <v>160</v>
      </c>
      <c r="E67" t="s">
        <v>135</v>
      </c>
      <c r="F67" t="s">
        <v>126</v>
      </c>
      <c r="G67" t="s">
        <v>2343</v>
      </c>
      <c r="H67" t="s">
        <v>27</v>
      </c>
      <c r="I67">
        <v>1</v>
      </c>
    </row>
    <row r="68" spans="1:9">
      <c r="A68" t="s">
        <v>2359</v>
      </c>
      <c r="B68" t="s">
        <v>2360</v>
      </c>
      <c r="C68" t="s">
        <v>125</v>
      </c>
      <c r="D68" t="s">
        <v>126</v>
      </c>
      <c r="E68" t="s">
        <v>126</v>
      </c>
      <c r="F68" t="s">
        <v>2361</v>
      </c>
      <c r="G68" t="s">
        <v>1912</v>
      </c>
      <c r="H68" t="s">
        <v>27</v>
      </c>
    </row>
    <row r="69" spans="1:9">
      <c r="A69" t="s">
        <v>2364</v>
      </c>
      <c r="B69" t="s">
        <v>2365</v>
      </c>
      <c r="C69" t="s">
        <v>125</v>
      </c>
      <c r="D69" t="s">
        <v>126</v>
      </c>
      <c r="E69" t="s">
        <v>126</v>
      </c>
      <c r="F69" t="s">
        <v>126</v>
      </c>
      <c r="G69" t="s">
        <v>2366</v>
      </c>
      <c r="H69" t="s">
        <v>27</v>
      </c>
    </row>
    <row r="70" spans="1:9">
      <c r="A70" t="s">
        <v>2369</v>
      </c>
      <c r="B70" t="s">
        <v>2370</v>
      </c>
      <c r="C70" t="s">
        <v>125</v>
      </c>
      <c r="D70" t="s">
        <v>126</v>
      </c>
      <c r="E70" t="s">
        <v>126</v>
      </c>
      <c r="F70" t="s">
        <v>126</v>
      </c>
      <c r="G70" t="s">
        <v>2371</v>
      </c>
      <c r="H70" t="s">
        <v>27</v>
      </c>
    </row>
    <row r="71" spans="1:9">
      <c r="A71" t="s">
        <v>2383</v>
      </c>
      <c r="B71" t="s">
        <v>2384</v>
      </c>
      <c r="C71" t="s">
        <v>42</v>
      </c>
      <c r="D71" t="s">
        <v>126</v>
      </c>
      <c r="E71" t="s">
        <v>126</v>
      </c>
      <c r="F71" t="s">
        <v>126</v>
      </c>
      <c r="G71" t="s">
        <v>2385</v>
      </c>
      <c r="H71" t="s">
        <v>27</v>
      </c>
    </row>
    <row r="72" spans="1:9">
      <c r="A72" t="s">
        <v>2390</v>
      </c>
      <c r="B72" t="s">
        <v>2391</v>
      </c>
      <c r="C72" t="s">
        <v>113</v>
      </c>
      <c r="D72" t="s">
        <v>42</v>
      </c>
      <c r="E72" t="s">
        <v>126</v>
      </c>
      <c r="F72" t="s">
        <v>126</v>
      </c>
      <c r="G72" t="s">
        <v>1940</v>
      </c>
      <c r="H72" t="s">
        <v>27</v>
      </c>
    </row>
    <row r="73" spans="1:9">
      <c r="A73" t="s">
        <v>2395</v>
      </c>
      <c r="B73" t="s">
        <v>2396</v>
      </c>
      <c r="C73" t="s">
        <v>180</v>
      </c>
      <c r="D73" t="s">
        <v>121</v>
      </c>
      <c r="E73" t="s">
        <v>2397</v>
      </c>
      <c r="F73" t="s">
        <v>126</v>
      </c>
      <c r="G73" t="s">
        <v>2398</v>
      </c>
      <c r="H73" t="s">
        <v>27</v>
      </c>
    </row>
    <row r="74" spans="1:9">
      <c r="A74" t="s">
        <v>2407</v>
      </c>
      <c r="B74" t="s">
        <v>2408</v>
      </c>
      <c r="C74" t="s">
        <v>125</v>
      </c>
      <c r="D74" t="s">
        <v>126</v>
      </c>
      <c r="E74" t="s">
        <v>126</v>
      </c>
      <c r="F74" t="s">
        <v>126</v>
      </c>
      <c r="G74" t="s">
        <v>2409</v>
      </c>
      <c r="H74" t="s">
        <v>27</v>
      </c>
    </row>
    <row r="75" spans="1:9">
      <c r="A75" t="s">
        <v>2417</v>
      </c>
      <c r="B75" t="s">
        <v>2418</v>
      </c>
      <c r="C75" t="s">
        <v>113</v>
      </c>
      <c r="D75" t="s">
        <v>139</v>
      </c>
      <c r="E75" t="s">
        <v>63</v>
      </c>
      <c r="F75" t="s">
        <v>126</v>
      </c>
      <c r="G75" t="s">
        <v>2419</v>
      </c>
      <c r="H75" t="s">
        <v>27</v>
      </c>
      <c r="I75">
        <v>1</v>
      </c>
    </row>
    <row r="76" spans="1:9">
      <c r="A76" t="s">
        <v>2435</v>
      </c>
      <c r="B76" t="s">
        <v>2436</v>
      </c>
      <c r="C76" t="s">
        <v>272</v>
      </c>
      <c r="D76" t="s">
        <v>117</v>
      </c>
      <c r="E76" t="s">
        <v>126</v>
      </c>
      <c r="F76" t="s">
        <v>126</v>
      </c>
      <c r="G76" t="s">
        <v>2334</v>
      </c>
      <c r="H76" t="s">
        <v>27</v>
      </c>
    </row>
    <row r="77" spans="1:9">
      <c r="A77" t="s">
        <v>2451</v>
      </c>
      <c r="B77" t="s">
        <v>2452</v>
      </c>
      <c r="C77" t="s">
        <v>125</v>
      </c>
      <c r="D77" t="s">
        <v>126</v>
      </c>
      <c r="E77" t="s">
        <v>126</v>
      </c>
      <c r="F77" t="s">
        <v>126</v>
      </c>
      <c r="G77" t="s">
        <v>1716</v>
      </c>
      <c r="H77" t="s">
        <v>27</v>
      </c>
    </row>
    <row r="78" spans="1:9">
      <c r="A78" t="s">
        <v>2457</v>
      </c>
      <c r="B78" t="s">
        <v>2458</v>
      </c>
      <c r="C78" t="s">
        <v>125</v>
      </c>
      <c r="D78" t="s">
        <v>126</v>
      </c>
      <c r="E78" t="s">
        <v>126</v>
      </c>
      <c r="F78" t="s">
        <v>126</v>
      </c>
      <c r="G78" t="s">
        <v>2459</v>
      </c>
      <c r="H78" t="s">
        <v>27</v>
      </c>
    </row>
    <row r="79" spans="1:9">
      <c r="A79" t="s">
        <v>2460</v>
      </c>
      <c r="B79" t="s">
        <v>2461</v>
      </c>
      <c r="C79" t="s">
        <v>125</v>
      </c>
      <c r="D79" t="s">
        <v>126</v>
      </c>
      <c r="E79" t="s">
        <v>126</v>
      </c>
      <c r="F79" t="s">
        <v>126</v>
      </c>
      <c r="G79" t="s">
        <v>1863</v>
      </c>
      <c r="H79" t="s">
        <v>27</v>
      </c>
    </row>
    <row r="80" spans="1:9">
      <c r="A80" t="s">
        <v>2464</v>
      </c>
      <c r="B80" t="s">
        <v>2465</v>
      </c>
      <c r="C80" t="s">
        <v>113</v>
      </c>
      <c r="D80" t="s">
        <v>233</v>
      </c>
      <c r="E80" t="s">
        <v>624</v>
      </c>
      <c r="F80" t="s">
        <v>126</v>
      </c>
      <c r="G80" t="s">
        <v>2115</v>
      </c>
      <c r="H80" t="s">
        <v>27</v>
      </c>
    </row>
    <row r="81" spans="1:9">
      <c r="A81" t="s">
        <v>2473</v>
      </c>
      <c r="B81" t="s">
        <v>2474</v>
      </c>
      <c r="C81" t="s">
        <v>113</v>
      </c>
      <c r="D81" t="s">
        <v>233</v>
      </c>
      <c r="E81" t="s">
        <v>154</v>
      </c>
      <c r="F81" t="s">
        <v>126</v>
      </c>
      <c r="G81" t="s">
        <v>2447</v>
      </c>
      <c r="H81" t="s">
        <v>27</v>
      </c>
      <c r="I81">
        <v>2</v>
      </c>
    </row>
    <row r="82" spans="1:9">
      <c r="A82" t="s">
        <v>2480</v>
      </c>
      <c r="B82" t="s">
        <v>2481</v>
      </c>
      <c r="C82" t="s">
        <v>125</v>
      </c>
      <c r="D82" t="s">
        <v>126</v>
      </c>
      <c r="E82" t="s">
        <v>126</v>
      </c>
      <c r="F82" t="s">
        <v>2483</v>
      </c>
      <c r="G82" t="s">
        <v>2482</v>
      </c>
      <c r="H82" t="s">
        <v>27</v>
      </c>
    </row>
    <row r="83" spans="1:9">
      <c r="A83" t="s">
        <v>2493</v>
      </c>
      <c r="B83" t="s">
        <v>2494</v>
      </c>
      <c r="C83" t="s">
        <v>125</v>
      </c>
      <c r="D83" t="s">
        <v>126</v>
      </c>
      <c r="E83" t="s">
        <v>126</v>
      </c>
      <c r="F83" t="s">
        <v>2495</v>
      </c>
      <c r="G83" t="s">
        <v>1739</v>
      </c>
      <c r="H83" t="s">
        <v>27</v>
      </c>
    </row>
    <row r="84" spans="1:9">
      <c r="A84" t="s">
        <v>2496</v>
      </c>
      <c r="B84" t="s">
        <v>2497</v>
      </c>
      <c r="C84" t="s">
        <v>233</v>
      </c>
      <c r="D84" t="s">
        <v>42</v>
      </c>
      <c r="E84" t="s">
        <v>135</v>
      </c>
      <c r="F84" t="s">
        <v>126</v>
      </c>
      <c r="G84" t="s">
        <v>2164</v>
      </c>
      <c r="H84" t="s">
        <v>27</v>
      </c>
      <c r="I84">
        <v>2</v>
      </c>
    </row>
    <row r="85" spans="1:9">
      <c r="A85" t="s">
        <v>2499</v>
      </c>
      <c r="B85" t="s">
        <v>2500</v>
      </c>
      <c r="C85" t="s">
        <v>125</v>
      </c>
      <c r="D85" t="s">
        <v>126</v>
      </c>
      <c r="E85" t="s">
        <v>126</v>
      </c>
      <c r="F85" t="s">
        <v>126</v>
      </c>
      <c r="G85" t="s">
        <v>2247</v>
      </c>
      <c r="H85" t="s">
        <v>27</v>
      </c>
    </row>
    <row r="86" spans="1:9">
      <c r="A86" t="s">
        <v>2535</v>
      </c>
      <c r="B86" t="s">
        <v>2536</v>
      </c>
      <c r="C86" t="s">
        <v>125</v>
      </c>
      <c r="D86" t="s">
        <v>126</v>
      </c>
      <c r="E86" t="s">
        <v>126</v>
      </c>
      <c r="F86" t="s">
        <v>126</v>
      </c>
      <c r="G86" t="s">
        <v>2537</v>
      </c>
      <c r="H86" t="s">
        <v>27</v>
      </c>
    </row>
    <row r="87" spans="1:9">
      <c r="A87" t="s">
        <v>2539</v>
      </c>
      <c r="B87" t="s">
        <v>2540</v>
      </c>
      <c r="C87" t="s">
        <v>113</v>
      </c>
      <c r="D87" t="s">
        <v>121</v>
      </c>
      <c r="E87" t="s">
        <v>65</v>
      </c>
      <c r="F87" t="s">
        <v>126</v>
      </c>
      <c r="G87" t="s">
        <v>1680</v>
      </c>
      <c r="H87" t="s">
        <v>27</v>
      </c>
    </row>
    <row r="88" spans="1:9">
      <c r="A88" t="s">
        <v>2547</v>
      </c>
      <c r="B88" t="s">
        <v>2548</v>
      </c>
      <c r="C88" t="s">
        <v>113</v>
      </c>
      <c r="D88" t="s">
        <v>42</v>
      </c>
      <c r="E88" t="s">
        <v>126</v>
      </c>
      <c r="F88" t="s">
        <v>126</v>
      </c>
      <c r="G88" t="s">
        <v>2549</v>
      </c>
      <c r="H88" t="s">
        <v>27</v>
      </c>
    </row>
    <row r="89" spans="1:9">
      <c r="A89" t="s">
        <v>2552</v>
      </c>
      <c r="B89" t="s">
        <v>2553</v>
      </c>
      <c r="C89" t="s">
        <v>125</v>
      </c>
      <c r="D89" t="s">
        <v>126</v>
      </c>
      <c r="E89" t="s">
        <v>126</v>
      </c>
      <c r="F89" t="s">
        <v>2554</v>
      </c>
      <c r="G89" t="s">
        <v>2380</v>
      </c>
      <c r="H89" t="s">
        <v>27</v>
      </c>
    </row>
    <row r="90" spans="1:9">
      <c r="A90" t="s">
        <v>2559</v>
      </c>
      <c r="B90" t="s">
        <v>2560</v>
      </c>
      <c r="C90" t="s">
        <v>113</v>
      </c>
      <c r="D90" t="s">
        <v>156</v>
      </c>
      <c r="E90" t="s">
        <v>86</v>
      </c>
      <c r="F90" t="s">
        <v>126</v>
      </c>
      <c r="G90" t="s">
        <v>2051</v>
      </c>
      <c r="H90" t="s">
        <v>27</v>
      </c>
    </row>
    <row r="91" spans="1:9">
      <c r="A91" t="s">
        <v>2564</v>
      </c>
      <c r="B91" t="s">
        <v>2565</v>
      </c>
      <c r="C91" t="s">
        <v>125</v>
      </c>
      <c r="D91" t="s">
        <v>126</v>
      </c>
      <c r="E91" t="s">
        <v>126</v>
      </c>
      <c r="F91" t="s">
        <v>2566</v>
      </c>
      <c r="G91" t="s">
        <v>1796</v>
      </c>
      <c r="H91" t="s">
        <v>27</v>
      </c>
    </row>
    <row r="92" spans="1:9">
      <c r="A92" t="s">
        <v>2575</v>
      </c>
      <c r="B92" t="s">
        <v>2576</v>
      </c>
      <c r="C92" t="s">
        <v>125</v>
      </c>
      <c r="D92" t="s">
        <v>126</v>
      </c>
      <c r="E92" t="s">
        <v>126</v>
      </c>
      <c r="F92" t="s">
        <v>126</v>
      </c>
      <c r="G92" t="s">
        <v>2441</v>
      </c>
      <c r="H92" t="s">
        <v>27</v>
      </c>
    </row>
    <row r="93" spans="1:9">
      <c r="A93" t="s">
        <v>2578</v>
      </c>
      <c r="B93" t="s">
        <v>2579</v>
      </c>
      <c r="C93" t="s">
        <v>136</v>
      </c>
      <c r="D93" t="s">
        <v>176</v>
      </c>
      <c r="E93" t="s">
        <v>204</v>
      </c>
      <c r="F93" t="s">
        <v>2581</v>
      </c>
      <c r="G93" t="s">
        <v>2580</v>
      </c>
      <c r="H93" t="s">
        <v>27</v>
      </c>
    </row>
    <row r="94" spans="1:9">
      <c r="A94" t="s">
        <v>2592</v>
      </c>
      <c r="B94" t="s">
        <v>2593</v>
      </c>
      <c r="C94" t="s">
        <v>42</v>
      </c>
      <c r="D94" t="s">
        <v>82</v>
      </c>
      <c r="E94" t="s">
        <v>204</v>
      </c>
      <c r="F94" t="s">
        <v>126</v>
      </c>
      <c r="G94" t="s">
        <v>1959</v>
      </c>
      <c r="H94" t="s">
        <v>27</v>
      </c>
    </row>
    <row r="95" spans="1:9">
      <c r="A95" t="s">
        <v>2595</v>
      </c>
      <c r="B95" t="s">
        <v>2596</v>
      </c>
      <c r="C95" t="s">
        <v>125</v>
      </c>
      <c r="D95" t="s">
        <v>126</v>
      </c>
      <c r="E95" t="s">
        <v>126</v>
      </c>
      <c r="F95" t="s">
        <v>126</v>
      </c>
      <c r="G95" t="s">
        <v>1922</v>
      </c>
      <c r="H95" t="s">
        <v>27</v>
      </c>
    </row>
    <row r="96" spans="1:9">
      <c r="A96" t="s">
        <v>2597</v>
      </c>
      <c r="B96" t="s">
        <v>2598</v>
      </c>
      <c r="C96" t="s">
        <v>125</v>
      </c>
      <c r="D96" t="s">
        <v>126</v>
      </c>
      <c r="E96" t="s">
        <v>126</v>
      </c>
      <c r="F96" t="s">
        <v>126</v>
      </c>
      <c r="G96" t="s">
        <v>2260</v>
      </c>
      <c r="H96" t="s">
        <v>27</v>
      </c>
    </row>
    <row r="97" spans="1:9">
      <c r="A97" t="s">
        <v>2599</v>
      </c>
      <c r="B97" t="s">
        <v>2600</v>
      </c>
      <c r="C97" t="s">
        <v>139</v>
      </c>
      <c r="D97" t="s">
        <v>160</v>
      </c>
      <c r="E97" t="s">
        <v>155</v>
      </c>
      <c r="F97" t="s">
        <v>126</v>
      </c>
      <c r="G97" t="s">
        <v>2601</v>
      </c>
      <c r="H97" t="s">
        <v>27</v>
      </c>
      <c r="I97">
        <v>1</v>
      </c>
    </row>
    <row r="98" spans="1:9">
      <c r="A98" t="s">
        <v>2606</v>
      </c>
      <c r="B98" t="s">
        <v>2607</v>
      </c>
      <c r="C98" t="s">
        <v>42</v>
      </c>
      <c r="D98" t="s">
        <v>63</v>
      </c>
      <c r="E98" t="s">
        <v>126</v>
      </c>
      <c r="F98" t="s">
        <v>126</v>
      </c>
      <c r="G98" t="s">
        <v>2524</v>
      </c>
      <c r="H98" t="s">
        <v>27</v>
      </c>
    </row>
    <row r="99" spans="1:9">
      <c r="A99" t="s">
        <v>2611</v>
      </c>
      <c r="B99" t="s">
        <v>2612</v>
      </c>
      <c r="C99" t="s">
        <v>113</v>
      </c>
      <c r="D99" t="s">
        <v>135</v>
      </c>
      <c r="E99" t="s">
        <v>136</v>
      </c>
      <c r="F99" t="s">
        <v>126</v>
      </c>
      <c r="G99" t="s">
        <v>2613</v>
      </c>
      <c r="H99" t="s">
        <v>27</v>
      </c>
      <c r="I99">
        <v>1</v>
      </c>
    </row>
    <row r="100" spans="1:9">
      <c r="A100" t="s">
        <v>2624</v>
      </c>
      <c r="B100" t="s">
        <v>2625</v>
      </c>
      <c r="C100" t="s">
        <v>113</v>
      </c>
      <c r="D100" t="s">
        <v>136</v>
      </c>
      <c r="E100" t="s">
        <v>180</v>
      </c>
      <c r="F100" t="s">
        <v>126</v>
      </c>
      <c r="G100" t="s">
        <v>1798</v>
      </c>
      <c r="H100" t="s">
        <v>27</v>
      </c>
      <c r="I100">
        <v>1</v>
      </c>
    </row>
    <row r="101" spans="1:9">
      <c r="A101" t="s">
        <v>2628</v>
      </c>
      <c r="B101" t="s">
        <v>2629</v>
      </c>
      <c r="C101" t="s">
        <v>42</v>
      </c>
      <c r="D101" t="s">
        <v>135</v>
      </c>
      <c r="E101" t="s">
        <v>204</v>
      </c>
      <c r="F101" t="s">
        <v>126</v>
      </c>
      <c r="G101" t="s">
        <v>2630</v>
      </c>
      <c r="H101" t="s">
        <v>27</v>
      </c>
    </row>
    <row r="102" spans="1:9">
      <c r="A102" t="s">
        <v>2643</v>
      </c>
      <c r="B102" t="s">
        <v>2644</v>
      </c>
      <c r="C102" t="s">
        <v>113</v>
      </c>
      <c r="D102" t="s">
        <v>42</v>
      </c>
      <c r="E102" t="s">
        <v>160</v>
      </c>
      <c r="F102" t="s">
        <v>2645</v>
      </c>
      <c r="G102" t="s">
        <v>2366</v>
      </c>
      <c r="H102" t="s">
        <v>27</v>
      </c>
      <c r="I102">
        <v>1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B34F-9425-4141-AE64-E7B40E813B9E}">
  <sheetPr codeName="Sheet12"/>
  <dimension ref="A1:G70"/>
  <sheetViews>
    <sheetView workbookViewId="0">
      <selection activeCell="C6" sqref="C6"/>
    </sheetView>
  </sheetViews>
  <sheetFormatPr defaultRowHeight="14.5"/>
  <cols>
    <col min="1" max="1" width="67.54296875" bestFit="1" customWidth="1"/>
    <col min="2" max="2" width="80.7265625" bestFit="1" customWidth="1"/>
    <col min="3" max="3" width="17.54296875" bestFit="1" customWidth="1"/>
    <col min="4" max="4" width="20.54296875" bestFit="1" customWidth="1"/>
    <col min="5" max="5" width="7.453125" bestFit="1" customWidth="1"/>
    <col min="6" max="6" width="20.54296875" bestFit="1" customWidth="1"/>
    <col min="7" max="7" width="13.453125" bestFit="1" customWidth="1"/>
  </cols>
  <sheetData>
    <row r="1" spans="1:7">
      <c r="A1" t="s">
        <v>101</v>
      </c>
      <c r="B1" t="s">
        <v>103</v>
      </c>
      <c r="C1" t="s">
        <v>104</v>
      </c>
      <c r="D1" t="s">
        <v>105</v>
      </c>
      <c r="E1" t="s">
        <v>1664</v>
      </c>
      <c r="F1" t="s">
        <v>106</v>
      </c>
      <c r="G1" t="s">
        <v>110</v>
      </c>
    </row>
    <row r="2" spans="1:7">
      <c r="A2" t="s">
        <v>2647</v>
      </c>
      <c r="B2" t="s">
        <v>2648</v>
      </c>
      <c r="C2" t="s">
        <v>113</v>
      </c>
      <c r="D2" t="s">
        <v>42</v>
      </c>
      <c r="E2" t="s">
        <v>2301</v>
      </c>
      <c r="F2" t="s">
        <v>126</v>
      </c>
    </row>
    <row r="3" spans="1:7">
      <c r="A3" t="s">
        <v>2650</v>
      </c>
      <c r="B3" t="s">
        <v>2651</v>
      </c>
      <c r="C3" t="s">
        <v>125</v>
      </c>
      <c r="D3" t="s">
        <v>126</v>
      </c>
      <c r="E3" t="s">
        <v>2652</v>
      </c>
      <c r="F3" t="s">
        <v>126</v>
      </c>
    </row>
    <row r="4" spans="1:7">
      <c r="A4" t="s">
        <v>2654</v>
      </c>
      <c r="B4" t="s">
        <v>2655</v>
      </c>
      <c r="C4" t="s">
        <v>113</v>
      </c>
      <c r="D4" t="s">
        <v>180</v>
      </c>
      <c r="E4" t="s">
        <v>2656</v>
      </c>
      <c r="F4" t="s">
        <v>121</v>
      </c>
      <c r="G4">
        <v>3</v>
      </c>
    </row>
    <row r="5" spans="1:7">
      <c r="A5" t="s">
        <v>2666</v>
      </c>
      <c r="B5" t="s">
        <v>2667</v>
      </c>
      <c r="C5" t="s">
        <v>113</v>
      </c>
      <c r="D5" t="s">
        <v>42</v>
      </c>
      <c r="E5" t="s">
        <v>2537</v>
      </c>
      <c r="F5" t="s">
        <v>204</v>
      </c>
    </row>
    <row r="6" spans="1:7">
      <c r="A6" t="s">
        <v>2686</v>
      </c>
      <c r="B6" t="s">
        <v>2687</v>
      </c>
      <c r="C6" t="s">
        <v>113</v>
      </c>
      <c r="D6" t="s">
        <v>63</v>
      </c>
      <c r="E6" t="s">
        <v>2002</v>
      </c>
      <c r="F6" t="s">
        <v>172</v>
      </c>
    </row>
    <row r="7" spans="1:7">
      <c r="A7" t="s">
        <v>2692</v>
      </c>
      <c r="B7" t="s">
        <v>2693</v>
      </c>
      <c r="C7" t="s">
        <v>125</v>
      </c>
      <c r="D7" t="s">
        <v>126</v>
      </c>
      <c r="E7" t="s">
        <v>2694</v>
      </c>
      <c r="F7" t="s">
        <v>126</v>
      </c>
    </row>
    <row r="8" spans="1:7">
      <c r="A8" t="s">
        <v>2696</v>
      </c>
      <c r="B8" t="s">
        <v>2697</v>
      </c>
      <c r="C8" t="s">
        <v>135</v>
      </c>
      <c r="D8" t="s">
        <v>136</v>
      </c>
      <c r="E8" t="s">
        <v>2698</v>
      </c>
      <c r="F8" t="s">
        <v>121</v>
      </c>
      <c r="G8">
        <v>1</v>
      </c>
    </row>
    <row r="9" spans="1:7">
      <c r="A9" t="s">
        <v>2702</v>
      </c>
      <c r="B9" t="s">
        <v>2703</v>
      </c>
      <c r="C9" t="s">
        <v>125</v>
      </c>
      <c r="D9" t="s">
        <v>126</v>
      </c>
      <c r="E9" t="s">
        <v>2519</v>
      </c>
      <c r="F9" t="s">
        <v>126</v>
      </c>
    </row>
    <row r="10" spans="1:7">
      <c r="A10" t="s">
        <v>2710</v>
      </c>
      <c r="B10" t="s">
        <v>2711</v>
      </c>
      <c r="C10" t="s">
        <v>113</v>
      </c>
      <c r="D10" t="s">
        <v>154</v>
      </c>
      <c r="E10" t="s">
        <v>2712</v>
      </c>
      <c r="F10" t="s">
        <v>511</v>
      </c>
      <c r="G10">
        <v>4</v>
      </c>
    </row>
    <row r="11" spans="1:7">
      <c r="A11" t="s">
        <v>2713</v>
      </c>
      <c r="B11" t="s">
        <v>2714</v>
      </c>
      <c r="C11" t="s">
        <v>113</v>
      </c>
      <c r="D11" t="s">
        <v>139</v>
      </c>
      <c r="E11" t="s">
        <v>2715</v>
      </c>
      <c r="F11" t="s">
        <v>233</v>
      </c>
      <c r="G11">
        <v>2</v>
      </c>
    </row>
    <row r="12" spans="1:7">
      <c r="A12" t="s">
        <v>2718</v>
      </c>
      <c r="B12" t="s">
        <v>2719</v>
      </c>
      <c r="C12" t="s">
        <v>113</v>
      </c>
      <c r="D12" t="s">
        <v>208</v>
      </c>
      <c r="E12" t="s">
        <v>1690</v>
      </c>
      <c r="F12" t="s">
        <v>797</v>
      </c>
    </row>
    <row r="13" spans="1:7">
      <c r="A13" t="s">
        <v>2743</v>
      </c>
      <c r="B13" t="s">
        <v>2744</v>
      </c>
      <c r="C13" t="s">
        <v>113</v>
      </c>
      <c r="D13" t="s">
        <v>272</v>
      </c>
      <c r="E13" t="s">
        <v>2366</v>
      </c>
      <c r="F13" t="s">
        <v>154</v>
      </c>
      <c r="G13">
        <v>1</v>
      </c>
    </row>
    <row r="14" spans="1:7">
      <c r="A14" t="s">
        <v>2748</v>
      </c>
      <c r="B14" t="s">
        <v>2749</v>
      </c>
      <c r="C14" t="s">
        <v>113</v>
      </c>
      <c r="D14" t="s">
        <v>233</v>
      </c>
      <c r="E14" t="s">
        <v>1929</v>
      </c>
      <c r="F14" t="s">
        <v>511</v>
      </c>
      <c r="G14">
        <v>3</v>
      </c>
    </row>
    <row r="15" spans="1:7">
      <c r="A15" t="s">
        <v>2754</v>
      </c>
      <c r="B15" t="s">
        <v>2755</v>
      </c>
      <c r="C15" t="s">
        <v>113</v>
      </c>
      <c r="D15" t="s">
        <v>233</v>
      </c>
      <c r="E15" t="s">
        <v>2756</v>
      </c>
      <c r="F15" t="s">
        <v>126</v>
      </c>
    </row>
    <row r="16" spans="1:7">
      <c r="A16" t="s">
        <v>2762</v>
      </c>
      <c r="B16" t="s">
        <v>2763</v>
      </c>
      <c r="C16" t="s">
        <v>126</v>
      </c>
      <c r="D16" t="s">
        <v>126</v>
      </c>
      <c r="E16" t="s">
        <v>2641</v>
      </c>
      <c r="F16" t="s">
        <v>126</v>
      </c>
    </row>
    <row r="17" spans="1:7">
      <c r="A17" t="s">
        <v>2766</v>
      </c>
      <c r="B17" t="s">
        <v>2767</v>
      </c>
      <c r="C17" t="s">
        <v>126</v>
      </c>
      <c r="D17" t="s">
        <v>126</v>
      </c>
      <c r="E17" t="s">
        <v>2768</v>
      </c>
      <c r="F17" t="s">
        <v>126</v>
      </c>
    </row>
    <row r="18" spans="1:7">
      <c r="A18" t="s">
        <v>2770</v>
      </c>
      <c r="B18" t="s">
        <v>2771</v>
      </c>
      <c r="C18" t="s">
        <v>125</v>
      </c>
      <c r="D18" t="s">
        <v>126</v>
      </c>
      <c r="E18" t="s">
        <v>2726</v>
      </c>
      <c r="F18" t="s">
        <v>126</v>
      </c>
    </row>
    <row r="19" spans="1:7">
      <c r="A19" t="s">
        <v>2773</v>
      </c>
      <c r="B19" t="s">
        <v>2774</v>
      </c>
      <c r="C19" t="s">
        <v>113</v>
      </c>
      <c r="D19" t="s">
        <v>154</v>
      </c>
      <c r="E19" t="s">
        <v>2587</v>
      </c>
      <c r="F19" t="s">
        <v>126</v>
      </c>
    </row>
    <row r="20" spans="1:7">
      <c r="A20" t="s">
        <v>2778</v>
      </c>
      <c r="B20" t="s">
        <v>2779</v>
      </c>
      <c r="C20" t="s">
        <v>121</v>
      </c>
      <c r="D20" t="s">
        <v>184</v>
      </c>
      <c r="E20" t="s">
        <v>2780</v>
      </c>
      <c r="F20" t="s">
        <v>83</v>
      </c>
    </row>
    <row r="21" spans="1:7">
      <c r="A21" t="s">
        <v>2782</v>
      </c>
      <c r="B21" t="s">
        <v>2783</v>
      </c>
      <c r="C21" t="s">
        <v>125</v>
      </c>
      <c r="D21" t="s">
        <v>126</v>
      </c>
      <c r="E21" t="s">
        <v>2784</v>
      </c>
      <c r="F21" t="s">
        <v>126</v>
      </c>
    </row>
    <row r="22" spans="1:7">
      <c r="A22" t="s">
        <v>2790</v>
      </c>
      <c r="B22" t="s">
        <v>2791</v>
      </c>
      <c r="C22" t="s">
        <v>125</v>
      </c>
      <c r="D22" t="s">
        <v>126</v>
      </c>
      <c r="E22" t="s">
        <v>1733</v>
      </c>
      <c r="F22" t="s">
        <v>126</v>
      </c>
    </row>
    <row r="23" spans="1:7">
      <c r="A23" t="s">
        <v>2792</v>
      </c>
      <c r="B23" t="s">
        <v>2793</v>
      </c>
      <c r="C23" t="s">
        <v>126</v>
      </c>
      <c r="D23" t="s">
        <v>126</v>
      </c>
      <c r="E23" t="s">
        <v>1953</v>
      </c>
      <c r="F23" t="s">
        <v>126</v>
      </c>
    </row>
    <row r="24" spans="1:7">
      <c r="A24" t="s">
        <v>2794</v>
      </c>
      <c r="B24" t="s">
        <v>2795</v>
      </c>
      <c r="C24" t="s">
        <v>126</v>
      </c>
      <c r="D24" t="s">
        <v>126</v>
      </c>
      <c r="E24" t="s">
        <v>2345</v>
      </c>
      <c r="F24" t="s">
        <v>126</v>
      </c>
    </row>
    <row r="25" spans="1:7">
      <c r="A25" t="s">
        <v>2796</v>
      </c>
      <c r="B25" t="s">
        <v>2797</v>
      </c>
      <c r="C25" t="s">
        <v>126</v>
      </c>
      <c r="D25" t="s">
        <v>126</v>
      </c>
      <c r="E25" t="s">
        <v>2798</v>
      </c>
      <c r="F25" t="s">
        <v>126</v>
      </c>
    </row>
    <row r="26" spans="1:7">
      <c r="A26" t="s">
        <v>2799</v>
      </c>
      <c r="B26" t="s">
        <v>2800</v>
      </c>
      <c r="C26" t="s">
        <v>511</v>
      </c>
      <c r="D26" t="s">
        <v>135</v>
      </c>
      <c r="E26" t="s">
        <v>1951</v>
      </c>
      <c r="F26" t="s">
        <v>204</v>
      </c>
    </row>
    <row r="27" spans="1:7">
      <c r="A27" t="s">
        <v>2801</v>
      </c>
      <c r="B27" t="s">
        <v>2802</v>
      </c>
      <c r="C27" t="s">
        <v>126</v>
      </c>
      <c r="D27" t="s">
        <v>126</v>
      </c>
      <c r="E27" t="s">
        <v>2803</v>
      </c>
      <c r="F27" t="s">
        <v>126</v>
      </c>
    </row>
    <row r="28" spans="1:7">
      <c r="A28" t="s">
        <v>2804</v>
      </c>
      <c r="B28" t="s">
        <v>2805</v>
      </c>
      <c r="C28" t="s">
        <v>113</v>
      </c>
      <c r="D28" t="s">
        <v>176</v>
      </c>
      <c r="E28" t="s">
        <v>2297</v>
      </c>
      <c r="F28" t="s">
        <v>65</v>
      </c>
    </row>
    <row r="29" spans="1:7">
      <c r="A29" t="s">
        <v>2806</v>
      </c>
      <c r="B29" t="s">
        <v>2807</v>
      </c>
      <c r="C29" t="s">
        <v>113</v>
      </c>
      <c r="D29" t="s">
        <v>154</v>
      </c>
      <c r="E29" t="s">
        <v>2568</v>
      </c>
      <c r="F29" t="s">
        <v>172</v>
      </c>
      <c r="G29">
        <v>1</v>
      </c>
    </row>
    <row r="30" spans="1:7">
      <c r="A30" t="s">
        <v>2808</v>
      </c>
      <c r="B30" t="s">
        <v>2809</v>
      </c>
      <c r="C30" t="s">
        <v>113</v>
      </c>
      <c r="D30" t="s">
        <v>233</v>
      </c>
      <c r="E30" t="s">
        <v>2810</v>
      </c>
      <c r="F30" t="s">
        <v>272</v>
      </c>
      <c r="G30">
        <v>3</v>
      </c>
    </row>
    <row r="31" spans="1:7">
      <c r="A31" t="s">
        <v>2811</v>
      </c>
      <c r="B31" t="s">
        <v>2812</v>
      </c>
      <c r="C31" t="s">
        <v>233</v>
      </c>
      <c r="D31" t="s">
        <v>42</v>
      </c>
      <c r="E31" t="s">
        <v>2813</v>
      </c>
      <c r="F31" t="s">
        <v>263</v>
      </c>
    </row>
    <row r="32" spans="1:7">
      <c r="A32" t="s">
        <v>2814</v>
      </c>
      <c r="B32" t="s">
        <v>2815</v>
      </c>
      <c r="C32" t="s">
        <v>113</v>
      </c>
      <c r="D32" t="s">
        <v>300</v>
      </c>
      <c r="E32" t="s">
        <v>2031</v>
      </c>
      <c r="F32" t="s">
        <v>156</v>
      </c>
    </row>
    <row r="33" spans="1:7">
      <c r="A33" t="s">
        <v>2816</v>
      </c>
      <c r="B33" t="s">
        <v>2817</v>
      </c>
      <c r="C33" t="s">
        <v>233</v>
      </c>
      <c r="D33" t="s">
        <v>263</v>
      </c>
      <c r="E33" t="s">
        <v>1721</v>
      </c>
      <c r="F33" t="s">
        <v>126</v>
      </c>
    </row>
    <row r="34" spans="1:7">
      <c r="A34" t="s">
        <v>2818</v>
      </c>
      <c r="B34" t="s">
        <v>2819</v>
      </c>
      <c r="C34" t="s">
        <v>113</v>
      </c>
      <c r="D34" t="s">
        <v>233</v>
      </c>
      <c r="E34" t="s">
        <v>2431</v>
      </c>
      <c r="F34" t="s">
        <v>154</v>
      </c>
      <c r="G34">
        <v>1</v>
      </c>
    </row>
    <row r="35" spans="1:7">
      <c r="A35" t="s">
        <v>2820</v>
      </c>
      <c r="B35" t="s">
        <v>2821</v>
      </c>
      <c r="C35" t="s">
        <v>113</v>
      </c>
      <c r="D35" t="s">
        <v>42</v>
      </c>
      <c r="E35" t="s">
        <v>2822</v>
      </c>
      <c r="F35" t="s">
        <v>208</v>
      </c>
      <c r="G35">
        <v>2</v>
      </c>
    </row>
    <row r="36" spans="1:7">
      <c r="A36" t="s">
        <v>2823</v>
      </c>
      <c r="B36" t="s">
        <v>2824</v>
      </c>
      <c r="C36" t="s">
        <v>125</v>
      </c>
      <c r="D36" t="s">
        <v>126</v>
      </c>
      <c r="E36" t="s">
        <v>2825</v>
      </c>
      <c r="F36" t="s">
        <v>126</v>
      </c>
    </row>
    <row r="37" spans="1:7">
      <c r="A37" t="s">
        <v>2826</v>
      </c>
      <c r="B37" t="s">
        <v>2827</v>
      </c>
      <c r="C37" t="s">
        <v>125</v>
      </c>
      <c r="D37" t="s">
        <v>126</v>
      </c>
      <c r="E37" t="s">
        <v>2828</v>
      </c>
      <c r="F37" t="s">
        <v>126</v>
      </c>
    </row>
    <row r="38" spans="1:7">
      <c r="A38" t="s">
        <v>2829</v>
      </c>
      <c r="B38" t="s">
        <v>2830</v>
      </c>
      <c r="C38" t="s">
        <v>125</v>
      </c>
      <c r="D38" t="s">
        <v>126</v>
      </c>
      <c r="E38" t="s">
        <v>2831</v>
      </c>
      <c r="F38" t="s">
        <v>126</v>
      </c>
    </row>
    <row r="39" spans="1:7">
      <c r="A39" t="s">
        <v>2832</v>
      </c>
      <c r="B39" t="s">
        <v>2833</v>
      </c>
      <c r="C39" t="s">
        <v>113</v>
      </c>
      <c r="D39" t="s">
        <v>233</v>
      </c>
      <c r="E39" t="s">
        <v>2834</v>
      </c>
      <c r="F39" t="s">
        <v>300</v>
      </c>
      <c r="G39">
        <v>1</v>
      </c>
    </row>
    <row r="40" spans="1:7">
      <c r="A40" t="s">
        <v>2835</v>
      </c>
      <c r="B40" t="s">
        <v>2836</v>
      </c>
      <c r="C40" t="s">
        <v>113</v>
      </c>
      <c r="D40" t="s">
        <v>42</v>
      </c>
      <c r="E40" t="s">
        <v>2768</v>
      </c>
      <c r="F40" t="s">
        <v>126</v>
      </c>
    </row>
    <row r="41" spans="1:7">
      <c r="A41" t="s">
        <v>2837</v>
      </c>
      <c r="B41" t="s">
        <v>2838</v>
      </c>
      <c r="C41" t="s">
        <v>113</v>
      </c>
      <c r="D41" t="s">
        <v>209</v>
      </c>
      <c r="E41" t="s">
        <v>2839</v>
      </c>
      <c r="F41" t="s">
        <v>647</v>
      </c>
      <c r="G41">
        <v>2</v>
      </c>
    </row>
    <row r="42" spans="1:7">
      <c r="A42" t="s">
        <v>2840</v>
      </c>
      <c r="B42" t="s">
        <v>2841</v>
      </c>
      <c r="C42" t="s">
        <v>125</v>
      </c>
      <c r="D42" t="s">
        <v>126</v>
      </c>
      <c r="E42" t="s">
        <v>2842</v>
      </c>
      <c r="F42" t="s">
        <v>126</v>
      </c>
    </row>
    <row r="43" spans="1:7">
      <c r="A43" t="s">
        <v>2843</v>
      </c>
      <c r="B43" t="s">
        <v>2844</v>
      </c>
      <c r="C43" t="s">
        <v>125</v>
      </c>
      <c r="D43" t="s">
        <v>126</v>
      </c>
      <c r="E43" t="s">
        <v>2845</v>
      </c>
      <c r="F43" t="s">
        <v>126</v>
      </c>
    </row>
    <row r="44" spans="1:7">
      <c r="A44" t="s">
        <v>2846</v>
      </c>
      <c r="B44" t="s">
        <v>2847</v>
      </c>
      <c r="C44" t="s">
        <v>125</v>
      </c>
      <c r="D44" t="s">
        <v>126</v>
      </c>
      <c r="E44" t="s">
        <v>1781</v>
      </c>
      <c r="F44" t="s">
        <v>126</v>
      </c>
    </row>
    <row r="45" spans="1:7">
      <c r="A45" t="s">
        <v>2848</v>
      </c>
      <c r="B45" t="s">
        <v>2849</v>
      </c>
      <c r="C45" t="s">
        <v>125</v>
      </c>
      <c r="D45" t="s">
        <v>126</v>
      </c>
      <c r="E45" t="s">
        <v>2106</v>
      </c>
      <c r="F45" t="s">
        <v>126</v>
      </c>
    </row>
    <row r="46" spans="1:7">
      <c r="A46" t="s">
        <v>2850</v>
      </c>
      <c r="B46" t="s">
        <v>2851</v>
      </c>
      <c r="C46" t="s">
        <v>117</v>
      </c>
      <c r="D46" t="s">
        <v>63</v>
      </c>
      <c r="E46" t="s">
        <v>2160</v>
      </c>
      <c r="F46" t="s">
        <v>172</v>
      </c>
      <c r="G46">
        <v>1</v>
      </c>
    </row>
    <row r="47" spans="1:7">
      <c r="A47" t="s">
        <v>2852</v>
      </c>
      <c r="B47" t="s">
        <v>2853</v>
      </c>
      <c r="C47" t="s">
        <v>125</v>
      </c>
      <c r="D47" t="s">
        <v>126</v>
      </c>
      <c r="E47" t="s">
        <v>2421</v>
      </c>
      <c r="F47" t="s">
        <v>126</v>
      </c>
    </row>
    <row r="48" spans="1:7">
      <c r="A48" t="s">
        <v>2854</v>
      </c>
      <c r="B48" t="s">
        <v>2855</v>
      </c>
      <c r="C48" t="s">
        <v>139</v>
      </c>
      <c r="D48" t="s">
        <v>117</v>
      </c>
      <c r="E48" t="s">
        <v>2444</v>
      </c>
      <c r="F48" t="s">
        <v>154</v>
      </c>
      <c r="G48">
        <v>1</v>
      </c>
    </row>
    <row r="49" spans="1:7">
      <c r="A49" t="s">
        <v>2856</v>
      </c>
      <c r="B49" t="s">
        <v>2857</v>
      </c>
      <c r="C49" t="s">
        <v>113</v>
      </c>
      <c r="D49" t="s">
        <v>82</v>
      </c>
      <c r="E49" t="s">
        <v>2858</v>
      </c>
      <c r="F49" t="s">
        <v>176</v>
      </c>
    </row>
    <row r="50" spans="1:7">
      <c r="A50" t="s">
        <v>2859</v>
      </c>
      <c r="B50" t="s">
        <v>2860</v>
      </c>
      <c r="C50" t="s">
        <v>125</v>
      </c>
      <c r="D50" t="s">
        <v>126</v>
      </c>
      <c r="E50" t="s">
        <v>1927</v>
      </c>
      <c r="F50" t="s">
        <v>126</v>
      </c>
    </row>
    <row r="51" spans="1:7">
      <c r="A51" t="s">
        <v>2861</v>
      </c>
      <c r="B51" t="s">
        <v>2862</v>
      </c>
      <c r="C51" t="s">
        <v>125</v>
      </c>
      <c r="D51" t="s">
        <v>126</v>
      </c>
      <c r="E51" t="s">
        <v>1861</v>
      </c>
      <c r="F51" t="s">
        <v>126</v>
      </c>
    </row>
    <row r="52" spans="1:7">
      <c r="A52" t="s">
        <v>2863</v>
      </c>
      <c r="B52" t="s">
        <v>2864</v>
      </c>
      <c r="C52" t="s">
        <v>125</v>
      </c>
      <c r="D52" t="s">
        <v>126</v>
      </c>
      <c r="E52" t="s">
        <v>1765</v>
      </c>
      <c r="F52" t="s">
        <v>126</v>
      </c>
    </row>
    <row r="53" spans="1:7">
      <c r="A53" t="s">
        <v>2865</v>
      </c>
      <c r="B53" t="s">
        <v>2866</v>
      </c>
      <c r="C53" t="s">
        <v>113</v>
      </c>
      <c r="D53" t="s">
        <v>154</v>
      </c>
      <c r="E53" t="s">
        <v>2690</v>
      </c>
      <c r="F53" t="s">
        <v>126</v>
      </c>
    </row>
    <row r="54" spans="1:7">
      <c r="A54" t="s">
        <v>2867</v>
      </c>
      <c r="B54" t="s">
        <v>2868</v>
      </c>
      <c r="C54" t="s">
        <v>125</v>
      </c>
      <c r="D54" t="s">
        <v>126</v>
      </c>
      <c r="E54" t="s">
        <v>2545</v>
      </c>
      <c r="F54" t="s">
        <v>126</v>
      </c>
    </row>
    <row r="55" spans="1:7">
      <c r="A55" t="s">
        <v>2869</v>
      </c>
      <c r="B55" t="s">
        <v>2870</v>
      </c>
      <c r="C55" t="s">
        <v>125</v>
      </c>
      <c r="D55" t="s">
        <v>126</v>
      </c>
      <c r="E55" t="s">
        <v>2150</v>
      </c>
      <c r="F55" t="s">
        <v>126</v>
      </c>
    </row>
    <row r="56" spans="1:7">
      <c r="A56" t="s">
        <v>2871</v>
      </c>
      <c r="B56" t="s">
        <v>2872</v>
      </c>
      <c r="C56" t="s">
        <v>113</v>
      </c>
      <c r="D56" t="s">
        <v>42</v>
      </c>
      <c r="E56" t="s">
        <v>2111</v>
      </c>
      <c r="F56" t="s">
        <v>126</v>
      </c>
    </row>
    <row r="57" spans="1:7">
      <c r="A57" t="s">
        <v>2873</v>
      </c>
      <c r="B57" t="s">
        <v>2874</v>
      </c>
      <c r="C57" t="s">
        <v>113</v>
      </c>
      <c r="D57" t="s">
        <v>139</v>
      </c>
      <c r="E57" t="s">
        <v>2376</v>
      </c>
      <c r="F57" t="s">
        <v>117</v>
      </c>
      <c r="G57">
        <v>3</v>
      </c>
    </row>
    <row r="58" spans="1:7">
      <c r="A58" t="s">
        <v>2875</v>
      </c>
      <c r="B58" t="s">
        <v>2876</v>
      </c>
      <c r="C58" t="s">
        <v>113</v>
      </c>
      <c r="D58" t="s">
        <v>139</v>
      </c>
      <c r="E58" t="s">
        <v>1916</v>
      </c>
      <c r="F58" t="s">
        <v>42</v>
      </c>
    </row>
    <row r="59" spans="1:7">
      <c r="A59" t="s">
        <v>2877</v>
      </c>
      <c r="B59" t="s">
        <v>2878</v>
      </c>
      <c r="C59" t="s">
        <v>135</v>
      </c>
      <c r="D59" t="s">
        <v>136</v>
      </c>
      <c r="E59" t="s">
        <v>1742</v>
      </c>
      <c r="F59" t="s">
        <v>126</v>
      </c>
    </row>
    <row r="60" spans="1:7">
      <c r="A60" t="s">
        <v>2879</v>
      </c>
      <c r="B60" t="s">
        <v>2880</v>
      </c>
      <c r="C60" t="s">
        <v>139</v>
      </c>
      <c r="D60" t="s">
        <v>117</v>
      </c>
      <c r="E60" t="s">
        <v>2881</v>
      </c>
      <c r="F60" t="s">
        <v>209</v>
      </c>
    </row>
    <row r="61" spans="1:7">
      <c r="A61" t="s">
        <v>2882</v>
      </c>
      <c r="B61" t="s">
        <v>2883</v>
      </c>
      <c r="C61" t="s">
        <v>113</v>
      </c>
      <c r="D61" t="s">
        <v>160</v>
      </c>
      <c r="E61" t="s">
        <v>2046</v>
      </c>
      <c r="F61" t="s">
        <v>65</v>
      </c>
      <c r="G61">
        <v>1</v>
      </c>
    </row>
    <row r="62" spans="1:7">
      <c r="A62" t="s">
        <v>2884</v>
      </c>
      <c r="B62" t="s">
        <v>2885</v>
      </c>
      <c r="C62" t="s">
        <v>125</v>
      </c>
      <c r="D62" t="s">
        <v>126</v>
      </c>
      <c r="E62" t="s">
        <v>2886</v>
      </c>
      <c r="F62" t="s">
        <v>126</v>
      </c>
    </row>
    <row r="63" spans="1:7">
      <c r="A63" t="s">
        <v>2887</v>
      </c>
      <c r="B63" t="s">
        <v>2888</v>
      </c>
      <c r="C63" t="s">
        <v>139</v>
      </c>
      <c r="D63" t="s">
        <v>154</v>
      </c>
      <c r="E63" t="s">
        <v>1790</v>
      </c>
      <c r="F63" t="s">
        <v>155</v>
      </c>
      <c r="G63">
        <v>4</v>
      </c>
    </row>
    <row r="64" spans="1:7">
      <c r="A64" t="s">
        <v>2889</v>
      </c>
      <c r="B64" t="s">
        <v>2890</v>
      </c>
      <c r="C64" t="s">
        <v>113</v>
      </c>
      <c r="D64" t="s">
        <v>136</v>
      </c>
      <c r="E64" t="s">
        <v>2265</v>
      </c>
      <c r="F64" t="s">
        <v>147</v>
      </c>
    </row>
    <row r="65" spans="1:7">
      <c r="A65" t="s">
        <v>2891</v>
      </c>
      <c r="B65" t="s">
        <v>2892</v>
      </c>
      <c r="C65" t="s">
        <v>125</v>
      </c>
      <c r="D65" t="s">
        <v>126</v>
      </c>
      <c r="E65" t="s">
        <v>2893</v>
      </c>
      <c r="F65" t="s">
        <v>126</v>
      </c>
    </row>
    <row r="66" spans="1:7">
      <c r="A66" t="s">
        <v>2894</v>
      </c>
      <c r="B66" t="s">
        <v>2895</v>
      </c>
      <c r="C66" t="s">
        <v>113</v>
      </c>
      <c r="D66" t="s">
        <v>136</v>
      </c>
      <c r="E66" t="s">
        <v>1908</v>
      </c>
      <c r="F66" t="s">
        <v>121</v>
      </c>
    </row>
    <row r="67" spans="1:7">
      <c r="A67" t="s">
        <v>2896</v>
      </c>
      <c r="B67" t="s">
        <v>2897</v>
      </c>
      <c r="C67" t="s">
        <v>125</v>
      </c>
      <c r="D67" t="s">
        <v>126</v>
      </c>
      <c r="E67" t="s">
        <v>1886</v>
      </c>
      <c r="F67" t="s">
        <v>126</v>
      </c>
    </row>
    <row r="68" spans="1:7">
      <c r="A68" t="s">
        <v>2898</v>
      </c>
      <c r="B68" t="s">
        <v>2899</v>
      </c>
      <c r="C68" t="s">
        <v>125</v>
      </c>
      <c r="D68" t="s">
        <v>126</v>
      </c>
      <c r="E68" t="s">
        <v>2086</v>
      </c>
      <c r="F68" t="s">
        <v>126</v>
      </c>
    </row>
    <row r="69" spans="1:7">
      <c r="A69" t="s">
        <v>2900</v>
      </c>
      <c r="B69" t="s">
        <v>2901</v>
      </c>
      <c r="C69" t="s">
        <v>272</v>
      </c>
      <c r="D69" t="s">
        <v>117</v>
      </c>
      <c r="E69" t="s">
        <v>1796</v>
      </c>
      <c r="F69" t="s">
        <v>126</v>
      </c>
    </row>
    <row r="70" spans="1:7">
      <c r="A70" t="s">
        <v>2902</v>
      </c>
      <c r="B70" t="s">
        <v>2903</v>
      </c>
      <c r="C70" t="s">
        <v>113</v>
      </c>
      <c r="D70" t="s">
        <v>139</v>
      </c>
      <c r="E70" t="s">
        <v>1729</v>
      </c>
      <c r="F70" t="s">
        <v>233</v>
      </c>
      <c r="G70">
        <v>1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D2E3-61A8-48B4-B400-5E0039717E6B}">
  <sheetPr codeName="Sheet13"/>
  <dimension ref="A1:D61"/>
  <sheetViews>
    <sheetView workbookViewId="0">
      <selection activeCell="B1" sqref="B1"/>
    </sheetView>
  </sheetViews>
  <sheetFormatPr defaultRowHeight="14.5"/>
  <cols>
    <col min="2" max="2" width="47.81640625" style="4" bestFit="1" customWidth="1"/>
    <col min="3" max="3" width="11.453125" customWidth="1"/>
  </cols>
  <sheetData>
    <row r="1" spans="1:3">
      <c r="A1" t="s">
        <v>0</v>
      </c>
      <c r="B1" s="4" t="s">
        <v>1</v>
      </c>
    </row>
    <row r="2" spans="1:3">
      <c r="A2">
        <v>31</v>
      </c>
      <c r="B2" s="4" t="s">
        <v>25</v>
      </c>
      <c r="C2" t="str">
        <f>IF(ISERROR(VLOOKUP(B2,#REF!,1,FALSE)), "Ej hittad", "Hittad")</f>
        <v>Ej hittad</v>
      </c>
    </row>
    <row r="3" spans="1:3">
      <c r="A3">
        <v>32</v>
      </c>
      <c r="B3" s="4" t="s">
        <v>28</v>
      </c>
      <c r="C3" t="str">
        <f>IF(ISERROR(VLOOKUP(B3,#REF!,1,FALSE)), "Ej hittad", "Hittad")</f>
        <v>Ej hittad</v>
      </c>
    </row>
    <row r="4" spans="1:3">
      <c r="A4">
        <v>33</v>
      </c>
      <c r="B4" s="4" t="s">
        <v>29</v>
      </c>
      <c r="C4" t="str">
        <f>IF(ISERROR(VLOOKUP(B4,#REF!,1,FALSE)), "Ej hittad", "Hittad")</f>
        <v>Ej hittad</v>
      </c>
    </row>
    <row r="5" spans="1:3">
      <c r="A5">
        <v>34</v>
      </c>
      <c r="B5" s="4" t="s">
        <v>30</v>
      </c>
      <c r="C5" t="str">
        <f>IF(ISERROR(VLOOKUP(B5,#REF!,1,FALSE)), "Ej hittad", "Hittad")</f>
        <v>Ej hittad</v>
      </c>
    </row>
    <row r="6" spans="1:3">
      <c r="A6">
        <v>35</v>
      </c>
      <c r="B6" s="4" t="s">
        <v>31</v>
      </c>
      <c r="C6" t="str">
        <f>IF(ISERROR(VLOOKUP(B6,#REF!,1,FALSE)), "Ej hittad", "Hittad")</f>
        <v>Ej hittad</v>
      </c>
    </row>
    <row r="7" spans="1:3">
      <c r="A7">
        <v>36</v>
      </c>
      <c r="B7" s="4" t="s">
        <v>32</v>
      </c>
      <c r="C7" t="str">
        <f>IF(ISERROR(VLOOKUP(B7,#REF!,1,FALSE)), "Ej hittad", "Hittad")</f>
        <v>Ej hittad</v>
      </c>
    </row>
    <row r="8" spans="1:3">
      <c r="A8">
        <v>37</v>
      </c>
      <c r="B8" s="4" t="s">
        <v>33</v>
      </c>
      <c r="C8" t="str">
        <f>IF(ISERROR(VLOOKUP(B8,#REF!,1,FALSE)), "Ej hittad", "Hittad")</f>
        <v>Ej hittad</v>
      </c>
    </row>
    <row r="9" spans="1:3">
      <c r="A9">
        <v>38</v>
      </c>
      <c r="B9" s="4" t="s">
        <v>34</v>
      </c>
      <c r="C9" t="str">
        <f>IF(ISERROR(VLOOKUP(B9,#REF!,1,FALSE)), "Ej hittad", "Hittad")</f>
        <v>Ej hittad</v>
      </c>
    </row>
    <row r="10" spans="1:3">
      <c r="A10">
        <v>39</v>
      </c>
      <c r="B10" s="4" t="s">
        <v>35</v>
      </c>
      <c r="C10" t="str">
        <f>IF(ISERROR(VLOOKUP(B10,#REF!,1,FALSE)), "Ej hittad", "Hittad")</f>
        <v>Ej hittad</v>
      </c>
    </row>
    <row r="11" spans="1:3">
      <c r="A11">
        <v>40</v>
      </c>
      <c r="B11" s="4" t="s">
        <v>36</v>
      </c>
      <c r="C11" t="str">
        <f>IF(ISERROR(VLOOKUP(B11,#REF!,1,FALSE)), "Ej hittad", "Hittad")</f>
        <v>Ej hittad</v>
      </c>
    </row>
    <row r="12" spans="1:3">
      <c r="A12">
        <v>41</v>
      </c>
      <c r="B12" s="4" t="s">
        <v>37</v>
      </c>
      <c r="C12" t="str">
        <f>IF(ISERROR(VLOOKUP(B12,#REF!,1,FALSE)), "Ej hittad", "Hittad")</f>
        <v>Ej hittad</v>
      </c>
    </row>
    <row r="13" spans="1:3">
      <c r="A13">
        <v>42</v>
      </c>
      <c r="B13" s="4" t="s">
        <v>38</v>
      </c>
      <c r="C13" t="str">
        <f>IF(ISERROR(VLOOKUP(B13,#REF!,1,FALSE)), "Ej hittad", "Hittad")</f>
        <v>Ej hittad</v>
      </c>
    </row>
    <row r="14" spans="1:3">
      <c r="A14">
        <v>43</v>
      </c>
      <c r="B14" s="4" t="s">
        <v>39</v>
      </c>
      <c r="C14" t="str">
        <f>IF(ISERROR(VLOOKUP(B14,#REF!,1,FALSE)), "Ej hittad", "Hittad")</f>
        <v>Ej hittad</v>
      </c>
    </row>
    <row r="15" spans="1:3">
      <c r="A15">
        <v>44</v>
      </c>
      <c r="B15" s="4" t="s">
        <v>40</v>
      </c>
      <c r="C15" t="str">
        <f>IF(ISERROR(VLOOKUP(B15,#REF!,1,FALSE)), "Ej hittad", "Hittad")</f>
        <v>Ej hittad</v>
      </c>
    </row>
    <row r="16" spans="1:3">
      <c r="A16">
        <v>45</v>
      </c>
      <c r="B16" s="4" t="s">
        <v>41</v>
      </c>
      <c r="C16" t="str">
        <f>IF(ISERROR(VLOOKUP(B16,#REF!,1,FALSE)), "Ej hittad", "Hittad")</f>
        <v>Ej hittad</v>
      </c>
    </row>
    <row r="17" spans="1:3">
      <c r="A17">
        <v>76</v>
      </c>
      <c r="B17" s="4" t="s">
        <v>45</v>
      </c>
      <c r="C17" t="str">
        <f>IF(ISERROR(VLOOKUP(B17,#REF!,1,FALSE)), "Ej hittad", "Hittad")</f>
        <v>Ej hittad</v>
      </c>
    </row>
    <row r="18" spans="1:3">
      <c r="A18">
        <v>77</v>
      </c>
      <c r="B18" s="6" t="s">
        <v>47</v>
      </c>
      <c r="C18" t="str">
        <f>IF(ISERROR(VLOOKUP(B18,#REF!,1,FALSE)), "Ej hittad", "Hittad")</f>
        <v>Ej hittad</v>
      </c>
    </row>
    <row r="19" spans="1:3">
      <c r="A19">
        <v>78</v>
      </c>
      <c r="B19" s="4" t="s">
        <v>48</v>
      </c>
      <c r="C19" t="str">
        <f>IF(ISERROR(VLOOKUP(B19,#REF!,1,FALSE)), "Ej hittad", "Hittad")</f>
        <v>Ej hittad</v>
      </c>
    </row>
    <row r="20" spans="1:3">
      <c r="A20">
        <v>79</v>
      </c>
      <c r="B20" s="4" t="s">
        <v>49</v>
      </c>
      <c r="C20" t="str">
        <f>IF(ISERROR(VLOOKUP(B20,#REF!,1,FALSE)), "Ej hittad", "Hittad")</f>
        <v>Ej hittad</v>
      </c>
    </row>
    <row r="21" spans="1:3">
      <c r="A21">
        <v>80</v>
      </c>
      <c r="B21" s="4" t="s">
        <v>50</v>
      </c>
      <c r="C21" t="str">
        <f>IF(ISERROR(VLOOKUP(B21,#REF!,1,FALSE)), "Ej hittad", "Hittad")</f>
        <v>Ej hittad</v>
      </c>
    </row>
    <row r="22" spans="1:3">
      <c r="A22">
        <v>81</v>
      </c>
      <c r="B22" s="4" t="s">
        <v>52</v>
      </c>
      <c r="C22" t="str">
        <f>IF(ISERROR(VLOOKUP(B22,#REF!,1,FALSE)), "Ej hittad", "Hittad")</f>
        <v>Ej hittad</v>
      </c>
    </row>
    <row r="23" spans="1:3">
      <c r="A23">
        <v>82</v>
      </c>
      <c r="B23" s="4" t="s">
        <v>53</v>
      </c>
      <c r="C23" t="str">
        <f>IF(ISERROR(VLOOKUP(B23,#REF!,1,FALSE)), "Ej hittad", "Hittad")</f>
        <v>Ej hittad</v>
      </c>
    </row>
    <row r="24" spans="1:3">
      <c r="A24">
        <v>83</v>
      </c>
      <c r="B24" s="4" t="s">
        <v>54</v>
      </c>
      <c r="C24" t="str">
        <f>IF(ISERROR(VLOOKUP(B24,#REF!,1,FALSE)), "Ej hittad", "Hittad")</f>
        <v>Ej hittad</v>
      </c>
    </row>
    <row r="25" spans="1:3">
      <c r="A25">
        <v>84</v>
      </c>
      <c r="B25" s="4" t="s">
        <v>55</v>
      </c>
      <c r="C25" t="str">
        <f>IF(ISERROR(VLOOKUP(B25,#REF!,1,FALSE)), "Ej hittad", "Hittad")</f>
        <v>Ej hittad</v>
      </c>
    </row>
    <row r="26" spans="1:3">
      <c r="A26">
        <v>85</v>
      </c>
      <c r="B26" s="4" t="s">
        <v>56</v>
      </c>
      <c r="C26" t="str">
        <f>IF(ISERROR(VLOOKUP(B26,#REF!,1,FALSE)), "Ej hittad", "Hittad")</f>
        <v>Ej hittad</v>
      </c>
    </row>
    <row r="27" spans="1:3">
      <c r="A27">
        <v>86</v>
      </c>
      <c r="B27" s="4" t="s">
        <v>57</v>
      </c>
      <c r="C27" t="str">
        <f>IF(ISERROR(VLOOKUP(B27,#REF!,1,FALSE)), "Ej hittad", "Hittad")</f>
        <v>Ej hittad</v>
      </c>
    </row>
    <row r="28" spans="1:3">
      <c r="A28">
        <v>87</v>
      </c>
      <c r="B28" s="4" t="s">
        <v>59</v>
      </c>
      <c r="C28" t="str">
        <f>IF(ISERROR(VLOOKUP(B28,#REF!,1,FALSE)), "Ej hittad", "Hittad")</f>
        <v>Ej hittad</v>
      </c>
    </row>
    <row r="29" spans="1:3">
      <c r="A29">
        <v>88</v>
      </c>
      <c r="B29" s="4" t="s">
        <v>60</v>
      </c>
      <c r="C29" t="str">
        <f>IF(ISERROR(VLOOKUP(B29,#REF!,1,FALSE)), "Ej hittad", "Hittad")</f>
        <v>Ej hittad</v>
      </c>
    </row>
    <row r="30" spans="1:3">
      <c r="A30">
        <v>89</v>
      </c>
      <c r="B30" s="4" t="s">
        <v>61</v>
      </c>
      <c r="C30" t="str">
        <f>IF(ISERROR(VLOOKUP(B30,#REF!,1,FALSE)), "Ej hittad", "Hittad")</f>
        <v>Ej hittad</v>
      </c>
    </row>
    <row r="31" spans="1:3">
      <c r="A31">
        <v>90</v>
      </c>
      <c r="B31" s="4" t="s">
        <v>62</v>
      </c>
      <c r="C31" t="str">
        <f>IF(ISERROR(VLOOKUP(B31,#REF!,1,FALSE)), "Ej hittad", "Hittad")</f>
        <v>Ej hittad</v>
      </c>
    </row>
    <row r="32" spans="1:3">
      <c r="A32">
        <v>121</v>
      </c>
      <c r="B32" s="4" t="s">
        <v>66</v>
      </c>
      <c r="C32" t="str">
        <f>IF(ISERROR(VLOOKUP(B32,#REF!,1,FALSE)), "Ej hittad", "Hittad")</f>
        <v>Ej hittad</v>
      </c>
    </row>
    <row r="33" spans="1:4">
      <c r="A33">
        <v>122</v>
      </c>
      <c r="B33" s="4" t="s">
        <v>68</v>
      </c>
      <c r="C33" t="str">
        <f>IF(ISERROR(VLOOKUP(B33,#REF!,1,FALSE)), "Ej hittad", "Hittad")</f>
        <v>Ej hittad</v>
      </c>
    </row>
    <row r="34" spans="1:4">
      <c r="A34">
        <v>123</v>
      </c>
      <c r="B34" s="4" t="s">
        <v>69</v>
      </c>
      <c r="C34" t="str">
        <f>IF(ISERROR(VLOOKUP(B34,#REF!,1,FALSE)), "Ej hittad", "Hittad")</f>
        <v>Ej hittad</v>
      </c>
    </row>
    <row r="35" spans="1:4">
      <c r="A35">
        <v>124</v>
      </c>
      <c r="B35" s="4" t="s">
        <v>35</v>
      </c>
      <c r="C35" t="str">
        <f>IF(ISERROR(VLOOKUP(B35,#REF!,1,FALSE)), "Ej hittad", "Hittad")</f>
        <v>Ej hittad</v>
      </c>
    </row>
    <row r="36" spans="1:4">
      <c r="A36">
        <v>125</v>
      </c>
      <c r="B36" s="4" t="s">
        <v>70</v>
      </c>
      <c r="C36" t="str">
        <f>IF(ISERROR(VLOOKUP(B36,#REF!,1,FALSE)), "Ej hittad", "Hittad")</f>
        <v>Ej hittad</v>
      </c>
    </row>
    <row r="37" spans="1:4">
      <c r="A37">
        <v>126</v>
      </c>
      <c r="B37" s="4" t="s">
        <v>39</v>
      </c>
      <c r="C37" t="str">
        <f>IF(ISERROR(VLOOKUP(B37,#REF!,1,FALSE)), "Ej hittad", "Hittad")</f>
        <v>Ej hittad</v>
      </c>
    </row>
    <row r="38" spans="1:4">
      <c r="A38">
        <v>127</v>
      </c>
      <c r="B38" s="4" t="s">
        <v>72</v>
      </c>
      <c r="C38" t="str">
        <f>IF(ISERROR(VLOOKUP(B38,#REF!,1,FALSE)), "Ej hittad", "Hittad")</f>
        <v>Ej hittad</v>
      </c>
    </row>
    <row r="39" spans="1:4">
      <c r="A39">
        <v>128</v>
      </c>
      <c r="B39" s="4" t="s">
        <v>73</v>
      </c>
      <c r="C39" t="str">
        <f>IF(ISERROR(VLOOKUP(B39,#REF!,1,FALSE)), "Ej hittad", "Hittad")</f>
        <v>Ej hittad</v>
      </c>
    </row>
    <row r="40" spans="1:4">
      <c r="A40">
        <v>129</v>
      </c>
      <c r="B40" s="4" t="s">
        <v>74</v>
      </c>
      <c r="C40" t="str">
        <f>IF(ISERROR(VLOOKUP(B40,#REF!,1,FALSE)), "Ej hittad", "Hittad")</f>
        <v>Ej hittad</v>
      </c>
    </row>
    <row r="41" spans="1:4">
      <c r="A41">
        <v>130</v>
      </c>
      <c r="B41" s="4" t="s">
        <v>75</v>
      </c>
      <c r="C41" t="str">
        <f>IF(ISERROR(VLOOKUP(B41,#REF!,1,FALSE)), "Ej hittad", "Hittad")</f>
        <v>Ej hittad</v>
      </c>
    </row>
    <row r="42" spans="1:4">
      <c r="A42">
        <v>131</v>
      </c>
      <c r="B42" s="4" t="s">
        <v>76</v>
      </c>
      <c r="C42" t="str">
        <f>IF(ISERROR(VLOOKUP(B42,#REF!,1,FALSE)), "Ej hittad", "Hittad")</f>
        <v>Ej hittad</v>
      </c>
    </row>
    <row r="43" spans="1:4">
      <c r="A43">
        <v>132</v>
      </c>
      <c r="B43" s="4" t="s">
        <v>77</v>
      </c>
      <c r="C43" t="str">
        <f>IF(ISERROR(VLOOKUP(B43,#REF!,1,FALSE)), "Ej hittad", "Hittad")</f>
        <v>Ej hittad</v>
      </c>
    </row>
    <row r="44" spans="1:4">
      <c r="A44">
        <v>133</v>
      </c>
      <c r="B44" s="4" t="s">
        <v>78</v>
      </c>
      <c r="C44" t="str">
        <f>IF(ISERROR(VLOOKUP(B44,#REF!,1,FALSE)), "Ej hittad", "Hittad")</f>
        <v>Ej hittad</v>
      </c>
    </row>
    <row r="45" spans="1:4">
      <c r="A45">
        <v>134</v>
      </c>
      <c r="B45" s="4" t="s">
        <v>79</v>
      </c>
      <c r="C45" t="str">
        <f>IF(ISERROR(VLOOKUP(B45,#REF!,1,FALSE)), "Ej hittad", "Hittad")</f>
        <v>Ej hittad</v>
      </c>
    </row>
    <row r="46" spans="1:4">
      <c r="A46">
        <v>135</v>
      </c>
      <c r="B46" s="4" t="s">
        <v>80</v>
      </c>
      <c r="C46" t="str">
        <f>IF(ISERROR(VLOOKUP(B46,#REF!,1,FALSE)), "Ej hittad", "Hittad")</f>
        <v>Ej hittad</v>
      </c>
      <c r="D46" t="s">
        <v>3318</v>
      </c>
    </row>
    <row r="47" spans="1:4">
      <c r="A47">
        <v>166</v>
      </c>
      <c r="B47" s="4" t="s">
        <v>85</v>
      </c>
      <c r="C47" t="str">
        <f>IF(ISERROR(VLOOKUP(B47,#REF!,1,FALSE)), "Ej hittad", "Hittad")</f>
        <v>Ej hittad</v>
      </c>
    </row>
    <row r="48" spans="1:4">
      <c r="A48">
        <v>167</v>
      </c>
      <c r="B48" s="4" t="s">
        <v>87</v>
      </c>
      <c r="C48" t="str">
        <f>IF(ISERROR(VLOOKUP(B48,#REF!,1,FALSE)), "Ej hittad", "Hittad")</f>
        <v>Ej hittad</v>
      </c>
    </row>
    <row r="49" spans="1:3">
      <c r="A49">
        <v>168</v>
      </c>
      <c r="B49" s="4" t="s">
        <v>88</v>
      </c>
      <c r="C49" t="str">
        <f>IF(ISERROR(VLOOKUP(B49,#REF!,1,FALSE)), "Ej hittad", "Hittad")</f>
        <v>Ej hittad</v>
      </c>
    </row>
    <row r="50" spans="1:3">
      <c r="A50">
        <v>169</v>
      </c>
      <c r="B50" s="4" t="s">
        <v>89</v>
      </c>
      <c r="C50" t="str">
        <f>IF(ISERROR(VLOOKUP(B50,#REF!,1,FALSE)), "Ej hittad", "Hittad")</f>
        <v>Ej hittad</v>
      </c>
    </row>
    <row r="51" spans="1:3">
      <c r="A51">
        <v>170</v>
      </c>
      <c r="B51" s="4" t="s">
        <v>90</v>
      </c>
      <c r="C51" t="str">
        <f>IF(ISERROR(VLOOKUP(B51,#REF!,1,FALSE)), "Ej hittad", "Hittad")</f>
        <v>Ej hittad</v>
      </c>
    </row>
    <row r="52" spans="1:3">
      <c r="A52">
        <v>171</v>
      </c>
      <c r="B52" s="4" t="s">
        <v>91</v>
      </c>
      <c r="C52" t="str">
        <f>IF(ISERROR(VLOOKUP(B52,#REF!,1,FALSE)), "Ej hittad", "Hittad")</f>
        <v>Ej hittad</v>
      </c>
    </row>
    <row r="53" spans="1:3">
      <c r="A53">
        <v>172</v>
      </c>
      <c r="B53" s="4" t="s">
        <v>92</v>
      </c>
      <c r="C53" t="str">
        <f>IF(ISERROR(VLOOKUP(B53,#REF!,1,FALSE)), "Ej hittad", "Hittad")</f>
        <v>Ej hittad</v>
      </c>
    </row>
    <row r="54" spans="1:3">
      <c r="A54">
        <v>173</v>
      </c>
      <c r="B54" s="4" t="s">
        <v>93</v>
      </c>
      <c r="C54" t="str">
        <f>IF(ISERROR(VLOOKUP(B54,#REF!,1,FALSE)), "Ej hittad", "Hittad")</f>
        <v>Ej hittad</v>
      </c>
    </row>
    <row r="55" spans="1:3">
      <c r="A55">
        <v>174</v>
      </c>
      <c r="B55" s="4" t="s">
        <v>94</v>
      </c>
      <c r="C55" t="str">
        <f>IF(ISERROR(VLOOKUP(B55,#REF!,1,FALSE)), "Ej hittad", "Hittad")</f>
        <v>Ej hittad</v>
      </c>
    </row>
    <row r="56" spans="1:3">
      <c r="A56">
        <v>175</v>
      </c>
      <c r="B56" s="4" t="s">
        <v>95</v>
      </c>
      <c r="C56" t="str">
        <f>IF(ISERROR(VLOOKUP(B56,#REF!,1,FALSE)), "Ej hittad", "Hittad")</f>
        <v>Ej hittad</v>
      </c>
    </row>
    <row r="57" spans="1:3">
      <c r="A57">
        <v>176</v>
      </c>
      <c r="B57" s="4" t="s">
        <v>96</v>
      </c>
      <c r="C57" t="str">
        <f>IF(ISERROR(VLOOKUP(B57,#REF!,1,FALSE)), "Ej hittad", "Hittad")</f>
        <v>Ej hittad</v>
      </c>
    </row>
    <row r="58" spans="1:3">
      <c r="A58">
        <v>177</v>
      </c>
      <c r="B58" s="4" t="s">
        <v>97</v>
      </c>
      <c r="C58" t="str">
        <f>IF(ISERROR(VLOOKUP(B58,#REF!,1,FALSE)), "Ej hittad", "Hittad")</f>
        <v>Ej hittad</v>
      </c>
    </row>
    <row r="59" spans="1:3">
      <c r="A59">
        <v>178</v>
      </c>
      <c r="B59" s="4" t="s">
        <v>98</v>
      </c>
      <c r="C59" t="str">
        <f>IF(ISERROR(VLOOKUP(B59,#REF!,1,FALSE)), "Ej hittad", "Hittad")</f>
        <v>Ej hittad</v>
      </c>
    </row>
    <row r="60" spans="1:3">
      <c r="A60">
        <v>179</v>
      </c>
      <c r="B60" s="4" t="s">
        <v>99</v>
      </c>
      <c r="C60" t="str">
        <f>IF(ISERROR(VLOOKUP(B60,#REF!,1,FALSE)), "Ej hittad", "Hittad")</f>
        <v>Ej hittad</v>
      </c>
    </row>
    <row r="61" spans="1:3">
      <c r="A61">
        <v>180</v>
      </c>
      <c r="B61" s="4" t="s">
        <v>100</v>
      </c>
      <c r="C61" t="str">
        <f>IF(ISERROR(VLOOKUP(B61,#REF!,1,FALSE)), "Ej hittad", "Hittad")</f>
        <v>Ej hittad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37B89-7A9F-46F6-BE4B-7359CD63D3AF}">
  <sheetPr codeName="Sheet16"/>
  <dimension ref="A1:J800"/>
  <sheetViews>
    <sheetView topLeftCell="A764" workbookViewId="0">
      <selection activeCell="C6" sqref="C6"/>
    </sheetView>
  </sheetViews>
  <sheetFormatPr defaultRowHeight="14.5"/>
  <cols>
    <col min="1" max="1" width="5.81640625" bestFit="1" customWidth="1"/>
    <col min="2" max="2" width="64.453125" customWidth="1"/>
    <col min="3" max="3" width="65.7265625" bestFit="1" customWidth="1"/>
    <col min="4" max="5" width="19.1796875" bestFit="1" customWidth="1"/>
    <col min="6" max="6" width="20.1796875" bestFit="1" customWidth="1"/>
    <col min="7" max="7" width="7.26953125" bestFit="1" customWidth="1"/>
    <col min="8" max="8" width="13" bestFit="1" customWidth="1"/>
    <col min="9" max="9" width="65.7265625" bestFit="1" customWidth="1"/>
    <col min="10" max="10" width="10.54296875" bestFit="1" customWidth="1"/>
  </cols>
  <sheetData>
    <row r="1" spans="1:10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1664</v>
      </c>
      <c r="H1" t="s">
        <v>110</v>
      </c>
      <c r="I1" t="s">
        <v>107</v>
      </c>
      <c r="J1" t="s">
        <v>109</v>
      </c>
    </row>
    <row r="2" spans="1:10">
      <c r="A2">
        <v>4</v>
      </c>
      <c r="B2" t="s">
        <v>969</v>
      </c>
      <c r="C2" t="s">
        <v>970</v>
      </c>
      <c r="D2" t="s">
        <v>113</v>
      </c>
      <c r="E2" t="s">
        <v>154</v>
      </c>
      <c r="F2" t="s">
        <v>511</v>
      </c>
      <c r="G2" t="s">
        <v>1666</v>
      </c>
      <c r="I2" t="s">
        <v>971</v>
      </c>
      <c r="J2" t="s">
        <v>27</v>
      </c>
    </row>
    <row r="3" spans="1:10">
      <c r="A3">
        <v>10</v>
      </c>
      <c r="B3" t="s">
        <v>1457</v>
      </c>
      <c r="C3" t="s">
        <v>1458</v>
      </c>
      <c r="D3" t="s">
        <v>117</v>
      </c>
      <c r="E3" t="s">
        <v>42</v>
      </c>
      <c r="F3" t="s">
        <v>84</v>
      </c>
      <c r="G3" t="s">
        <v>1668</v>
      </c>
      <c r="I3" t="s">
        <v>1459</v>
      </c>
      <c r="J3" t="s">
        <v>27</v>
      </c>
    </row>
    <row r="4" spans="1:10">
      <c r="A4">
        <v>23</v>
      </c>
      <c r="B4" t="s">
        <v>509</v>
      </c>
      <c r="C4" t="s">
        <v>510</v>
      </c>
      <c r="D4" t="s">
        <v>43</v>
      </c>
      <c r="E4" t="s">
        <v>511</v>
      </c>
      <c r="F4" t="s">
        <v>204</v>
      </c>
      <c r="G4" t="s">
        <v>1670</v>
      </c>
      <c r="I4" t="s">
        <v>512</v>
      </c>
      <c r="J4" t="s">
        <v>27</v>
      </c>
    </row>
    <row r="5" spans="1:10">
      <c r="A5">
        <v>25</v>
      </c>
      <c r="B5" t="s">
        <v>333</v>
      </c>
      <c r="C5" t="s">
        <v>334</v>
      </c>
      <c r="D5" t="s">
        <v>43</v>
      </c>
      <c r="E5" t="s">
        <v>84</v>
      </c>
      <c r="F5" t="s">
        <v>126</v>
      </c>
      <c r="G5" t="s">
        <v>1672</v>
      </c>
      <c r="I5" t="s">
        <v>335</v>
      </c>
      <c r="J5" t="s">
        <v>27</v>
      </c>
    </row>
    <row r="6" spans="1:10">
      <c r="A6">
        <v>30</v>
      </c>
      <c r="B6" t="s">
        <v>1335</v>
      </c>
      <c r="C6" t="s">
        <v>1336</v>
      </c>
      <c r="D6" t="s">
        <v>139</v>
      </c>
      <c r="E6" t="s">
        <v>117</v>
      </c>
      <c r="F6" t="s">
        <v>209</v>
      </c>
      <c r="G6" t="s">
        <v>1674</v>
      </c>
      <c r="I6" t="s">
        <v>1337</v>
      </c>
      <c r="J6" t="s">
        <v>27</v>
      </c>
    </row>
    <row r="7" spans="1:10">
      <c r="A7">
        <v>32</v>
      </c>
      <c r="B7" t="s">
        <v>1258</v>
      </c>
      <c r="C7" t="s">
        <v>1259</v>
      </c>
      <c r="D7" t="s">
        <v>117</v>
      </c>
      <c r="E7" t="s">
        <v>42</v>
      </c>
      <c r="F7" t="s">
        <v>160</v>
      </c>
      <c r="G7" t="s">
        <v>1676</v>
      </c>
      <c r="I7" t="s">
        <v>1260</v>
      </c>
      <c r="J7" t="s">
        <v>27</v>
      </c>
    </row>
    <row r="8" spans="1:10">
      <c r="A8">
        <v>37</v>
      </c>
      <c r="B8" t="s">
        <v>284</v>
      </c>
      <c r="C8" t="s">
        <v>285</v>
      </c>
      <c r="D8" t="s">
        <v>113</v>
      </c>
      <c r="E8" t="s">
        <v>139</v>
      </c>
      <c r="F8" t="s">
        <v>44</v>
      </c>
      <c r="G8" t="s">
        <v>1678</v>
      </c>
      <c r="H8">
        <v>1</v>
      </c>
      <c r="I8" t="s">
        <v>286</v>
      </c>
      <c r="J8" t="s">
        <v>27</v>
      </c>
    </row>
    <row r="9" spans="1:10">
      <c r="A9">
        <v>41</v>
      </c>
      <c r="B9" t="s">
        <v>1055</v>
      </c>
      <c r="C9" t="s">
        <v>1056</v>
      </c>
      <c r="D9" t="s">
        <v>113</v>
      </c>
      <c r="E9" t="s">
        <v>139</v>
      </c>
      <c r="F9" t="s">
        <v>126</v>
      </c>
      <c r="G9" t="s">
        <v>1680</v>
      </c>
      <c r="I9" t="s">
        <v>1057</v>
      </c>
      <c r="J9" t="s">
        <v>27</v>
      </c>
    </row>
    <row r="10" spans="1:10">
      <c r="A10">
        <v>42</v>
      </c>
      <c r="B10" t="s">
        <v>274</v>
      </c>
      <c r="C10" t="s">
        <v>275</v>
      </c>
      <c r="D10" t="s">
        <v>113</v>
      </c>
      <c r="E10" t="s">
        <v>272</v>
      </c>
      <c r="F10" t="s">
        <v>217</v>
      </c>
      <c r="G10" t="s">
        <v>1682</v>
      </c>
      <c r="I10" t="s">
        <v>276</v>
      </c>
      <c r="J10" t="s">
        <v>27</v>
      </c>
    </row>
    <row r="11" spans="1:10">
      <c r="A11">
        <v>44</v>
      </c>
      <c r="B11" t="s">
        <v>1452</v>
      </c>
      <c r="C11" t="s">
        <v>1453</v>
      </c>
      <c r="D11" t="s">
        <v>117</v>
      </c>
      <c r="E11" t="s">
        <v>42</v>
      </c>
      <c r="F11" t="s">
        <v>63</v>
      </c>
      <c r="G11" t="s">
        <v>1684</v>
      </c>
      <c r="H11">
        <v>1</v>
      </c>
      <c r="I11" t="s">
        <v>1454</v>
      </c>
      <c r="J11" t="s">
        <v>27</v>
      </c>
    </row>
    <row r="12" spans="1:10">
      <c r="A12">
        <v>51</v>
      </c>
      <c r="B12" t="s">
        <v>167</v>
      </c>
      <c r="C12" t="s">
        <v>168</v>
      </c>
      <c r="D12" t="s">
        <v>113</v>
      </c>
      <c r="E12" t="s">
        <v>44</v>
      </c>
      <c r="F12" t="s">
        <v>126</v>
      </c>
      <c r="G12" t="s">
        <v>1686</v>
      </c>
      <c r="I12" t="s">
        <v>169</v>
      </c>
      <c r="J12" t="s">
        <v>27</v>
      </c>
    </row>
    <row r="13" spans="1:10">
      <c r="A13">
        <v>52</v>
      </c>
      <c r="B13" t="s">
        <v>130</v>
      </c>
      <c r="C13" t="s">
        <v>131</v>
      </c>
      <c r="D13" t="s">
        <v>44</v>
      </c>
      <c r="E13" t="s">
        <v>126</v>
      </c>
      <c r="F13" t="s">
        <v>126</v>
      </c>
      <c r="G13" t="s">
        <v>1688</v>
      </c>
      <c r="I13" t="s">
        <v>132</v>
      </c>
      <c r="J13" t="s">
        <v>27</v>
      </c>
    </row>
    <row r="14" spans="1:10">
      <c r="A14">
        <v>60</v>
      </c>
      <c r="B14" t="s">
        <v>726</v>
      </c>
      <c r="C14" t="s">
        <v>727</v>
      </c>
      <c r="D14" t="s">
        <v>233</v>
      </c>
      <c r="E14" t="s">
        <v>84</v>
      </c>
      <c r="F14" t="s">
        <v>126</v>
      </c>
      <c r="G14" t="s">
        <v>1690</v>
      </c>
      <c r="I14" t="s">
        <v>728</v>
      </c>
      <c r="J14" t="s">
        <v>27</v>
      </c>
    </row>
    <row r="15" spans="1:10">
      <c r="A15">
        <v>65</v>
      </c>
      <c r="B15" t="s">
        <v>1583</v>
      </c>
      <c r="C15" t="s">
        <v>1584</v>
      </c>
      <c r="D15" t="s">
        <v>117</v>
      </c>
      <c r="E15" t="s">
        <v>126</v>
      </c>
      <c r="F15" t="s">
        <v>126</v>
      </c>
      <c r="G15" t="s">
        <v>1692</v>
      </c>
      <c r="I15" t="s">
        <v>1585</v>
      </c>
      <c r="J15" t="s">
        <v>27</v>
      </c>
    </row>
    <row r="16" spans="1:10">
      <c r="A16">
        <v>68</v>
      </c>
      <c r="B16" t="s">
        <v>795</v>
      </c>
      <c r="C16" t="s">
        <v>796</v>
      </c>
      <c r="D16" t="s">
        <v>113</v>
      </c>
      <c r="E16" t="s">
        <v>117</v>
      </c>
      <c r="F16" t="s">
        <v>797</v>
      </c>
      <c r="G16" t="s">
        <v>1694</v>
      </c>
      <c r="I16" t="s">
        <v>798</v>
      </c>
      <c r="J16" t="s">
        <v>27</v>
      </c>
    </row>
    <row r="17" spans="1:10">
      <c r="A17">
        <v>76</v>
      </c>
      <c r="B17" t="s">
        <v>883</v>
      </c>
      <c r="C17" t="s">
        <v>884</v>
      </c>
      <c r="D17" t="s">
        <v>139</v>
      </c>
      <c r="E17" t="s">
        <v>117</v>
      </c>
      <c r="F17" t="s">
        <v>209</v>
      </c>
      <c r="G17" t="s">
        <v>1696</v>
      </c>
      <c r="I17" t="s">
        <v>885</v>
      </c>
      <c r="J17" t="s">
        <v>27</v>
      </c>
    </row>
    <row r="18" spans="1:10">
      <c r="A18">
        <v>84</v>
      </c>
      <c r="B18" t="s">
        <v>801</v>
      </c>
      <c r="C18" t="s">
        <v>802</v>
      </c>
      <c r="D18" t="s">
        <v>113</v>
      </c>
      <c r="E18" t="s">
        <v>160</v>
      </c>
      <c r="F18" t="s">
        <v>191</v>
      </c>
      <c r="G18" t="s">
        <v>1698</v>
      </c>
      <c r="I18" t="s">
        <v>803</v>
      </c>
      <c r="J18" t="s">
        <v>27</v>
      </c>
    </row>
    <row r="19" spans="1:10">
      <c r="A19">
        <v>85</v>
      </c>
      <c r="B19" t="s">
        <v>597</v>
      </c>
      <c r="C19" t="s">
        <v>598</v>
      </c>
      <c r="D19" t="s">
        <v>113</v>
      </c>
      <c r="E19" t="s">
        <v>42</v>
      </c>
      <c r="F19" t="s">
        <v>160</v>
      </c>
      <c r="G19" t="s">
        <v>1700</v>
      </c>
      <c r="H19">
        <v>2</v>
      </c>
      <c r="I19" t="s">
        <v>599</v>
      </c>
      <c r="J19" t="s">
        <v>27</v>
      </c>
    </row>
    <row r="20" spans="1:10">
      <c r="A20">
        <v>87</v>
      </c>
      <c r="B20" t="s">
        <v>1020</v>
      </c>
      <c r="C20" t="s">
        <v>1021</v>
      </c>
      <c r="D20" t="s">
        <v>117</v>
      </c>
      <c r="E20" t="s">
        <v>42</v>
      </c>
      <c r="F20" t="s">
        <v>126</v>
      </c>
      <c r="G20" t="s">
        <v>1702</v>
      </c>
      <c r="I20" t="s">
        <v>1022</v>
      </c>
      <c r="J20" t="s">
        <v>27</v>
      </c>
    </row>
    <row r="21" spans="1:10">
      <c r="A21">
        <v>115</v>
      </c>
      <c r="B21" t="s">
        <v>715</v>
      </c>
      <c r="C21" t="s">
        <v>716</v>
      </c>
      <c r="D21" t="s">
        <v>117</v>
      </c>
      <c r="E21" t="s">
        <v>42</v>
      </c>
      <c r="F21" t="s">
        <v>126</v>
      </c>
      <c r="G21" t="s">
        <v>1704</v>
      </c>
      <c r="I21" t="s">
        <v>717</v>
      </c>
      <c r="J21" t="s">
        <v>27</v>
      </c>
    </row>
    <row r="22" spans="1:10">
      <c r="A22">
        <v>123</v>
      </c>
      <c r="B22" t="s">
        <v>681</v>
      </c>
      <c r="C22" t="s">
        <v>682</v>
      </c>
      <c r="D22" t="s">
        <v>113</v>
      </c>
      <c r="E22" t="s">
        <v>42</v>
      </c>
      <c r="F22" t="s">
        <v>126</v>
      </c>
      <c r="G22" t="s">
        <v>1706</v>
      </c>
      <c r="I22" t="s">
        <v>683</v>
      </c>
      <c r="J22" t="s">
        <v>27</v>
      </c>
    </row>
    <row r="23" spans="1:10">
      <c r="A23">
        <v>124</v>
      </c>
      <c r="B23" t="s">
        <v>1048</v>
      </c>
      <c r="C23" t="s">
        <v>1049</v>
      </c>
      <c r="D23" t="s">
        <v>42</v>
      </c>
      <c r="E23" t="s">
        <v>135</v>
      </c>
      <c r="F23" t="s">
        <v>204</v>
      </c>
      <c r="G23" t="s">
        <v>1708</v>
      </c>
      <c r="I23" t="s">
        <v>1050</v>
      </c>
      <c r="J23" t="s">
        <v>27</v>
      </c>
    </row>
    <row r="24" spans="1:10">
      <c r="A24">
        <v>126</v>
      </c>
      <c r="B24" t="s">
        <v>1495</v>
      </c>
      <c r="C24" t="s">
        <v>1496</v>
      </c>
      <c r="D24" t="s">
        <v>139</v>
      </c>
      <c r="E24" t="s">
        <v>117</v>
      </c>
      <c r="F24" t="s">
        <v>44</v>
      </c>
      <c r="G24" t="s">
        <v>1710</v>
      </c>
      <c r="H24">
        <v>1</v>
      </c>
      <c r="I24" t="s">
        <v>1497</v>
      </c>
      <c r="J24" t="s">
        <v>27</v>
      </c>
    </row>
    <row r="25" spans="1:10">
      <c r="A25">
        <v>127</v>
      </c>
      <c r="B25" t="s">
        <v>1011</v>
      </c>
      <c r="C25" t="s">
        <v>1012</v>
      </c>
      <c r="D25" t="s">
        <v>139</v>
      </c>
      <c r="E25" t="s">
        <v>117</v>
      </c>
      <c r="F25" t="s">
        <v>176</v>
      </c>
      <c r="G25" t="s">
        <v>1712</v>
      </c>
      <c r="I25" t="s">
        <v>1013</v>
      </c>
      <c r="J25" t="s">
        <v>27</v>
      </c>
    </row>
    <row r="26" spans="1:10">
      <c r="A26">
        <v>132</v>
      </c>
      <c r="B26" t="s">
        <v>1286</v>
      </c>
      <c r="C26" t="s">
        <v>1287</v>
      </c>
      <c r="D26" t="s">
        <v>117</v>
      </c>
      <c r="E26" t="s">
        <v>42</v>
      </c>
      <c r="F26" t="s">
        <v>126</v>
      </c>
      <c r="G26" t="s">
        <v>1714</v>
      </c>
      <c r="I26" t="s">
        <v>1288</v>
      </c>
      <c r="J26" t="s">
        <v>27</v>
      </c>
    </row>
    <row r="27" spans="1:10">
      <c r="A27">
        <v>135</v>
      </c>
      <c r="B27" t="s">
        <v>902</v>
      </c>
      <c r="C27" t="s">
        <v>903</v>
      </c>
      <c r="D27" t="s">
        <v>113</v>
      </c>
      <c r="E27" t="s">
        <v>63</v>
      </c>
      <c r="F27" t="s">
        <v>126</v>
      </c>
      <c r="G27" t="s">
        <v>1716</v>
      </c>
      <c r="I27" t="s">
        <v>904</v>
      </c>
      <c r="J27" t="s">
        <v>27</v>
      </c>
    </row>
    <row r="28" spans="1:10">
      <c r="A28">
        <v>140</v>
      </c>
      <c r="B28" t="s">
        <v>600</v>
      </c>
      <c r="C28" t="s">
        <v>601</v>
      </c>
      <c r="D28" t="s">
        <v>113</v>
      </c>
      <c r="E28" t="s">
        <v>139</v>
      </c>
      <c r="F28" t="s">
        <v>117</v>
      </c>
      <c r="G28" t="s">
        <v>1700</v>
      </c>
      <c r="H28">
        <v>4</v>
      </c>
      <c r="I28" t="s">
        <v>602</v>
      </c>
      <c r="J28" t="s">
        <v>27</v>
      </c>
    </row>
    <row r="29" spans="1:10">
      <c r="A29">
        <v>149</v>
      </c>
      <c r="B29" t="s">
        <v>1473</v>
      </c>
      <c r="C29" t="s">
        <v>1474</v>
      </c>
      <c r="D29" t="s">
        <v>113</v>
      </c>
      <c r="E29" t="s">
        <v>139</v>
      </c>
      <c r="F29" t="s">
        <v>233</v>
      </c>
      <c r="G29" t="s">
        <v>1719</v>
      </c>
      <c r="H29">
        <v>1</v>
      </c>
      <c r="I29" t="s">
        <v>1475</v>
      </c>
      <c r="J29" t="s">
        <v>27</v>
      </c>
    </row>
    <row r="30" spans="1:10">
      <c r="A30">
        <v>154</v>
      </c>
      <c r="B30" t="s">
        <v>911</v>
      </c>
      <c r="C30" t="s">
        <v>912</v>
      </c>
      <c r="D30" t="s">
        <v>113</v>
      </c>
      <c r="E30" t="s">
        <v>154</v>
      </c>
      <c r="F30" t="s">
        <v>126</v>
      </c>
      <c r="G30" t="s">
        <v>1721</v>
      </c>
      <c r="I30" t="s">
        <v>913</v>
      </c>
      <c r="J30" t="s">
        <v>27</v>
      </c>
    </row>
    <row r="31" spans="1:10">
      <c r="A31">
        <v>158</v>
      </c>
      <c r="B31" t="s">
        <v>3130</v>
      </c>
      <c r="C31" t="s">
        <v>1723</v>
      </c>
      <c r="D31" t="s">
        <v>113</v>
      </c>
      <c r="E31" t="s">
        <v>797</v>
      </c>
      <c r="F31" t="s">
        <v>1081</v>
      </c>
      <c r="G31" t="s">
        <v>1666</v>
      </c>
      <c r="I31" t="s">
        <v>126</v>
      </c>
      <c r="J31" t="s">
        <v>27</v>
      </c>
    </row>
    <row r="32" spans="1:10">
      <c r="A32">
        <v>174</v>
      </c>
      <c r="B32" t="s">
        <v>1141</v>
      </c>
      <c r="C32" t="s">
        <v>1142</v>
      </c>
      <c r="D32" t="s">
        <v>113</v>
      </c>
      <c r="E32" t="s">
        <v>42</v>
      </c>
      <c r="F32" t="s">
        <v>65</v>
      </c>
      <c r="G32" t="s">
        <v>1725</v>
      </c>
      <c r="I32" t="s">
        <v>1143</v>
      </c>
      <c r="J32" t="s">
        <v>27</v>
      </c>
    </row>
    <row r="33" spans="1:10">
      <c r="A33">
        <v>185</v>
      </c>
      <c r="B33" t="s">
        <v>487</v>
      </c>
      <c r="C33" t="s">
        <v>488</v>
      </c>
      <c r="D33" t="s">
        <v>125</v>
      </c>
      <c r="E33" t="s">
        <v>126</v>
      </c>
      <c r="F33" t="s">
        <v>126</v>
      </c>
      <c r="G33" t="s">
        <v>1727</v>
      </c>
      <c r="I33" t="s">
        <v>489</v>
      </c>
      <c r="J33" t="s">
        <v>27</v>
      </c>
    </row>
    <row r="34" spans="1:10">
      <c r="A34">
        <v>188</v>
      </c>
      <c r="B34" t="s">
        <v>834</v>
      </c>
      <c r="C34" t="s">
        <v>835</v>
      </c>
      <c r="D34" t="s">
        <v>113</v>
      </c>
      <c r="E34" t="s">
        <v>42</v>
      </c>
      <c r="F34" t="s">
        <v>126</v>
      </c>
      <c r="G34" t="s">
        <v>1729</v>
      </c>
      <c r="I34" t="s">
        <v>836</v>
      </c>
      <c r="J34" t="s">
        <v>27</v>
      </c>
    </row>
    <row r="35" spans="1:10">
      <c r="A35">
        <v>212</v>
      </c>
      <c r="B35" t="s">
        <v>1202</v>
      </c>
      <c r="C35" t="s">
        <v>1203</v>
      </c>
      <c r="D35" t="s">
        <v>113</v>
      </c>
      <c r="E35" t="s">
        <v>117</v>
      </c>
      <c r="F35" t="s">
        <v>44</v>
      </c>
      <c r="G35" t="s">
        <v>1731</v>
      </c>
      <c r="H35">
        <v>2</v>
      </c>
      <c r="I35" t="s">
        <v>1204</v>
      </c>
      <c r="J35" t="s">
        <v>27</v>
      </c>
    </row>
    <row r="36" spans="1:10">
      <c r="A36">
        <v>214</v>
      </c>
      <c r="B36" t="s">
        <v>1076</v>
      </c>
      <c r="C36" t="s">
        <v>1077</v>
      </c>
      <c r="D36" t="s">
        <v>117</v>
      </c>
      <c r="E36" t="s">
        <v>647</v>
      </c>
      <c r="F36" t="s">
        <v>768</v>
      </c>
      <c r="G36" t="s">
        <v>1733</v>
      </c>
      <c r="H36">
        <v>1</v>
      </c>
      <c r="I36" t="s">
        <v>1078</v>
      </c>
      <c r="J36" t="s">
        <v>27</v>
      </c>
    </row>
    <row r="37" spans="1:10">
      <c r="A37">
        <v>218</v>
      </c>
      <c r="B37" t="s">
        <v>936</v>
      </c>
      <c r="C37" t="s">
        <v>937</v>
      </c>
      <c r="D37" t="s">
        <v>113</v>
      </c>
      <c r="E37" t="s">
        <v>511</v>
      </c>
      <c r="F37" t="s">
        <v>938</v>
      </c>
      <c r="G37" t="s">
        <v>1735</v>
      </c>
      <c r="I37" t="s">
        <v>939</v>
      </c>
      <c r="J37" t="s">
        <v>27</v>
      </c>
    </row>
    <row r="38" spans="1:10">
      <c r="A38">
        <v>220</v>
      </c>
      <c r="B38" t="s">
        <v>1549</v>
      </c>
      <c r="C38" t="s">
        <v>1550</v>
      </c>
      <c r="D38" t="s">
        <v>113</v>
      </c>
      <c r="E38" t="s">
        <v>209</v>
      </c>
      <c r="F38" t="s">
        <v>172</v>
      </c>
      <c r="G38" t="s">
        <v>1737</v>
      </c>
      <c r="H38">
        <v>2</v>
      </c>
      <c r="I38" t="s">
        <v>1551</v>
      </c>
      <c r="J38" t="s">
        <v>27</v>
      </c>
    </row>
    <row r="39" spans="1:10">
      <c r="A39">
        <v>224</v>
      </c>
      <c r="B39" t="s">
        <v>877</v>
      </c>
      <c r="C39" t="s">
        <v>878</v>
      </c>
      <c r="D39" t="s">
        <v>233</v>
      </c>
      <c r="E39" t="s">
        <v>117</v>
      </c>
      <c r="F39" t="s">
        <v>160</v>
      </c>
      <c r="G39" t="s">
        <v>1739</v>
      </c>
      <c r="H39">
        <v>1</v>
      </c>
      <c r="I39" t="s">
        <v>879</v>
      </c>
      <c r="J39" t="s">
        <v>27</v>
      </c>
    </row>
    <row r="40" spans="1:10">
      <c r="A40">
        <v>233</v>
      </c>
      <c r="B40" t="s">
        <v>1261</v>
      </c>
      <c r="C40" t="s">
        <v>1262</v>
      </c>
      <c r="D40" t="s">
        <v>233</v>
      </c>
      <c r="E40" t="s">
        <v>42</v>
      </c>
      <c r="F40" t="s">
        <v>84</v>
      </c>
      <c r="G40" t="s">
        <v>1676</v>
      </c>
      <c r="I40" t="s">
        <v>1263</v>
      </c>
      <c r="J40" t="s">
        <v>27</v>
      </c>
    </row>
    <row r="41" spans="1:10">
      <c r="A41">
        <v>239</v>
      </c>
      <c r="B41" t="s">
        <v>778</v>
      </c>
      <c r="C41" t="s">
        <v>779</v>
      </c>
      <c r="D41" t="s">
        <v>113</v>
      </c>
      <c r="E41" t="s">
        <v>208</v>
      </c>
      <c r="F41" t="s">
        <v>209</v>
      </c>
      <c r="G41" t="s">
        <v>1742</v>
      </c>
      <c r="H41">
        <v>2</v>
      </c>
      <c r="I41" t="s">
        <v>780</v>
      </c>
      <c r="J41" t="s">
        <v>27</v>
      </c>
    </row>
    <row r="42" spans="1:10">
      <c r="A42">
        <v>248</v>
      </c>
      <c r="B42" t="s">
        <v>3131</v>
      </c>
      <c r="C42" t="s">
        <v>1744</v>
      </c>
      <c r="D42" t="s">
        <v>113</v>
      </c>
      <c r="E42" t="s">
        <v>117</v>
      </c>
      <c r="F42" t="s">
        <v>84</v>
      </c>
      <c r="G42" t="s">
        <v>1745</v>
      </c>
      <c r="I42" t="s">
        <v>126</v>
      </c>
      <c r="J42" t="s">
        <v>27</v>
      </c>
    </row>
    <row r="43" spans="1:10">
      <c r="A43">
        <v>262</v>
      </c>
      <c r="B43" t="s">
        <v>1207</v>
      </c>
      <c r="C43" t="s">
        <v>1208</v>
      </c>
      <c r="D43" t="s">
        <v>125</v>
      </c>
      <c r="E43" t="s">
        <v>126</v>
      </c>
      <c r="F43" t="s">
        <v>126</v>
      </c>
      <c r="G43" t="s">
        <v>1747</v>
      </c>
      <c r="I43" t="s">
        <v>1209</v>
      </c>
      <c r="J43" t="s">
        <v>27</v>
      </c>
    </row>
    <row r="44" spans="1:10">
      <c r="A44">
        <v>265</v>
      </c>
      <c r="B44" t="s">
        <v>3132</v>
      </c>
      <c r="C44" t="s">
        <v>1749</v>
      </c>
      <c r="D44" t="s">
        <v>113</v>
      </c>
      <c r="E44" t="s">
        <v>42</v>
      </c>
      <c r="F44" t="s">
        <v>126</v>
      </c>
      <c r="G44" t="s">
        <v>1751</v>
      </c>
      <c r="I44" t="s">
        <v>1750</v>
      </c>
      <c r="J44" t="s">
        <v>27</v>
      </c>
    </row>
    <row r="45" spans="1:10">
      <c r="A45">
        <v>269</v>
      </c>
      <c r="B45" t="s">
        <v>3133</v>
      </c>
      <c r="C45" t="s">
        <v>1753</v>
      </c>
      <c r="D45" t="s">
        <v>113</v>
      </c>
      <c r="E45" t="s">
        <v>117</v>
      </c>
      <c r="F45" t="s">
        <v>136</v>
      </c>
      <c r="G45" t="s">
        <v>1755</v>
      </c>
      <c r="H45">
        <v>3</v>
      </c>
      <c r="I45" t="s">
        <v>1754</v>
      </c>
      <c r="J45" t="s">
        <v>27</v>
      </c>
    </row>
    <row r="46" spans="1:10">
      <c r="A46">
        <v>272</v>
      </c>
      <c r="B46" t="s">
        <v>3134</v>
      </c>
      <c r="C46" t="s">
        <v>1757</v>
      </c>
      <c r="D46" t="s">
        <v>272</v>
      </c>
      <c r="E46" t="s">
        <v>160</v>
      </c>
      <c r="F46" t="s">
        <v>135</v>
      </c>
      <c r="G46" t="s">
        <v>1759</v>
      </c>
      <c r="H46">
        <v>4</v>
      </c>
      <c r="I46" t="s">
        <v>1758</v>
      </c>
      <c r="J46" t="s">
        <v>27</v>
      </c>
    </row>
    <row r="47" spans="1:10">
      <c r="A47">
        <v>273</v>
      </c>
      <c r="B47" t="s">
        <v>1310</v>
      </c>
      <c r="C47" t="s">
        <v>1311</v>
      </c>
      <c r="D47" t="s">
        <v>233</v>
      </c>
      <c r="E47" t="s">
        <v>117</v>
      </c>
      <c r="F47" t="s">
        <v>84</v>
      </c>
      <c r="G47" t="s">
        <v>1761</v>
      </c>
      <c r="I47" t="s">
        <v>1312</v>
      </c>
      <c r="J47" t="s">
        <v>27</v>
      </c>
    </row>
    <row r="48" spans="1:10">
      <c r="A48">
        <v>282</v>
      </c>
      <c r="B48" t="s">
        <v>1045</v>
      </c>
      <c r="C48" t="s">
        <v>1046</v>
      </c>
      <c r="D48" t="s">
        <v>233</v>
      </c>
      <c r="E48" t="s">
        <v>117</v>
      </c>
      <c r="F48" t="s">
        <v>44</v>
      </c>
      <c r="G48" t="s">
        <v>1763</v>
      </c>
      <c r="I48" t="s">
        <v>1047</v>
      </c>
      <c r="J48" t="s">
        <v>27</v>
      </c>
    </row>
    <row r="49" spans="1:10">
      <c r="A49">
        <v>295</v>
      </c>
      <c r="B49" t="s">
        <v>587</v>
      </c>
      <c r="C49" t="s">
        <v>588</v>
      </c>
      <c r="D49" t="s">
        <v>272</v>
      </c>
      <c r="E49" t="s">
        <v>155</v>
      </c>
      <c r="F49" t="s">
        <v>172</v>
      </c>
      <c r="G49" t="s">
        <v>1765</v>
      </c>
      <c r="H49">
        <v>2</v>
      </c>
      <c r="I49" t="s">
        <v>589</v>
      </c>
      <c r="J49" t="s">
        <v>27</v>
      </c>
    </row>
    <row r="50" spans="1:10">
      <c r="A50">
        <v>296</v>
      </c>
      <c r="B50" t="s">
        <v>3135</v>
      </c>
      <c r="C50" t="s">
        <v>1767</v>
      </c>
      <c r="D50" t="s">
        <v>113</v>
      </c>
      <c r="E50" t="s">
        <v>233</v>
      </c>
      <c r="F50" t="s">
        <v>172</v>
      </c>
      <c r="G50" t="s">
        <v>1769</v>
      </c>
      <c r="H50">
        <v>1</v>
      </c>
      <c r="I50" t="s">
        <v>1768</v>
      </c>
      <c r="J50" t="s">
        <v>27</v>
      </c>
    </row>
    <row r="51" spans="1:10">
      <c r="A51">
        <v>297</v>
      </c>
      <c r="B51" t="s">
        <v>427</v>
      </c>
      <c r="C51" t="s">
        <v>428</v>
      </c>
      <c r="D51" t="s">
        <v>117</v>
      </c>
      <c r="E51" t="s">
        <v>135</v>
      </c>
      <c r="F51" t="s">
        <v>136</v>
      </c>
      <c r="G51" t="s">
        <v>1771</v>
      </c>
      <c r="H51">
        <v>3</v>
      </c>
      <c r="I51" t="s">
        <v>429</v>
      </c>
      <c r="J51" t="s">
        <v>27</v>
      </c>
    </row>
    <row r="52" spans="1:10">
      <c r="A52">
        <v>301</v>
      </c>
      <c r="B52" t="s">
        <v>734</v>
      </c>
      <c r="C52" t="s">
        <v>735</v>
      </c>
      <c r="D52" t="s">
        <v>117</v>
      </c>
      <c r="E52" t="s">
        <v>44</v>
      </c>
      <c r="F52" t="s">
        <v>176</v>
      </c>
      <c r="G52" t="s">
        <v>1773</v>
      </c>
      <c r="I52" t="s">
        <v>736</v>
      </c>
      <c r="J52" t="s">
        <v>27</v>
      </c>
    </row>
    <row r="53" spans="1:10">
      <c r="A53">
        <v>302</v>
      </c>
      <c r="B53" t="s">
        <v>3136</v>
      </c>
      <c r="C53" t="s">
        <v>1775</v>
      </c>
      <c r="D53" t="s">
        <v>113</v>
      </c>
      <c r="E53" t="s">
        <v>154</v>
      </c>
      <c r="F53" t="s">
        <v>136</v>
      </c>
      <c r="G53" t="s">
        <v>1777</v>
      </c>
      <c r="H53">
        <v>2</v>
      </c>
      <c r="I53" t="s">
        <v>1776</v>
      </c>
      <c r="J53" t="s">
        <v>27</v>
      </c>
    </row>
    <row r="54" spans="1:10">
      <c r="A54">
        <v>305</v>
      </c>
      <c r="B54" t="s">
        <v>3137</v>
      </c>
      <c r="C54" t="s">
        <v>1779</v>
      </c>
      <c r="D54" t="s">
        <v>113</v>
      </c>
      <c r="E54" t="s">
        <v>139</v>
      </c>
      <c r="F54" t="s">
        <v>180</v>
      </c>
      <c r="G54" t="s">
        <v>1781</v>
      </c>
      <c r="I54" t="s">
        <v>1780</v>
      </c>
      <c r="J54" t="s">
        <v>27</v>
      </c>
    </row>
    <row r="55" spans="1:10">
      <c r="A55">
        <v>312</v>
      </c>
      <c r="B55" t="s">
        <v>367</v>
      </c>
      <c r="C55" t="s">
        <v>368</v>
      </c>
      <c r="D55" t="s">
        <v>113</v>
      </c>
      <c r="E55" t="s">
        <v>42</v>
      </c>
      <c r="F55" t="s">
        <v>126</v>
      </c>
      <c r="G55" t="s">
        <v>1783</v>
      </c>
      <c r="I55" t="s">
        <v>369</v>
      </c>
      <c r="J55" t="s">
        <v>27</v>
      </c>
    </row>
    <row r="56" spans="1:10">
      <c r="A56">
        <v>315</v>
      </c>
      <c r="B56" t="s">
        <v>972</v>
      </c>
      <c r="C56" t="s">
        <v>973</v>
      </c>
      <c r="D56" t="s">
        <v>113</v>
      </c>
      <c r="E56" t="s">
        <v>154</v>
      </c>
      <c r="F56" t="s">
        <v>511</v>
      </c>
      <c r="G56" t="s">
        <v>1666</v>
      </c>
      <c r="H56">
        <v>4</v>
      </c>
      <c r="I56" t="s">
        <v>974</v>
      </c>
      <c r="J56" t="s">
        <v>27</v>
      </c>
    </row>
    <row r="57" spans="1:10">
      <c r="A57">
        <v>317</v>
      </c>
      <c r="B57" t="s">
        <v>3138</v>
      </c>
      <c r="C57" t="s">
        <v>1786</v>
      </c>
      <c r="D57" t="s">
        <v>113</v>
      </c>
      <c r="E57" t="s">
        <v>176</v>
      </c>
      <c r="F57" t="s">
        <v>65</v>
      </c>
      <c r="G57" t="s">
        <v>1788</v>
      </c>
      <c r="I57" t="s">
        <v>1787</v>
      </c>
      <c r="J57" t="s">
        <v>27</v>
      </c>
    </row>
    <row r="58" spans="1:10">
      <c r="A58">
        <v>321</v>
      </c>
      <c r="B58" t="s">
        <v>1387</v>
      </c>
      <c r="C58" t="s">
        <v>1388</v>
      </c>
      <c r="D58" t="s">
        <v>113</v>
      </c>
      <c r="E58" t="s">
        <v>272</v>
      </c>
      <c r="F58" t="s">
        <v>160</v>
      </c>
      <c r="G58" t="s">
        <v>1790</v>
      </c>
      <c r="H58">
        <v>2</v>
      </c>
      <c r="I58" t="s">
        <v>126</v>
      </c>
      <c r="J58" t="s">
        <v>27</v>
      </c>
    </row>
    <row r="59" spans="1:10">
      <c r="A59">
        <v>327</v>
      </c>
      <c r="B59" t="s">
        <v>1220</v>
      </c>
      <c r="C59" t="s">
        <v>1221</v>
      </c>
      <c r="D59" t="s">
        <v>113</v>
      </c>
      <c r="E59" t="s">
        <v>154</v>
      </c>
      <c r="F59" t="s">
        <v>511</v>
      </c>
      <c r="G59" t="s">
        <v>1792</v>
      </c>
      <c r="H59">
        <v>4</v>
      </c>
      <c r="I59" t="s">
        <v>126</v>
      </c>
      <c r="J59" t="s">
        <v>27</v>
      </c>
    </row>
    <row r="60" spans="1:10">
      <c r="A60">
        <v>329</v>
      </c>
      <c r="B60" t="s">
        <v>537</v>
      </c>
      <c r="C60" t="s">
        <v>538</v>
      </c>
      <c r="D60" t="s">
        <v>113</v>
      </c>
      <c r="E60" t="s">
        <v>42</v>
      </c>
      <c r="F60" t="s">
        <v>451</v>
      </c>
      <c r="G60" t="s">
        <v>1794</v>
      </c>
      <c r="I60" t="s">
        <v>539</v>
      </c>
      <c r="J60" t="s">
        <v>27</v>
      </c>
    </row>
    <row r="61" spans="1:10">
      <c r="A61">
        <v>330</v>
      </c>
      <c r="B61" t="s">
        <v>574</v>
      </c>
      <c r="C61" t="s">
        <v>575</v>
      </c>
      <c r="D61" t="s">
        <v>113</v>
      </c>
      <c r="E61" t="s">
        <v>63</v>
      </c>
      <c r="F61" t="s">
        <v>126</v>
      </c>
      <c r="G61" t="s">
        <v>1796</v>
      </c>
      <c r="I61" t="s">
        <v>576</v>
      </c>
      <c r="J61" t="s">
        <v>27</v>
      </c>
    </row>
    <row r="62" spans="1:10">
      <c r="A62">
        <v>332</v>
      </c>
      <c r="B62" t="s">
        <v>944</v>
      </c>
      <c r="C62" t="s">
        <v>945</v>
      </c>
      <c r="D62" t="s">
        <v>136</v>
      </c>
      <c r="E62" t="s">
        <v>121</v>
      </c>
      <c r="F62" t="s">
        <v>229</v>
      </c>
      <c r="G62" t="s">
        <v>1798</v>
      </c>
      <c r="I62" t="s">
        <v>126</v>
      </c>
      <c r="J62" t="s">
        <v>27</v>
      </c>
    </row>
    <row r="63" spans="1:10">
      <c r="A63">
        <v>335</v>
      </c>
      <c r="B63" t="s">
        <v>1395</v>
      </c>
      <c r="C63" t="s">
        <v>1396</v>
      </c>
      <c r="D63" t="s">
        <v>113</v>
      </c>
      <c r="E63" t="s">
        <v>233</v>
      </c>
      <c r="F63" t="s">
        <v>624</v>
      </c>
      <c r="G63" t="s">
        <v>1800</v>
      </c>
      <c r="I63" t="s">
        <v>126</v>
      </c>
      <c r="J63" t="s">
        <v>27</v>
      </c>
    </row>
    <row r="64" spans="1:10">
      <c r="A64">
        <v>336</v>
      </c>
      <c r="B64" t="s">
        <v>1235</v>
      </c>
      <c r="C64" t="s">
        <v>1236</v>
      </c>
      <c r="D64" t="s">
        <v>113</v>
      </c>
      <c r="E64" t="s">
        <v>139</v>
      </c>
      <c r="F64" t="s">
        <v>117</v>
      </c>
      <c r="G64" t="s">
        <v>1802</v>
      </c>
      <c r="H64">
        <v>1</v>
      </c>
      <c r="I64" t="s">
        <v>1237</v>
      </c>
      <c r="J64" t="s">
        <v>27</v>
      </c>
    </row>
    <row r="65" spans="1:10">
      <c r="A65">
        <v>352</v>
      </c>
      <c r="B65" t="s">
        <v>373</v>
      </c>
      <c r="C65" t="s">
        <v>374</v>
      </c>
      <c r="D65" t="s">
        <v>154</v>
      </c>
      <c r="E65" t="s">
        <v>155</v>
      </c>
      <c r="F65" t="s">
        <v>86</v>
      </c>
      <c r="G65" t="s">
        <v>1804</v>
      </c>
      <c r="I65" t="s">
        <v>375</v>
      </c>
      <c r="J65" t="s">
        <v>27</v>
      </c>
    </row>
    <row r="66" spans="1:10">
      <c r="A66">
        <v>354</v>
      </c>
      <c r="B66" t="s">
        <v>1195</v>
      </c>
      <c r="C66" t="s">
        <v>1196</v>
      </c>
      <c r="D66" t="s">
        <v>113</v>
      </c>
      <c r="E66" t="s">
        <v>154</v>
      </c>
      <c r="F66" t="s">
        <v>204</v>
      </c>
      <c r="G66" t="s">
        <v>1806</v>
      </c>
      <c r="I66" t="s">
        <v>1197</v>
      </c>
      <c r="J66" t="s">
        <v>27</v>
      </c>
    </row>
    <row r="67" spans="1:10">
      <c r="A67">
        <v>358</v>
      </c>
      <c r="B67" t="s">
        <v>3139</v>
      </c>
      <c r="C67" t="s">
        <v>1808</v>
      </c>
      <c r="D67" t="s">
        <v>139</v>
      </c>
      <c r="E67" t="s">
        <v>117</v>
      </c>
      <c r="F67" t="s">
        <v>63</v>
      </c>
      <c r="G67" t="s">
        <v>1810</v>
      </c>
      <c r="H67">
        <v>3</v>
      </c>
      <c r="I67" t="s">
        <v>1809</v>
      </c>
      <c r="J67" t="s">
        <v>27</v>
      </c>
    </row>
    <row r="68" spans="1:10">
      <c r="A68">
        <v>363</v>
      </c>
      <c r="B68" t="s">
        <v>891</v>
      </c>
      <c r="C68" t="s">
        <v>892</v>
      </c>
      <c r="D68" t="s">
        <v>113</v>
      </c>
      <c r="E68" t="s">
        <v>154</v>
      </c>
      <c r="F68" t="s">
        <v>65</v>
      </c>
      <c r="G68" t="s">
        <v>1812</v>
      </c>
      <c r="H68">
        <v>2</v>
      </c>
      <c r="I68" t="s">
        <v>893</v>
      </c>
      <c r="J68" t="s">
        <v>27</v>
      </c>
    </row>
    <row r="69" spans="1:10">
      <c r="A69">
        <v>381</v>
      </c>
      <c r="B69" t="s">
        <v>1244</v>
      </c>
      <c r="C69" t="s">
        <v>1245</v>
      </c>
      <c r="D69" t="s">
        <v>113</v>
      </c>
      <c r="E69" t="s">
        <v>139</v>
      </c>
      <c r="F69" t="s">
        <v>233</v>
      </c>
      <c r="G69" t="s">
        <v>1814</v>
      </c>
      <c r="H69">
        <v>2</v>
      </c>
      <c r="I69" t="s">
        <v>1246</v>
      </c>
      <c r="J69" t="s">
        <v>27</v>
      </c>
    </row>
    <row r="70" spans="1:10">
      <c r="A70">
        <v>391</v>
      </c>
      <c r="B70" t="s">
        <v>1292</v>
      </c>
      <c r="C70" t="s">
        <v>1293</v>
      </c>
      <c r="D70" t="s">
        <v>113</v>
      </c>
      <c r="E70" t="s">
        <v>550</v>
      </c>
      <c r="F70" t="s">
        <v>126</v>
      </c>
      <c r="G70" t="s">
        <v>1816</v>
      </c>
      <c r="I70" t="s">
        <v>126</v>
      </c>
      <c r="J70" t="s">
        <v>27</v>
      </c>
    </row>
    <row r="71" spans="1:10">
      <c r="A71">
        <v>403</v>
      </c>
      <c r="B71" t="s">
        <v>804</v>
      </c>
      <c r="C71" t="s">
        <v>805</v>
      </c>
      <c r="D71" t="s">
        <v>113</v>
      </c>
      <c r="E71" t="s">
        <v>42</v>
      </c>
      <c r="F71" t="s">
        <v>126</v>
      </c>
      <c r="G71" t="s">
        <v>1698</v>
      </c>
      <c r="I71" t="s">
        <v>806</v>
      </c>
      <c r="J71" t="s">
        <v>27</v>
      </c>
    </row>
    <row r="72" spans="1:10">
      <c r="A72">
        <v>407</v>
      </c>
      <c r="B72" t="s">
        <v>419</v>
      </c>
      <c r="C72" t="s">
        <v>420</v>
      </c>
      <c r="D72" t="s">
        <v>113</v>
      </c>
      <c r="E72" t="s">
        <v>176</v>
      </c>
      <c r="F72" t="s">
        <v>204</v>
      </c>
      <c r="G72" t="s">
        <v>1819</v>
      </c>
      <c r="I72" t="s">
        <v>421</v>
      </c>
      <c r="J72" t="s">
        <v>27</v>
      </c>
    </row>
    <row r="73" spans="1:10">
      <c r="A73">
        <v>410</v>
      </c>
      <c r="B73" t="s">
        <v>466</v>
      </c>
      <c r="C73" t="s">
        <v>467</v>
      </c>
      <c r="D73" t="s">
        <v>113</v>
      </c>
      <c r="E73" t="s">
        <v>154</v>
      </c>
      <c r="F73" t="s">
        <v>217</v>
      </c>
      <c r="G73" t="s">
        <v>1821</v>
      </c>
      <c r="I73" t="s">
        <v>468</v>
      </c>
      <c r="J73" t="s">
        <v>27</v>
      </c>
    </row>
    <row r="74" spans="1:10">
      <c r="A74">
        <v>411</v>
      </c>
      <c r="B74" t="s">
        <v>3140</v>
      </c>
      <c r="C74" t="s">
        <v>1823</v>
      </c>
      <c r="D74" t="s">
        <v>113</v>
      </c>
      <c r="E74" t="s">
        <v>117</v>
      </c>
      <c r="F74" t="s">
        <v>44</v>
      </c>
      <c r="G74" t="s">
        <v>1781</v>
      </c>
      <c r="H74">
        <v>1</v>
      </c>
      <c r="I74" t="s">
        <v>126</v>
      </c>
      <c r="J74" t="s">
        <v>27</v>
      </c>
    </row>
    <row r="75" spans="1:10">
      <c r="A75">
        <v>420</v>
      </c>
      <c r="B75" t="s">
        <v>1654</v>
      </c>
      <c r="C75" t="s">
        <v>1655</v>
      </c>
      <c r="D75" t="s">
        <v>117</v>
      </c>
      <c r="E75" t="s">
        <v>63</v>
      </c>
      <c r="F75" t="s">
        <v>184</v>
      </c>
      <c r="G75" t="s">
        <v>1825</v>
      </c>
      <c r="I75" t="s">
        <v>126</v>
      </c>
      <c r="J75" t="s">
        <v>27</v>
      </c>
    </row>
    <row r="76" spans="1:10">
      <c r="A76">
        <v>425</v>
      </c>
      <c r="B76" t="s">
        <v>3141</v>
      </c>
      <c r="C76" t="s">
        <v>1827</v>
      </c>
      <c r="D76" t="s">
        <v>113</v>
      </c>
      <c r="E76" t="s">
        <v>117</v>
      </c>
      <c r="F76" t="s">
        <v>44</v>
      </c>
      <c r="G76" t="s">
        <v>1829</v>
      </c>
      <c r="H76">
        <v>1</v>
      </c>
      <c r="I76" t="s">
        <v>1828</v>
      </c>
      <c r="J76" t="s">
        <v>27</v>
      </c>
    </row>
    <row r="77" spans="1:10">
      <c r="A77">
        <v>428</v>
      </c>
      <c r="B77" t="s">
        <v>3142</v>
      </c>
      <c r="C77" t="s">
        <v>1831</v>
      </c>
      <c r="D77" t="s">
        <v>117</v>
      </c>
      <c r="E77" t="s">
        <v>135</v>
      </c>
      <c r="F77" t="s">
        <v>136</v>
      </c>
      <c r="G77" t="s">
        <v>1833</v>
      </c>
      <c r="H77">
        <v>1</v>
      </c>
      <c r="I77" t="s">
        <v>1832</v>
      </c>
      <c r="J77" t="s">
        <v>27</v>
      </c>
    </row>
    <row r="78" spans="1:10">
      <c r="A78">
        <v>431</v>
      </c>
      <c r="B78" t="s">
        <v>3143</v>
      </c>
      <c r="C78" t="s">
        <v>1835</v>
      </c>
      <c r="D78" t="s">
        <v>135</v>
      </c>
      <c r="E78" t="s">
        <v>136</v>
      </c>
      <c r="F78" t="s">
        <v>217</v>
      </c>
      <c r="G78" t="s">
        <v>1837</v>
      </c>
      <c r="I78" t="s">
        <v>1836</v>
      </c>
      <c r="J78" t="s">
        <v>27</v>
      </c>
    </row>
    <row r="79" spans="1:10">
      <c r="A79">
        <v>432</v>
      </c>
      <c r="B79" t="s">
        <v>865</v>
      </c>
      <c r="C79" t="s">
        <v>866</v>
      </c>
      <c r="D79" t="s">
        <v>139</v>
      </c>
      <c r="E79" t="s">
        <v>43</v>
      </c>
      <c r="F79" t="s">
        <v>155</v>
      </c>
      <c r="G79" t="s">
        <v>1839</v>
      </c>
      <c r="H79">
        <v>1</v>
      </c>
      <c r="I79" t="s">
        <v>867</v>
      </c>
      <c r="J79" t="s">
        <v>27</v>
      </c>
    </row>
    <row r="80" spans="1:10">
      <c r="A80">
        <v>440</v>
      </c>
      <c r="B80" t="s">
        <v>991</v>
      </c>
      <c r="C80" t="s">
        <v>992</v>
      </c>
      <c r="D80" t="s">
        <v>67</v>
      </c>
      <c r="E80" t="s">
        <v>126</v>
      </c>
      <c r="F80" t="s">
        <v>126</v>
      </c>
      <c r="G80" t="s">
        <v>1841</v>
      </c>
      <c r="I80" t="s">
        <v>993</v>
      </c>
      <c r="J80" t="s">
        <v>27</v>
      </c>
    </row>
    <row r="81" spans="1:10">
      <c r="A81">
        <v>446</v>
      </c>
      <c r="B81" t="s">
        <v>542</v>
      </c>
      <c r="C81" t="s">
        <v>543</v>
      </c>
      <c r="D81" t="s">
        <v>113</v>
      </c>
      <c r="E81" t="s">
        <v>42</v>
      </c>
      <c r="F81" t="s">
        <v>126</v>
      </c>
      <c r="G81" t="s">
        <v>1843</v>
      </c>
      <c r="I81" t="s">
        <v>544</v>
      </c>
      <c r="J81" t="s">
        <v>27</v>
      </c>
    </row>
    <row r="82" spans="1:10">
      <c r="A82">
        <v>458</v>
      </c>
      <c r="B82" t="s">
        <v>400</v>
      </c>
      <c r="C82" t="s">
        <v>401</v>
      </c>
      <c r="D82" t="s">
        <v>233</v>
      </c>
      <c r="E82" t="s">
        <v>42</v>
      </c>
      <c r="F82" t="s">
        <v>263</v>
      </c>
      <c r="G82" t="s">
        <v>1845</v>
      </c>
      <c r="I82" t="s">
        <v>402</v>
      </c>
      <c r="J82" t="s">
        <v>27</v>
      </c>
    </row>
    <row r="83" spans="1:10">
      <c r="A83">
        <v>460</v>
      </c>
      <c r="B83" t="s">
        <v>840</v>
      </c>
      <c r="C83" t="s">
        <v>841</v>
      </c>
      <c r="D83" t="s">
        <v>139</v>
      </c>
      <c r="E83" t="s">
        <v>43</v>
      </c>
      <c r="F83" t="s">
        <v>155</v>
      </c>
      <c r="G83" t="s">
        <v>1847</v>
      </c>
      <c r="H83">
        <v>1</v>
      </c>
      <c r="I83" t="s">
        <v>842</v>
      </c>
      <c r="J83" t="s">
        <v>27</v>
      </c>
    </row>
    <row r="84" spans="1:10">
      <c r="A84">
        <v>465</v>
      </c>
      <c r="B84" t="s">
        <v>3144</v>
      </c>
      <c r="C84" t="s">
        <v>1849</v>
      </c>
      <c r="D84" t="s">
        <v>113</v>
      </c>
      <c r="E84" t="s">
        <v>42</v>
      </c>
      <c r="F84" t="s">
        <v>217</v>
      </c>
      <c r="G84" t="s">
        <v>1851</v>
      </c>
      <c r="I84" t="s">
        <v>1850</v>
      </c>
      <c r="J84" t="s">
        <v>27</v>
      </c>
    </row>
    <row r="85" spans="1:10">
      <c r="A85">
        <v>466</v>
      </c>
      <c r="B85" t="s">
        <v>1399</v>
      </c>
      <c r="C85" t="s">
        <v>1400</v>
      </c>
      <c r="D85" t="s">
        <v>117</v>
      </c>
      <c r="E85" t="s">
        <v>42</v>
      </c>
      <c r="F85" t="s">
        <v>126</v>
      </c>
      <c r="G85" t="s">
        <v>1853</v>
      </c>
      <c r="I85" t="s">
        <v>1401</v>
      </c>
      <c r="J85" t="s">
        <v>27</v>
      </c>
    </row>
    <row r="86" spans="1:10">
      <c r="A86">
        <v>471</v>
      </c>
      <c r="B86" t="s">
        <v>3145</v>
      </c>
      <c r="C86" t="s">
        <v>1855</v>
      </c>
      <c r="D86" t="s">
        <v>117</v>
      </c>
      <c r="E86" t="s">
        <v>42</v>
      </c>
      <c r="F86" t="s">
        <v>126</v>
      </c>
      <c r="G86" t="s">
        <v>1856</v>
      </c>
      <c r="I86" t="s">
        <v>126</v>
      </c>
      <c r="J86" t="s">
        <v>27</v>
      </c>
    </row>
    <row r="87" spans="1:10">
      <c r="A87">
        <v>472</v>
      </c>
      <c r="B87" t="s">
        <v>718</v>
      </c>
      <c r="C87" t="s">
        <v>719</v>
      </c>
      <c r="D87" t="s">
        <v>113</v>
      </c>
      <c r="E87" t="s">
        <v>117</v>
      </c>
      <c r="F87" t="s">
        <v>42</v>
      </c>
      <c r="G87" t="s">
        <v>1704</v>
      </c>
      <c r="H87">
        <v>2</v>
      </c>
      <c r="I87" t="s">
        <v>720</v>
      </c>
      <c r="J87" t="s">
        <v>27</v>
      </c>
    </row>
    <row r="88" spans="1:10">
      <c r="A88">
        <v>479</v>
      </c>
      <c r="B88" t="s">
        <v>1302</v>
      </c>
      <c r="C88" t="s">
        <v>1303</v>
      </c>
      <c r="D88" t="s">
        <v>233</v>
      </c>
      <c r="E88" t="s">
        <v>959</v>
      </c>
      <c r="F88" t="s">
        <v>126</v>
      </c>
      <c r="G88" t="s">
        <v>1859</v>
      </c>
      <c r="I88" t="s">
        <v>126</v>
      </c>
      <c r="J88" t="s">
        <v>27</v>
      </c>
    </row>
    <row r="89" spans="1:10">
      <c r="A89">
        <v>480</v>
      </c>
      <c r="B89" t="s">
        <v>1148</v>
      </c>
      <c r="C89" t="s">
        <v>1149</v>
      </c>
      <c r="D89" t="s">
        <v>113</v>
      </c>
      <c r="E89" t="s">
        <v>139</v>
      </c>
      <c r="F89" t="s">
        <v>209</v>
      </c>
      <c r="G89" t="s">
        <v>1861</v>
      </c>
      <c r="H89">
        <v>1</v>
      </c>
      <c r="I89" t="s">
        <v>1150</v>
      </c>
      <c r="J89" t="s">
        <v>27</v>
      </c>
    </row>
    <row r="90" spans="1:10">
      <c r="A90">
        <v>483</v>
      </c>
      <c r="B90" t="s">
        <v>975</v>
      </c>
      <c r="C90" t="s">
        <v>976</v>
      </c>
      <c r="D90" t="s">
        <v>233</v>
      </c>
      <c r="E90" t="s">
        <v>154</v>
      </c>
      <c r="F90" t="s">
        <v>126</v>
      </c>
      <c r="G90" t="s">
        <v>1863</v>
      </c>
      <c r="I90" t="s">
        <v>126</v>
      </c>
      <c r="J90" t="s">
        <v>27</v>
      </c>
    </row>
    <row r="91" spans="1:10">
      <c r="A91">
        <v>488</v>
      </c>
      <c r="B91" t="s">
        <v>1375</v>
      </c>
      <c r="C91" t="s">
        <v>1376</v>
      </c>
      <c r="D91" t="s">
        <v>117</v>
      </c>
      <c r="E91" t="s">
        <v>42</v>
      </c>
      <c r="F91" t="s">
        <v>160</v>
      </c>
      <c r="G91" t="s">
        <v>1865</v>
      </c>
      <c r="H91">
        <v>2</v>
      </c>
      <c r="I91" t="s">
        <v>126</v>
      </c>
      <c r="J91" t="s">
        <v>27</v>
      </c>
    </row>
    <row r="92" spans="1:10">
      <c r="A92">
        <v>489</v>
      </c>
      <c r="B92" t="s">
        <v>3146</v>
      </c>
      <c r="C92" t="s">
        <v>1867</v>
      </c>
      <c r="D92" t="s">
        <v>44</v>
      </c>
      <c r="E92" t="s">
        <v>1081</v>
      </c>
      <c r="F92" t="s">
        <v>126</v>
      </c>
      <c r="G92" t="s">
        <v>1869</v>
      </c>
      <c r="I92" t="s">
        <v>1868</v>
      </c>
      <c r="J92" t="s">
        <v>27</v>
      </c>
    </row>
    <row r="93" spans="1:10">
      <c r="A93">
        <v>493</v>
      </c>
      <c r="B93" t="s">
        <v>1389</v>
      </c>
      <c r="C93" t="s">
        <v>1390</v>
      </c>
      <c r="D93" t="s">
        <v>113</v>
      </c>
      <c r="E93" t="s">
        <v>154</v>
      </c>
      <c r="F93" t="s">
        <v>511</v>
      </c>
      <c r="G93" t="s">
        <v>1871</v>
      </c>
      <c r="H93">
        <v>4</v>
      </c>
      <c r="I93" t="s">
        <v>1391</v>
      </c>
      <c r="J93" t="s">
        <v>27</v>
      </c>
    </row>
    <row r="94" spans="1:10">
      <c r="A94">
        <v>499</v>
      </c>
      <c r="B94" t="s">
        <v>3147</v>
      </c>
      <c r="C94" t="s">
        <v>1873</v>
      </c>
      <c r="D94" t="s">
        <v>113</v>
      </c>
      <c r="E94" t="s">
        <v>117</v>
      </c>
      <c r="F94" t="s">
        <v>136</v>
      </c>
      <c r="G94" t="s">
        <v>1875</v>
      </c>
      <c r="H94">
        <v>5</v>
      </c>
      <c r="I94" t="s">
        <v>1874</v>
      </c>
      <c r="J94" t="s">
        <v>27</v>
      </c>
    </row>
    <row r="95" spans="1:10">
      <c r="A95">
        <v>502</v>
      </c>
      <c r="B95" t="s">
        <v>584</v>
      </c>
      <c r="C95" t="s">
        <v>585</v>
      </c>
      <c r="D95" t="s">
        <v>113</v>
      </c>
      <c r="E95" t="s">
        <v>63</v>
      </c>
      <c r="F95" t="s">
        <v>172</v>
      </c>
      <c r="G95" t="s">
        <v>1877</v>
      </c>
      <c r="H95">
        <v>1</v>
      </c>
      <c r="I95" t="s">
        <v>586</v>
      </c>
      <c r="J95" t="s">
        <v>27</v>
      </c>
    </row>
    <row r="96" spans="1:10">
      <c r="A96">
        <v>514</v>
      </c>
      <c r="B96" t="s">
        <v>412</v>
      </c>
      <c r="C96" t="s">
        <v>413</v>
      </c>
      <c r="D96" t="s">
        <v>117</v>
      </c>
      <c r="E96" t="s">
        <v>42</v>
      </c>
      <c r="F96" t="s">
        <v>204</v>
      </c>
      <c r="G96" t="s">
        <v>1879</v>
      </c>
      <c r="I96" t="s">
        <v>414</v>
      </c>
      <c r="J96" t="s">
        <v>27</v>
      </c>
    </row>
    <row r="97" spans="1:10">
      <c r="A97">
        <v>517</v>
      </c>
      <c r="B97" t="s">
        <v>994</v>
      </c>
      <c r="C97" t="s">
        <v>995</v>
      </c>
      <c r="D97" t="s">
        <v>113</v>
      </c>
      <c r="E97" t="s">
        <v>63</v>
      </c>
      <c r="F97" t="s">
        <v>126</v>
      </c>
      <c r="G97" t="s">
        <v>1841</v>
      </c>
      <c r="I97" t="s">
        <v>996</v>
      </c>
      <c r="J97" t="s">
        <v>27</v>
      </c>
    </row>
    <row r="98" spans="1:10">
      <c r="A98">
        <v>527</v>
      </c>
      <c r="B98" t="s">
        <v>3148</v>
      </c>
      <c r="C98" t="s">
        <v>1882</v>
      </c>
      <c r="D98" t="s">
        <v>113</v>
      </c>
      <c r="E98" t="s">
        <v>117</v>
      </c>
      <c r="F98" t="s">
        <v>63</v>
      </c>
      <c r="G98" t="s">
        <v>1884</v>
      </c>
      <c r="H98">
        <v>2</v>
      </c>
      <c r="I98" t="s">
        <v>1883</v>
      </c>
      <c r="J98" t="s">
        <v>27</v>
      </c>
    </row>
    <row r="99" spans="1:10">
      <c r="A99">
        <v>546</v>
      </c>
      <c r="B99" t="s">
        <v>752</v>
      </c>
      <c r="C99" t="s">
        <v>753</v>
      </c>
      <c r="D99" t="s">
        <v>113</v>
      </c>
      <c r="E99" t="s">
        <v>42</v>
      </c>
      <c r="F99" t="s">
        <v>256</v>
      </c>
      <c r="G99" t="s">
        <v>1886</v>
      </c>
      <c r="I99" t="s">
        <v>754</v>
      </c>
      <c r="J99" t="s">
        <v>27</v>
      </c>
    </row>
    <row r="100" spans="1:10">
      <c r="A100">
        <v>548</v>
      </c>
      <c r="B100" t="s">
        <v>3149</v>
      </c>
      <c r="C100" t="s">
        <v>1888</v>
      </c>
      <c r="D100" t="s">
        <v>113</v>
      </c>
      <c r="E100" t="s">
        <v>139</v>
      </c>
      <c r="F100" t="s">
        <v>213</v>
      </c>
      <c r="G100" t="s">
        <v>1890</v>
      </c>
      <c r="I100" t="s">
        <v>1889</v>
      </c>
      <c r="J100" t="s">
        <v>27</v>
      </c>
    </row>
    <row r="101" spans="1:10">
      <c r="A101">
        <v>552</v>
      </c>
      <c r="B101" t="s">
        <v>513</v>
      </c>
      <c r="C101" t="s">
        <v>514</v>
      </c>
      <c r="D101" t="s">
        <v>42</v>
      </c>
      <c r="E101" t="s">
        <v>126</v>
      </c>
      <c r="F101" t="s">
        <v>126</v>
      </c>
      <c r="G101" t="s">
        <v>1670</v>
      </c>
      <c r="I101" t="s">
        <v>515</v>
      </c>
      <c r="J101" t="s">
        <v>27</v>
      </c>
    </row>
    <row r="102" spans="1:10">
      <c r="A102">
        <v>564</v>
      </c>
      <c r="B102" t="s">
        <v>1392</v>
      </c>
      <c r="C102" t="s">
        <v>1393</v>
      </c>
      <c r="D102" t="s">
        <v>233</v>
      </c>
      <c r="E102" t="s">
        <v>117</v>
      </c>
      <c r="F102" t="s">
        <v>126</v>
      </c>
      <c r="G102" t="s">
        <v>1871</v>
      </c>
      <c r="I102" t="s">
        <v>1394</v>
      </c>
    </row>
    <row r="103" spans="1:10">
      <c r="A103">
        <v>568</v>
      </c>
      <c r="B103" t="s">
        <v>3150</v>
      </c>
      <c r="C103" t="s">
        <v>1894</v>
      </c>
      <c r="D103" t="s">
        <v>113</v>
      </c>
      <c r="E103" t="s">
        <v>42</v>
      </c>
      <c r="F103" t="s">
        <v>65</v>
      </c>
      <c r="G103" t="s">
        <v>1896</v>
      </c>
      <c r="I103" t="s">
        <v>1895</v>
      </c>
    </row>
    <row r="104" spans="1:10">
      <c r="A104">
        <v>569</v>
      </c>
      <c r="B104" t="s">
        <v>3151</v>
      </c>
      <c r="C104" t="s">
        <v>1898</v>
      </c>
      <c r="D104" t="s">
        <v>125</v>
      </c>
      <c r="E104" t="s">
        <v>126</v>
      </c>
      <c r="F104" t="s">
        <v>126</v>
      </c>
      <c r="G104" t="s">
        <v>1900</v>
      </c>
      <c r="I104" t="s">
        <v>1899</v>
      </c>
    </row>
    <row r="105" spans="1:10">
      <c r="A105">
        <v>571</v>
      </c>
      <c r="B105" t="s">
        <v>3152</v>
      </c>
      <c r="C105" t="s">
        <v>1902</v>
      </c>
      <c r="D105" t="s">
        <v>125</v>
      </c>
      <c r="E105" t="s">
        <v>126</v>
      </c>
      <c r="F105" t="s">
        <v>126</v>
      </c>
      <c r="G105" t="s">
        <v>1903</v>
      </c>
      <c r="I105" t="s">
        <v>126</v>
      </c>
    </row>
    <row r="106" spans="1:10">
      <c r="A106">
        <v>579</v>
      </c>
      <c r="B106" t="s">
        <v>3153</v>
      </c>
      <c r="C106" t="s">
        <v>1905</v>
      </c>
      <c r="D106" t="s">
        <v>125</v>
      </c>
      <c r="E106" t="s">
        <v>126</v>
      </c>
      <c r="F106" t="s">
        <v>126</v>
      </c>
      <c r="G106" t="s">
        <v>1886</v>
      </c>
      <c r="I106" t="s">
        <v>1906</v>
      </c>
    </row>
    <row r="107" spans="1:10">
      <c r="A107">
        <v>587</v>
      </c>
      <c r="B107" t="s">
        <v>622</v>
      </c>
      <c r="C107" t="s">
        <v>623</v>
      </c>
      <c r="D107" t="s">
        <v>113</v>
      </c>
      <c r="E107" t="s">
        <v>233</v>
      </c>
      <c r="F107" t="s">
        <v>624</v>
      </c>
      <c r="G107" t="s">
        <v>1908</v>
      </c>
      <c r="I107" t="s">
        <v>625</v>
      </c>
    </row>
    <row r="108" spans="1:10">
      <c r="A108">
        <v>588</v>
      </c>
      <c r="B108" t="s">
        <v>3154</v>
      </c>
      <c r="C108" t="s">
        <v>1910</v>
      </c>
      <c r="D108" t="s">
        <v>139</v>
      </c>
      <c r="E108" t="s">
        <v>117</v>
      </c>
      <c r="F108" t="s">
        <v>155</v>
      </c>
      <c r="G108" t="s">
        <v>1912</v>
      </c>
      <c r="H108">
        <v>2</v>
      </c>
      <c r="I108" t="s">
        <v>1911</v>
      </c>
    </row>
    <row r="109" spans="1:10">
      <c r="A109">
        <v>591</v>
      </c>
      <c r="B109" t="s">
        <v>1134</v>
      </c>
      <c r="C109" t="s">
        <v>1135</v>
      </c>
      <c r="D109" t="s">
        <v>117</v>
      </c>
      <c r="E109" t="s">
        <v>160</v>
      </c>
      <c r="F109" t="s">
        <v>126</v>
      </c>
      <c r="G109" t="s">
        <v>1914</v>
      </c>
      <c r="I109" t="s">
        <v>1136</v>
      </c>
    </row>
    <row r="110" spans="1:10">
      <c r="A110">
        <v>600</v>
      </c>
      <c r="B110" t="s">
        <v>1087</v>
      </c>
      <c r="C110" t="s">
        <v>1088</v>
      </c>
      <c r="D110" t="s">
        <v>42</v>
      </c>
      <c r="E110" t="s">
        <v>126</v>
      </c>
      <c r="F110" t="s">
        <v>126</v>
      </c>
      <c r="G110" t="s">
        <v>1916</v>
      </c>
      <c r="I110" t="s">
        <v>1089</v>
      </c>
    </row>
    <row r="111" spans="1:10">
      <c r="A111">
        <v>601</v>
      </c>
      <c r="B111" t="s">
        <v>712</v>
      </c>
      <c r="C111" t="s">
        <v>713</v>
      </c>
      <c r="D111" t="s">
        <v>125</v>
      </c>
      <c r="E111" t="s">
        <v>126</v>
      </c>
      <c r="F111" t="s">
        <v>126</v>
      </c>
      <c r="G111" t="s">
        <v>1918</v>
      </c>
      <c r="I111" t="s">
        <v>714</v>
      </c>
    </row>
    <row r="112" spans="1:10">
      <c r="A112">
        <v>615</v>
      </c>
      <c r="B112" t="s">
        <v>3155</v>
      </c>
      <c r="C112" t="s">
        <v>1920</v>
      </c>
      <c r="D112" t="s">
        <v>125</v>
      </c>
      <c r="E112" t="s">
        <v>126</v>
      </c>
      <c r="F112" t="s">
        <v>126</v>
      </c>
      <c r="G112" t="s">
        <v>1922</v>
      </c>
      <c r="I112" t="s">
        <v>1921</v>
      </c>
    </row>
    <row r="113" spans="1:9">
      <c r="A113">
        <v>618</v>
      </c>
      <c r="B113" t="s">
        <v>3156</v>
      </c>
      <c r="C113" t="s">
        <v>1924</v>
      </c>
      <c r="D113" t="s">
        <v>125</v>
      </c>
      <c r="E113" t="s">
        <v>126</v>
      </c>
      <c r="F113" t="s">
        <v>126</v>
      </c>
      <c r="G113" t="s">
        <v>1678</v>
      </c>
      <c r="I113" t="s">
        <v>1925</v>
      </c>
    </row>
    <row r="114" spans="1:9">
      <c r="A114">
        <v>629</v>
      </c>
      <c r="B114" t="s">
        <v>723</v>
      </c>
      <c r="C114" t="s">
        <v>724</v>
      </c>
      <c r="D114" t="s">
        <v>42</v>
      </c>
      <c r="E114" t="s">
        <v>126</v>
      </c>
      <c r="F114" t="s">
        <v>126</v>
      </c>
      <c r="G114" t="s">
        <v>1927</v>
      </c>
      <c r="I114" t="s">
        <v>725</v>
      </c>
    </row>
    <row r="115" spans="1:9">
      <c r="A115">
        <v>630</v>
      </c>
      <c r="B115" t="s">
        <v>1064</v>
      </c>
      <c r="C115" t="s">
        <v>1065</v>
      </c>
      <c r="D115" t="s">
        <v>113</v>
      </c>
      <c r="E115" t="s">
        <v>63</v>
      </c>
      <c r="F115" t="s">
        <v>172</v>
      </c>
      <c r="G115" t="s">
        <v>1929</v>
      </c>
      <c r="H115">
        <v>1</v>
      </c>
      <c r="I115" t="s">
        <v>1066</v>
      </c>
    </row>
    <row r="116" spans="1:9">
      <c r="A116">
        <v>631</v>
      </c>
      <c r="B116" t="s">
        <v>3157</v>
      </c>
      <c r="C116" t="s">
        <v>1931</v>
      </c>
      <c r="D116" t="s">
        <v>113</v>
      </c>
      <c r="E116" t="s">
        <v>121</v>
      </c>
      <c r="F116" t="s">
        <v>155</v>
      </c>
      <c r="G116" t="s">
        <v>1721</v>
      </c>
      <c r="H116">
        <v>2</v>
      </c>
      <c r="I116" t="s">
        <v>1932</v>
      </c>
    </row>
    <row r="117" spans="1:9">
      <c r="A117">
        <v>632</v>
      </c>
      <c r="B117" t="s">
        <v>197</v>
      </c>
      <c r="C117" t="s">
        <v>198</v>
      </c>
      <c r="D117" t="s">
        <v>113</v>
      </c>
      <c r="E117" t="s">
        <v>139</v>
      </c>
      <c r="F117" t="s">
        <v>63</v>
      </c>
      <c r="G117" t="s">
        <v>1934</v>
      </c>
      <c r="H117">
        <v>3</v>
      </c>
      <c r="I117" t="s">
        <v>199</v>
      </c>
    </row>
    <row r="118" spans="1:9">
      <c r="A118">
        <v>639</v>
      </c>
      <c r="B118" t="s">
        <v>1402</v>
      </c>
      <c r="C118" t="s">
        <v>1403</v>
      </c>
      <c r="D118" t="s">
        <v>117</v>
      </c>
      <c r="E118" t="s">
        <v>42</v>
      </c>
      <c r="F118" t="s">
        <v>126</v>
      </c>
      <c r="G118" t="s">
        <v>1936</v>
      </c>
      <c r="I118" t="s">
        <v>1404</v>
      </c>
    </row>
    <row r="119" spans="1:9">
      <c r="A119">
        <v>642</v>
      </c>
      <c r="B119" t="s">
        <v>3158</v>
      </c>
      <c r="C119" t="s">
        <v>1938</v>
      </c>
      <c r="D119" t="s">
        <v>117</v>
      </c>
      <c r="E119" t="s">
        <v>136</v>
      </c>
      <c r="F119" t="s">
        <v>155</v>
      </c>
      <c r="G119" t="s">
        <v>1940</v>
      </c>
      <c r="H119">
        <v>4</v>
      </c>
      <c r="I119" t="s">
        <v>1939</v>
      </c>
    </row>
    <row r="120" spans="1:9">
      <c r="A120">
        <v>644</v>
      </c>
      <c r="B120" t="s">
        <v>3159</v>
      </c>
      <c r="C120" t="s">
        <v>1942</v>
      </c>
      <c r="D120" t="s">
        <v>113</v>
      </c>
      <c r="E120" t="s">
        <v>154</v>
      </c>
      <c r="F120" t="s">
        <v>213</v>
      </c>
      <c r="G120" t="s">
        <v>1806</v>
      </c>
      <c r="I120" t="s">
        <v>1943</v>
      </c>
    </row>
    <row r="121" spans="1:9">
      <c r="A121">
        <v>656</v>
      </c>
      <c r="B121" t="s">
        <v>3160</v>
      </c>
      <c r="C121" t="s">
        <v>1945</v>
      </c>
      <c r="D121" t="s">
        <v>113</v>
      </c>
      <c r="E121" t="s">
        <v>42</v>
      </c>
      <c r="F121" t="s">
        <v>126</v>
      </c>
      <c r="G121" t="s">
        <v>1947</v>
      </c>
      <c r="I121" t="s">
        <v>1946</v>
      </c>
    </row>
    <row r="122" spans="1:9">
      <c r="A122">
        <v>660</v>
      </c>
      <c r="B122" t="s">
        <v>3161</v>
      </c>
      <c r="C122" t="s">
        <v>1949</v>
      </c>
      <c r="D122" t="s">
        <v>233</v>
      </c>
      <c r="E122" t="s">
        <v>126</v>
      </c>
      <c r="F122" t="s">
        <v>126</v>
      </c>
      <c r="G122" t="s">
        <v>1951</v>
      </c>
      <c r="I122" t="s">
        <v>1950</v>
      </c>
    </row>
    <row r="123" spans="1:9">
      <c r="A123">
        <v>664</v>
      </c>
      <c r="B123" t="s">
        <v>359</v>
      </c>
      <c r="C123" t="s">
        <v>360</v>
      </c>
      <c r="D123" t="s">
        <v>117</v>
      </c>
      <c r="E123" t="s">
        <v>42</v>
      </c>
      <c r="F123" t="s">
        <v>126</v>
      </c>
      <c r="G123" t="s">
        <v>1953</v>
      </c>
      <c r="I123" t="s">
        <v>361</v>
      </c>
    </row>
    <row r="124" spans="1:9">
      <c r="A124">
        <v>668</v>
      </c>
      <c r="B124" t="s">
        <v>603</v>
      </c>
      <c r="C124" t="s">
        <v>604</v>
      </c>
      <c r="D124" t="s">
        <v>233</v>
      </c>
      <c r="E124" t="s">
        <v>154</v>
      </c>
      <c r="F124" t="s">
        <v>126</v>
      </c>
      <c r="G124" t="s">
        <v>1955</v>
      </c>
      <c r="I124" t="s">
        <v>605</v>
      </c>
    </row>
    <row r="125" spans="1:9">
      <c r="A125">
        <v>675</v>
      </c>
      <c r="B125" t="s">
        <v>1281</v>
      </c>
      <c r="C125" t="s">
        <v>1282</v>
      </c>
      <c r="D125" t="s">
        <v>113</v>
      </c>
      <c r="E125" t="s">
        <v>176</v>
      </c>
      <c r="F125" t="s">
        <v>204</v>
      </c>
      <c r="G125" t="s">
        <v>1957</v>
      </c>
      <c r="I125" t="s">
        <v>1283</v>
      </c>
    </row>
    <row r="126" spans="1:9">
      <c r="A126">
        <v>679</v>
      </c>
      <c r="B126" t="s">
        <v>697</v>
      </c>
      <c r="C126" t="s">
        <v>698</v>
      </c>
      <c r="D126" t="s">
        <v>113</v>
      </c>
      <c r="E126" t="s">
        <v>233</v>
      </c>
      <c r="F126" t="s">
        <v>44</v>
      </c>
      <c r="G126" t="s">
        <v>1959</v>
      </c>
      <c r="I126" t="s">
        <v>699</v>
      </c>
    </row>
    <row r="127" spans="1:9">
      <c r="A127">
        <v>683</v>
      </c>
      <c r="B127" t="s">
        <v>3162</v>
      </c>
      <c r="C127" t="s">
        <v>1961</v>
      </c>
      <c r="D127" t="s">
        <v>113</v>
      </c>
      <c r="E127" t="s">
        <v>300</v>
      </c>
      <c r="F127" t="s">
        <v>156</v>
      </c>
      <c r="G127" t="s">
        <v>1806</v>
      </c>
      <c r="H127">
        <v>5</v>
      </c>
      <c r="I127" t="s">
        <v>1962</v>
      </c>
    </row>
    <row r="128" spans="1:9">
      <c r="A128">
        <v>685</v>
      </c>
      <c r="B128" t="s">
        <v>1289</v>
      </c>
      <c r="C128" t="s">
        <v>1290</v>
      </c>
      <c r="D128" t="s">
        <v>136</v>
      </c>
      <c r="E128" t="s">
        <v>176</v>
      </c>
      <c r="F128" t="s">
        <v>204</v>
      </c>
      <c r="G128" t="s">
        <v>1714</v>
      </c>
      <c r="I128" t="s">
        <v>1291</v>
      </c>
    </row>
    <row r="129" spans="1:9">
      <c r="A129">
        <v>689</v>
      </c>
      <c r="B129" t="s">
        <v>397</v>
      </c>
      <c r="C129" t="s">
        <v>398</v>
      </c>
      <c r="D129" t="s">
        <v>113</v>
      </c>
      <c r="E129" t="s">
        <v>42</v>
      </c>
      <c r="F129" t="s">
        <v>126</v>
      </c>
      <c r="G129" t="s">
        <v>1777</v>
      </c>
      <c r="I129" t="s">
        <v>399</v>
      </c>
    </row>
    <row r="130" spans="1:9">
      <c r="A130">
        <v>691</v>
      </c>
      <c r="B130" t="s">
        <v>689</v>
      </c>
      <c r="C130" t="s">
        <v>690</v>
      </c>
      <c r="D130" t="s">
        <v>113</v>
      </c>
      <c r="E130" t="s">
        <v>139</v>
      </c>
      <c r="F130" t="s">
        <v>117</v>
      </c>
      <c r="G130" t="s">
        <v>1966</v>
      </c>
      <c r="H130">
        <v>5</v>
      </c>
      <c r="I130" t="s">
        <v>691</v>
      </c>
    </row>
    <row r="131" spans="1:9">
      <c r="A131">
        <v>699</v>
      </c>
      <c r="B131" t="s">
        <v>837</v>
      </c>
      <c r="C131" t="s">
        <v>838</v>
      </c>
      <c r="D131" t="s">
        <v>113</v>
      </c>
      <c r="E131" t="s">
        <v>156</v>
      </c>
      <c r="F131" t="s">
        <v>86</v>
      </c>
      <c r="G131" t="s">
        <v>1729</v>
      </c>
      <c r="I131" t="s">
        <v>839</v>
      </c>
    </row>
    <row r="132" spans="1:9">
      <c r="A132">
        <v>710</v>
      </c>
      <c r="B132" t="s">
        <v>1320</v>
      </c>
      <c r="C132" t="s">
        <v>1321</v>
      </c>
      <c r="D132" t="s">
        <v>113</v>
      </c>
      <c r="E132" t="s">
        <v>139</v>
      </c>
      <c r="F132" t="s">
        <v>233</v>
      </c>
      <c r="G132" t="s">
        <v>1969</v>
      </c>
      <c r="H132">
        <v>3</v>
      </c>
      <c r="I132" t="s">
        <v>126</v>
      </c>
    </row>
    <row r="133" spans="1:9">
      <c r="A133">
        <v>711</v>
      </c>
      <c r="B133" t="s">
        <v>3163</v>
      </c>
      <c r="C133" t="s">
        <v>1971</v>
      </c>
      <c r="D133" t="s">
        <v>139</v>
      </c>
      <c r="E133" t="s">
        <v>136</v>
      </c>
      <c r="F133" t="s">
        <v>217</v>
      </c>
      <c r="G133" t="s">
        <v>1973</v>
      </c>
      <c r="I133" t="s">
        <v>1972</v>
      </c>
    </row>
    <row r="134" spans="1:9">
      <c r="A134">
        <v>715</v>
      </c>
      <c r="B134" t="s">
        <v>914</v>
      </c>
      <c r="C134" t="s">
        <v>915</v>
      </c>
      <c r="D134" t="s">
        <v>155</v>
      </c>
      <c r="E134" t="s">
        <v>156</v>
      </c>
      <c r="F134" t="s">
        <v>86</v>
      </c>
      <c r="G134" t="s">
        <v>1721</v>
      </c>
      <c r="I134" t="s">
        <v>916</v>
      </c>
    </row>
    <row r="135" spans="1:9">
      <c r="A135">
        <v>716</v>
      </c>
      <c r="B135" t="s">
        <v>3164</v>
      </c>
      <c r="C135" t="s">
        <v>1976</v>
      </c>
      <c r="D135" t="s">
        <v>43</v>
      </c>
      <c r="E135" t="s">
        <v>160</v>
      </c>
      <c r="F135" t="s">
        <v>155</v>
      </c>
      <c r="G135" t="s">
        <v>1978</v>
      </c>
      <c r="H135">
        <v>2</v>
      </c>
      <c r="I135" t="s">
        <v>1977</v>
      </c>
    </row>
    <row r="136" spans="1:9">
      <c r="A136">
        <v>719</v>
      </c>
      <c r="B136" t="s">
        <v>843</v>
      </c>
      <c r="C136" t="s">
        <v>844</v>
      </c>
      <c r="D136" t="s">
        <v>113</v>
      </c>
      <c r="E136" t="s">
        <v>272</v>
      </c>
      <c r="F136" t="s">
        <v>154</v>
      </c>
      <c r="G136" t="s">
        <v>1980</v>
      </c>
      <c r="H136">
        <v>1</v>
      </c>
      <c r="I136" t="s">
        <v>845</v>
      </c>
    </row>
    <row r="137" spans="1:9">
      <c r="A137">
        <v>726</v>
      </c>
      <c r="B137" t="s">
        <v>251</v>
      </c>
      <c r="C137" t="s">
        <v>252</v>
      </c>
      <c r="D137" t="s">
        <v>139</v>
      </c>
      <c r="E137" t="s">
        <v>117</v>
      </c>
      <c r="F137" t="s">
        <v>160</v>
      </c>
      <c r="G137" t="s">
        <v>1982</v>
      </c>
      <c r="H137">
        <v>1</v>
      </c>
      <c r="I137" t="s">
        <v>253</v>
      </c>
    </row>
    <row r="138" spans="1:9">
      <c r="A138">
        <v>727</v>
      </c>
      <c r="B138" t="s">
        <v>3165</v>
      </c>
      <c r="C138" t="s">
        <v>1984</v>
      </c>
      <c r="D138" t="s">
        <v>117</v>
      </c>
      <c r="E138" t="s">
        <v>42</v>
      </c>
      <c r="F138" t="s">
        <v>209</v>
      </c>
      <c r="G138" t="s">
        <v>1986</v>
      </c>
      <c r="I138" t="s">
        <v>1985</v>
      </c>
    </row>
    <row r="139" spans="1:9">
      <c r="A139">
        <v>730</v>
      </c>
      <c r="B139" t="s">
        <v>816</v>
      </c>
      <c r="C139" t="s">
        <v>817</v>
      </c>
      <c r="D139" t="s">
        <v>117</v>
      </c>
      <c r="E139" t="s">
        <v>42</v>
      </c>
      <c r="F139" t="s">
        <v>126</v>
      </c>
      <c r="G139" t="s">
        <v>1988</v>
      </c>
      <c r="I139" t="s">
        <v>818</v>
      </c>
    </row>
    <row r="140" spans="1:9">
      <c r="A140">
        <v>732</v>
      </c>
      <c r="B140" t="s">
        <v>152</v>
      </c>
      <c r="C140" t="s">
        <v>153</v>
      </c>
      <c r="D140" t="s">
        <v>154</v>
      </c>
      <c r="E140" t="s">
        <v>155</v>
      </c>
      <c r="F140" t="s">
        <v>156</v>
      </c>
      <c r="G140" t="s">
        <v>1990</v>
      </c>
      <c r="H140">
        <v>2</v>
      </c>
      <c r="I140" t="s">
        <v>157</v>
      </c>
    </row>
    <row r="141" spans="1:9">
      <c r="A141">
        <v>736</v>
      </c>
      <c r="B141" t="s">
        <v>611</v>
      </c>
      <c r="C141" t="s">
        <v>612</v>
      </c>
      <c r="D141" t="s">
        <v>139</v>
      </c>
      <c r="E141" t="s">
        <v>117</v>
      </c>
      <c r="F141" t="s">
        <v>160</v>
      </c>
      <c r="G141" t="s">
        <v>1992</v>
      </c>
      <c r="H141">
        <v>1</v>
      </c>
      <c r="I141" t="s">
        <v>613</v>
      </c>
    </row>
    <row r="142" spans="1:9">
      <c r="A142">
        <v>741</v>
      </c>
      <c r="B142" t="s">
        <v>1182</v>
      </c>
      <c r="C142" t="s">
        <v>1183</v>
      </c>
      <c r="D142" t="s">
        <v>113</v>
      </c>
      <c r="E142" t="s">
        <v>42</v>
      </c>
      <c r="F142" t="s">
        <v>65</v>
      </c>
      <c r="G142" t="s">
        <v>1994</v>
      </c>
      <c r="I142" t="s">
        <v>1184</v>
      </c>
    </row>
    <row r="143" spans="1:9">
      <c r="A143">
        <v>745</v>
      </c>
      <c r="B143" t="s">
        <v>1028</v>
      </c>
      <c r="C143" t="s">
        <v>1029</v>
      </c>
      <c r="D143" t="s">
        <v>113</v>
      </c>
      <c r="E143" t="s">
        <v>139</v>
      </c>
      <c r="F143" t="s">
        <v>117</v>
      </c>
      <c r="G143" t="s">
        <v>1996</v>
      </c>
      <c r="H143">
        <v>2</v>
      </c>
      <c r="I143" t="s">
        <v>1030</v>
      </c>
    </row>
    <row r="144" spans="1:9">
      <c r="A144">
        <v>749</v>
      </c>
      <c r="B144" t="s">
        <v>630</v>
      </c>
      <c r="C144" t="s">
        <v>631</v>
      </c>
      <c r="D144" t="s">
        <v>113</v>
      </c>
      <c r="E144" t="s">
        <v>136</v>
      </c>
      <c r="F144" t="s">
        <v>217</v>
      </c>
      <c r="G144" t="s">
        <v>1998</v>
      </c>
      <c r="I144" t="s">
        <v>632</v>
      </c>
    </row>
    <row r="145" spans="1:9">
      <c r="A145">
        <v>753</v>
      </c>
      <c r="B145" t="s">
        <v>455</v>
      </c>
      <c r="C145" t="s">
        <v>456</v>
      </c>
      <c r="D145" t="s">
        <v>136</v>
      </c>
      <c r="E145" t="s">
        <v>121</v>
      </c>
      <c r="F145" t="s">
        <v>229</v>
      </c>
      <c r="G145" t="s">
        <v>2000</v>
      </c>
      <c r="I145" t="s">
        <v>457</v>
      </c>
    </row>
    <row r="146" spans="1:9">
      <c r="A146">
        <v>757</v>
      </c>
      <c r="B146" t="s">
        <v>870</v>
      </c>
      <c r="C146" t="s">
        <v>871</v>
      </c>
      <c r="D146" t="s">
        <v>113</v>
      </c>
      <c r="E146" t="s">
        <v>63</v>
      </c>
      <c r="F146" t="s">
        <v>172</v>
      </c>
      <c r="G146" t="s">
        <v>2002</v>
      </c>
      <c r="I146" t="s">
        <v>872</v>
      </c>
    </row>
    <row r="147" spans="1:9">
      <c r="A147">
        <v>759</v>
      </c>
      <c r="B147" t="s">
        <v>3166</v>
      </c>
      <c r="C147" t="s">
        <v>2004</v>
      </c>
      <c r="D147" t="s">
        <v>113</v>
      </c>
      <c r="E147" t="s">
        <v>172</v>
      </c>
      <c r="F147" t="s">
        <v>184</v>
      </c>
      <c r="G147" t="s">
        <v>2006</v>
      </c>
      <c r="I147" t="s">
        <v>2005</v>
      </c>
    </row>
    <row r="148" spans="1:9">
      <c r="A148">
        <v>761</v>
      </c>
      <c r="B148" t="s">
        <v>295</v>
      </c>
      <c r="C148" t="s">
        <v>296</v>
      </c>
      <c r="D148" t="s">
        <v>117</v>
      </c>
      <c r="E148" t="s">
        <v>84</v>
      </c>
      <c r="F148" t="s">
        <v>126</v>
      </c>
      <c r="G148" t="s">
        <v>2008</v>
      </c>
      <c r="I148" t="s">
        <v>297</v>
      </c>
    </row>
    <row r="149" spans="1:9">
      <c r="A149">
        <v>765</v>
      </c>
      <c r="B149" t="s">
        <v>430</v>
      </c>
      <c r="C149" t="s">
        <v>431</v>
      </c>
      <c r="D149" t="s">
        <v>63</v>
      </c>
      <c r="E149" t="s">
        <v>136</v>
      </c>
      <c r="F149" t="s">
        <v>217</v>
      </c>
      <c r="G149" t="s">
        <v>2010</v>
      </c>
      <c r="I149" t="s">
        <v>432</v>
      </c>
    </row>
    <row r="150" spans="1:9">
      <c r="A150">
        <v>768</v>
      </c>
      <c r="B150" t="s">
        <v>563</v>
      </c>
      <c r="C150" t="s">
        <v>564</v>
      </c>
      <c r="D150" t="s">
        <v>113</v>
      </c>
      <c r="E150" t="s">
        <v>160</v>
      </c>
      <c r="F150" t="s">
        <v>63</v>
      </c>
      <c r="G150" t="s">
        <v>2012</v>
      </c>
      <c r="H150">
        <v>2</v>
      </c>
      <c r="I150" t="s">
        <v>565</v>
      </c>
    </row>
    <row r="151" spans="1:9">
      <c r="A151">
        <v>770</v>
      </c>
      <c r="B151" t="s">
        <v>532</v>
      </c>
      <c r="C151" t="s">
        <v>533</v>
      </c>
      <c r="D151" t="s">
        <v>139</v>
      </c>
      <c r="E151" t="s">
        <v>233</v>
      </c>
      <c r="F151" t="s">
        <v>117</v>
      </c>
      <c r="G151" t="s">
        <v>2014</v>
      </c>
      <c r="H151">
        <v>2</v>
      </c>
      <c r="I151" t="s">
        <v>534</v>
      </c>
    </row>
    <row r="152" spans="1:9">
      <c r="A152">
        <v>772</v>
      </c>
      <c r="B152" t="s">
        <v>3167</v>
      </c>
      <c r="C152" t="s">
        <v>2016</v>
      </c>
      <c r="D152" t="s">
        <v>233</v>
      </c>
      <c r="E152" t="s">
        <v>117</v>
      </c>
      <c r="F152" t="s">
        <v>160</v>
      </c>
      <c r="G152" t="s">
        <v>2018</v>
      </c>
      <c r="H152">
        <v>1</v>
      </c>
      <c r="I152" t="s">
        <v>2017</v>
      </c>
    </row>
    <row r="153" spans="1:9">
      <c r="A153">
        <v>773</v>
      </c>
      <c r="B153" t="s">
        <v>145</v>
      </c>
      <c r="C153" t="s">
        <v>146</v>
      </c>
      <c r="D153" t="s">
        <v>113</v>
      </c>
      <c r="E153" t="s">
        <v>42</v>
      </c>
      <c r="F153" t="s">
        <v>147</v>
      </c>
      <c r="G153" t="s">
        <v>2020</v>
      </c>
      <c r="I153" t="s">
        <v>148</v>
      </c>
    </row>
    <row r="154" spans="1:9">
      <c r="A154">
        <v>774</v>
      </c>
      <c r="B154" t="s">
        <v>3168</v>
      </c>
      <c r="C154" t="s">
        <v>2022</v>
      </c>
      <c r="D154" t="s">
        <v>113</v>
      </c>
      <c r="E154" t="s">
        <v>154</v>
      </c>
      <c r="F154" t="s">
        <v>126</v>
      </c>
      <c r="G154" t="s">
        <v>1700</v>
      </c>
      <c r="I154" t="s">
        <v>2023</v>
      </c>
    </row>
    <row r="155" spans="1:9">
      <c r="A155">
        <v>778</v>
      </c>
      <c r="B155" t="s">
        <v>320</v>
      </c>
      <c r="C155" t="s">
        <v>321</v>
      </c>
      <c r="D155" t="s">
        <v>113</v>
      </c>
      <c r="E155" t="s">
        <v>154</v>
      </c>
      <c r="F155" t="s">
        <v>136</v>
      </c>
      <c r="G155" t="s">
        <v>2025</v>
      </c>
      <c r="H155">
        <v>4</v>
      </c>
      <c r="I155" t="s">
        <v>322</v>
      </c>
    </row>
    <row r="156" spans="1:9">
      <c r="A156">
        <v>780</v>
      </c>
      <c r="B156" t="s">
        <v>1326</v>
      </c>
      <c r="C156" t="s">
        <v>1327</v>
      </c>
      <c r="D156" t="s">
        <v>233</v>
      </c>
      <c r="E156" t="s">
        <v>126</v>
      </c>
      <c r="F156" t="s">
        <v>126</v>
      </c>
      <c r="G156" t="s">
        <v>2027</v>
      </c>
      <c r="I156" t="s">
        <v>1328</v>
      </c>
    </row>
    <row r="157" spans="1:9">
      <c r="A157">
        <v>782</v>
      </c>
      <c r="B157" t="s">
        <v>668</v>
      </c>
      <c r="C157" t="s">
        <v>669</v>
      </c>
      <c r="D157" t="s">
        <v>113</v>
      </c>
      <c r="E157" t="s">
        <v>233</v>
      </c>
      <c r="F157" t="s">
        <v>82</v>
      </c>
      <c r="G157" t="s">
        <v>2029</v>
      </c>
      <c r="H157">
        <v>1</v>
      </c>
      <c r="I157" t="s">
        <v>670</v>
      </c>
    </row>
    <row r="158" spans="1:9">
      <c r="A158">
        <v>793</v>
      </c>
      <c r="B158" t="s">
        <v>848</v>
      </c>
      <c r="C158" t="s">
        <v>849</v>
      </c>
      <c r="D158" t="s">
        <v>233</v>
      </c>
      <c r="E158" t="s">
        <v>154</v>
      </c>
      <c r="F158" t="s">
        <v>126</v>
      </c>
      <c r="G158" t="s">
        <v>2031</v>
      </c>
      <c r="I158" t="s">
        <v>850</v>
      </c>
    </row>
    <row r="159" spans="1:9">
      <c r="A159">
        <v>798</v>
      </c>
      <c r="B159" t="s">
        <v>636</v>
      </c>
      <c r="C159" t="s">
        <v>637</v>
      </c>
      <c r="D159" t="s">
        <v>113</v>
      </c>
      <c r="E159" t="s">
        <v>213</v>
      </c>
      <c r="F159" t="s">
        <v>126</v>
      </c>
      <c r="G159" t="s">
        <v>2018</v>
      </c>
      <c r="I159" t="s">
        <v>638</v>
      </c>
    </row>
    <row r="160" spans="1:9">
      <c r="A160">
        <v>801</v>
      </c>
      <c r="B160" t="s">
        <v>1058</v>
      </c>
      <c r="C160" t="s">
        <v>1059</v>
      </c>
      <c r="D160" t="s">
        <v>113</v>
      </c>
      <c r="E160" t="s">
        <v>42</v>
      </c>
      <c r="F160" t="s">
        <v>126</v>
      </c>
      <c r="G160" t="s">
        <v>1680</v>
      </c>
      <c r="I160" t="s">
        <v>1060</v>
      </c>
    </row>
    <row r="161" spans="1:9">
      <c r="A161">
        <v>803</v>
      </c>
      <c r="B161" t="s">
        <v>1272</v>
      </c>
      <c r="C161" t="s">
        <v>1273</v>
      </c>
      <c r="D161" t="s">
        <v>113</v>
      </c>
      <c r="E161" t="s">
        <v>180</v>
      </c>
      <c r="F161" t="s">
        <v>65</v>
      </c>
      <c r="G161" t="s">
        <v>2035</v>
      </c>
      <c r="I161" t="s">
        <v>1274</v>
      </c>
    </row>
    <row r="162" spans="1:9">
      <c r="A162">
        <v>805</v>
      </c>
      <c r="B162" t="s">
        <v>1520</v>
      </c>
      <c r="C162" t="s">
        <v>1521</v>
      </c>
      <c r="D162" t="s">
        <v>113</v>
      </c>
      <c r="E162" t="s">
        <v>233</v>
      </c>
      <c r="F162" t="s">
        <v>42</v>
      </c>
      <c r="G162" t="s">
        <v>2037</v>
      </c>
      <c r="H162">
        <v>2</v>
      </c>
      <c r="I162" t="s">
        <v>1522</v>
      </c>
    </row>
    <row r="163" spans="1:9">
      <c r="A163">
        <v>810</v>
      </c>
      <c r="B163" t="s">
        <v>326</v>
      </c>
      <c r="C163" t="s">
        <v>327</v>
      </c>
      <c r="D163" t="s">
        <v>113</v>
      </c>
      <c r="E163" t="s">
        <v>233</v>
      </c>
      <c r="F163" t="s">
        <v>82</v>
      </c>
      <c r="G163" t="s">
        <v>2039</v>
      </c>
      <c r="H163">
        <v>2</v>
      </c>
      <c r="I163" t="s">
        <v>328</v>
      </c>
    </row>
    <row r="164" spans="1:9">
      <c r="A164">
        <v>815</v>
      </c>
      <c r="B164" t="s">
        <v>781</v>
      </c>
      <c r="C164" t="s">
        <v>782</v>
      </c>
      <c r="D164" t="s">
        <v>113</v>
      </c>
      <c r="E164" t="s">
        <v>139</v>
      </c>
      <c r="F164" t="s">
        <v>176</v>
      </c>
      <c r="G164" t="s">
        <v>2041</v>
      </c>
      <c r="I164" t="s">
        <v>783</v>
      </c>
    </row>
    <row r="165" spans="1:9">
      <c r="A165">
        <v>818</v>
      </c>
      <c r="B165" t="s">
        <v>917</v>
      </c>
      <c r="C165" t="s">
        <v>918</v>
      </c>
      <c r="D165" t="s">
        <v>42</v>
      </c>
      <c r="E165" t="s">
        <v>126</v>
      </c>
      <c r="F165" t="s">
        <v>126</v>
      </c>
      <c r="G165" t="s">
        <v>1721</v>
      </c>
      <c r="I165" t="s">
        <v>919</v>
      </c>
    </row>
    <row r="166" spans="1:9">
      <c r="A166">
        <v>827</v>
      </c>
      <c r="B166" t="s">
        <v>554</v>
      </c>
      <c r="C166" t="s">
        <v>555</v>
      </c>
      <c r="D166" t="s">
        <v>113</v>
      </c>
      <c r="E166" t="s">
        <v>136</v>
      </c>
      <c r="F166" t="s">
        <v>217</v>
      </c>
      <c r="G166" t="s">
        <v>2044</v>
      </c>
      <c r="I166" t="s">
        <v>556</v>
      </c>
    </row>
    <row r="167" spans="1:9">
      <c r="A167">
        <v>828</v>
      </c>
      <c r="B167" t="s">
        <v>594</v>
      </c>
      <c r="C167" t="s">
        <v>595</v>
      </c>
      <c r="D167" t="s">
        <v>139</v>
      </c>
      <c r="E167" t="s">
        <v>117</v>
      </c>
      <c r="F167" t="s">
        <v>42</v>
      </c>
      <c r="G167" t="s">
        <v>2046</v>
      </c>
      <c r="I167" t="s">
        <v>596</v>
      </c>
    </row>
    <row r="168" spans="1:9">
      <c r="A168">
        <v>829</v>
      </c>
      <c r="B168" t="s">
        <v>997</v>
      </c>
      <c r="C168" t="s">
        <v>998</v>
      </c>
      <c r="D168" t="s">
        <v>233</v>
      </c>
      <c r="E168" t="s">
        <v>959</v>
      </c>
      <c r="F168" t="s">
        <v>126</v>
      </c>
      <c r="G168" t="s">
        <v>1841</v>
      </c>
      <c r="I168" t="s">
        <v>999</v>
      </c>
    </row>
    <row r="169" spans="1:9">
      <c r="A169">
        <v>834</v>
      </c>
      <c r="B169" t="s">
        <v>246</v>
      </c>
      <c r="C169" t="s">
        <v>247</v>
      </c>
      <c r="D169" t="s">
        <v>42</v>
      </c>
      <c r="E169" t="s">
        <v>135</v>
      </c>
      <c r="F169" t="s">
        <v>204</v>
      </c>
      <c r="G169" t="s">
        <v>2049</v>
      </c>
      <c r="I169" t="s">
        <v>248</v>
      </c>
    </row>
    <row r="170" spans="1:9">
      <c r="A170">
        <v>839</v>
      </c>
      <c r="B170" t="s">
        <v>518</v>
      </c>
      <c r="C170" t="s">
        <v>519</v>
      </c>
      <c r="D170" t="s">
        <v>113</v>
      </c>
      <c r="E170" t="s">
        <v>139</v>
      </c>
      <c r="F170" t="s">
        <v>117</v>
      </c>
      <c r="G170" t="s">
        <v>2051</v>
      </c>
      <c r="H170">
        <v>3</v>
      </c>
      <c r="I170" t="s">
        <v>520</v>
      </c>
    </row>
    <row r="171" spans="1:9">
      <c r="A171">
        <v>843</v>
      </c>
      <c r="B171" t="s">
        <v>1170</v>
      </c>
      <c r="C171" t="s">
        <v>1171</v>
      </c>
      <c r="D171" t="s">
        <v>113</v>
      </c>
      <c r="E171" t="s">
        <v>233</v>
      </c>
      <c r="F171" t="s">
        <v>117</v>
      </c>
      <c r="G171" t="s">
        <v>2053</v>
      </c>
      <c r="H171">
        <v>2</v>
      </c>
      <c r="I171" t="s">
        <v>126</v>
      </c>
    </row>
    <row r="172" spans="1:9">
      <c r="A172">
        <v>847</v>
      </c>
      <c r="B172" t="s">
        <v>243</v>
      </c>
      <c r="C172" t="s">
        <v>244</v>
      </c>
      <c r="D172" t="s">
        <v>42</v>
      </c>
      <c r="E172" t="s">
        <v>82</v>
      </c>
      <c r="F172" t="s">
        <v>217</v>
      </c>
      <c r="G172" t="s">
        <v>2055</v>
      </c>
      <c r="I172" t="s">
        <v>245</v>
      </c>
    </row>
    <row r="173" spans="1:9">
      <c r="A173">
        <v>850</v>
      </c>
      <c r="B173" t="s">
        <v>548</v>
      </c>
      <c r="C173" t="s">
        <v>549</v>
      </c>
      <c r="D173" t="s">
        <v>113</v>
      </c>
      <c r="E173" t="s">
        <v>156</v>
      </c>
      <c r="F173" t="s">
        <v>550</v>
      </c>
      <c r="G173" t="s">
        <v>1973</v>
      </c>
      <c r="H173">
        <v>1</v>
      </c>
      <c r="I173" t="s">
        <v>551</v>
      </c>
    </row>
    <row r="174" spans="1:9">
      <c r="A174">
        <v>854</v>
      </c>
      <c r="B174" t="s">
        <v>1097</v>
      </c>
      <c r="C174" t="s">
        <v>1098</v>
      </c>
      <c r="D174" t="s">
        <v>117</v>
      </c>
      <c r="E174" t="s">
        <v>176</v>
      </c>
      <c r="F174" t="s">
        <v>126</v>
      </c>
      <c r="G174" t="s">
        <v>1781</v>
      </c>
      <c r="I174" t="s">
        <v>1099</v>
      </c>
    </row>
    <row r="175" spans="1:9">
      <c r="A175">
        <v>857</v>
      </c>
      <c r="B175" t="s">
        <v>287</v>
      </c>
      <c r="C175" t="s">
        <v>288</v>
      </c>
      <c r="D175" t="s">
        <v>113</v>
      </c>
      <c r="E175" t="s">
        <v>63</v>
      </c>
      <c r="F175" t="s">
        <v>172</v>
      </c>
      <c r="G175" t="s">
        <v>2059</v>
      </c>
      <c r="H175">
        <v>1</v>
      </c>
      <c r="I175" t="s">
        <v>289</v>
      </c>
    </row>
    <row r="176" spans="1:9">
      <c r="A176">
        <v>862</v>
      </c>
      <c r="B176" t="s">
        <v>1358</v>
      </c>
      <c r="C176" t="s">
        <v>1359</v>
      </c>
      <c r="D176" t="s">
        <v>113</v>
      </c>
      <c r="E176" t="s">
        <v>154</v>
      </c>
      <c r="F176" t="s">
        <v>208</v>
      </c>
      <c r="G176" t="s">
        <v>2061</v>
      </c>
      <c r="H176">
        <v>4</v>
      </c>
      <c r="I176" t="s">
        <v>1360</v>
      </c>
    </row>
    <row r="177" spans="1:9">
      <c r="A177">
        <v>864</v>
      </c>
      <c r="B177" t="s">
        <v>566</v>
      </c>
      <c r="C177" t="s">
        <v>567</v>
      </c>
      <c r="D177" t="s">
        <v>113</v>
      </c>
      <c r="E177" t="s">
        <v>82</v>
      </c>
      <c r="F177" t="s">
        <v>204</v>
      </c>
      <c r="G177" t="s">
        <v>2063</v>
      </c>
      <c r="I177" t="s">
        <v>568</v>
      </c>
    </row>
    <row r="178" spans="1:9">
      <c r="A178">
        <v>871</v>
      </c>
      <c r="B178" t="s">
        <v>1067</v>
      </c>
      <c r="C178" t="s">
        <v>1068</v>
      </c>
      <c r="D178" t="s">
        <v>113</v>
      </c>
      <c r="E178" t="s">
        <v>42</v>
      </c>
      <c r="F178" t="s">
        <v>63</v>
      </c>
      <c r="G178" t="s">
        <v>1929</v>
      </c>
      <c r="H178">
        <v>1</v>
      </c>
      <c r="I178" t="s">
        <v>1069</v>
      </c>
    </row>
    <row r="179" spans="1:9">
      <c r="A179">
        <v>878</v>
      </c>
      <c r="B179" t="s">
        <v>1251</v>
      </c>
      <c r="C179" t="s">
        <v>1252</v>
      </c>
      <c r="D179" t="s">
        <v>233</v>
      </c>
      <c r="E179" t="s">
        <v>154</v>
      </c>
      <c r="F179" t="s">
        <v>126</v>
      </c>
      <c r="G179" t="s">
        <v>2066</v>
      </c>
      <c r="I179" t="s">
        <v>1253</v>
      </c>
    </row>
    <row r="180" spans="1:9">
      <c r="A180">
        <v>879</v>
      </c>
      <c r="B180" t="s">
        <v>757</v>
      </c>
      <c r="C180" t="s">
        <v>758</v>
      </c>
      <c r="D180" t="s">
        <v>113</v>
      </c>
      <c r="E180" t="s">
        <v>42</v>
      </c>
      <c r="F180" t="s">
        <v>126</v>
      </c>
      <c r="G180" t="s">
        <v>1912</v>
      </c>
      <c r="I180" t="s">
        <v>759</v>
      </c>
    </row>
    <row r="181" spans="1:9">
      <c r="A181">
        <v>882</v>
      </c>
      <c r="B181" t="s">
        <v>660</v>
      </c>
      <c r="C181" t="s">
        <v>661</v>
      </c>
      <c r="D181" t="s">
        <v>121</v>
      </c>
      <c r="E181" t="s">
        <v>184</v>
      </c>
      <c r="F181" t="s">
        <v>83</v>
      </c>
      <c r="G181" t="s">
        <v>2069</v>
      </c>
      <c r="I181" t="s">
        <v>662</v>
      </c>
    </row>
    <row r="182" spans="1:9">
      <c r="A182">
        <v>887</v>
      </c>
      <c r="B182" t="s">
        <v>1470</v>
      </c>
      <c r="C182" t="s">
        <v>1471</v>
      </c>
      <c r="D182" t="s">
        <v>233</v>
      </c>
      <c r="E182" t="s">
        <v>154</v>
      </c>
      <c r="F182" t="s">
        <v>42</v>
      </c>
      <c r="G182" t="s">
        <v>2071</v>
      </c>
      <c r="I182" t="s">
        <v>1472</v>
      </c>
    </row>
    <row r="183" spans="1:9">
      <c r="A183">
        <v>891</v>
      </c>
      <c r="B183" t="s">
        <v>1159</v>
      </c>
      <c r="C183" t="s">
        <v>1160</v>
      </c>
      <c r="D183" t="s">
        <v>113</v>
      </c>
      <c r="E183" t="s">
        <v>233</v>
      </c>
      <c r="F183" t="s">
        <v>172</v>
      </c>
      <c r="G183" t="s">
        <v>2073</v>
      </c>
      <c r="I183" t="s">
        <v>1161</v>
      </c>
    </row>
    <row r="184" spans="1:9">
      <c r="A184">
        <v>895</v>
      </c>
      <c r="B184" t="s">
        <v>224</v>
      </c>
      <c r="C184" t="s">
        <v>225</v>
      </c>
      <c r="D184" t="s">
        <v>139</v>
      </c>
      <c r="E184" t="s">
        <v>160</v>
      </c>
      <c r="F184" t="s">
        <v>155</v>
      </c>
      <c r="G184" t="s">
        <v>2075</v>
      </c>
      <c r="H184">
        <v>1</v>
      </c>
      <c r="I184" t="s">
        <v>226</v>
      </c>
    </row>
    <row r="185" spans="1:9">
      <c r="A185">
        <v>899</v>
      </c>
      <c r="B185" t="s">
        <v>231</v>
      </c>
      <c r="C185" t="s">
        <v>232</v>
      </c>
      <c r="D185" t="s">
        <v>233</v>
      </c>
      <c r="E185" t="s">
        <v>117</v>
      </c>
      <c r="F185" t="s">
        <v>172</v>
      </c>
      <c r="G185" t="s">
        <v>1900</v>
      </c>
      <c r="I185" t="s">
        <v>234</v>
      </c>
    </row>
    <row r="186" spans="1:9">
      <c r="A186">
        <v>902</v>
      </c>
      <c r="B186" t="s">
        <v>960</v>
      </c>
      <c r="C186" t="s">
        <v>961</v>
      </c>
      <c r="D186" t="s">
        <v>113</v>
      </c>
      <c r="E186" t="s">
        <v>233</v>
      </c>
      <c r="F186" t="s">
        <v>117</v>
      </c>
      <c r="G186" t="s">
        <v>2078</v>
      </c>
      <c r="H186">
        <v>2</v>
      </c>
      <c r="I186" t="s">
        <v>962</v>
      </c>
    </row>
    <row r="187" spans="1:9">
      <c r="A187">
        <v>903</v>
      </c>
      <c r="B187" t="s">
        <v>479</v>
      </c>
      <c r="C187" t="s">
        <v>480</v>
      </c>
      <c r="D187" t="s">
        <v>117</v>
      </c>
      <c r="E187" t="s">
        <v>42</v>
      </c>
      <c r="F187" t="s">
        <v>213</v>
      </c>
      <c r="G187" t="s">
        <v>2080</v>
      </c>
      <c r="I187" t="s">
        <v>481</v>
      </c>
    </row>
    <row r="188" spans="1:9">
      <c r="A188">
        <v>906</v>
      </c>
      <c r="B188" t="s">
        <v>1125</v>
      </c>
      <c r="C188" t="s">
        <v>1126</v>
      </c>
      <c r="D188" t="s">
        <v>233</v>
      </c>
      <c r="E188" t="s">
        <v>117</v>
      </c>
      <c r="F188" t="s">
        <v>959</v>
      </c>
      <c r="G188" t="s">
        <v>2082</v>
      </c>
      <c r="I188" t="s">
        <v>1127</v>
      </c>
    </row>
    <row r="189" spans="1:9">
      <c r="A189">
        <v>913</v>
      </c>
      <c r="B189" t="s">
        <v>1317</v>
      </c>
      <c r="C189" t="s">
        <v>1318</v>
      </c>
      <c r="D189" t="s">
        <v>233</v>
      </c>
      <c r="E189" t="s">
        <v>42</v>
      </c>
      <c r="F189" t="s">
        <v>121</v>
      </c>
      <c r="G189" t="s">
        <v>2084</v>
      </c>
      <c r="H189">
        <v>3</v>
      </c>
      <c r="I189" t="s">
        <v>1319</v>
      </c>
    </row>
    <row r="190" spans="1:9">
      <c r="A190">
        <v>920</v>
      </c>
      <c r="B190" t="s">
        <v>378</v>
      </c>
      <c r="C190" t="s">
        <v>379</v>
      </c>
      <c r="D190" t="s">
        <v>233</v>
      </c>
      <c r="E190" t="s">
        <v>42</v>
      </c>
      <c r="F190" t="s">
        <v>263</v>
      </c>
      <c r="G190" t="s">
        <v>2086</v>
      </c>
      <c r="I190" t="s">
        <v>380</v>
      </c>
    </row>
    <row r="191" spans="1:9">
      <c r="A191">
        <v>924</v>
      </c>
      <c r="B191" t="s">
        <v>985</v>
      </c>
      <c r="C191" t="s">
        <v>986</v>
      </c>
      <c r="D191" t="s">
        <v>113</v>
      </c>
      <c r="E191" t="s">
        <v>139</v>
      </c>
      <c r="F191" t="s">
        <v>136</v>
      </c>
      <c r="G191" t="s">
        <v>2088</v>
      </c>
      <c r="H191">
        <v>3</v>
      </c>
      <c r="I191" t="s">
        <v>987</v>
      </c>
    </row>
    <row r="192" spans="1:9">
      <c r="A192">
        <v>927</v>
      </c>
      <c r="B192" t="s">
        <v>1090</v>
      </c>
      <c r="C192" t="s">
        <v>1091</v>
      </c>
      <c r="D192" t="s">
        <v>113</v>
      </c>
      <c r="E192" t="s">
        <v>233</v>
      </c>
      <c r="F192" t="s">
        <v>126</v>
      </c>
      <c r="G192" t="s">
        <v>1916</v>
      </c>
      <c r="I192" t="s">
        <v>1092</v>
      </c>
    </row>
    <row r="193" spans="1:9">
      <c r="A193">
        <v>928</v>
      </c>
      <c r="B193" t="s">
        <v>894</v>
      </c>
      <c r="C193" t="s">
        <v>895</v>
      </c>
      <c r="D193" t="s">
        <v>113</v>
      </c>
      <c r="E193" t="s">
        <v>139</v>
      </c>
      <c r="F193" t="s">
        <v>136</v>
      </c>
      <c r="G193" t="s">
        <v>1812</v>
      </c>
      <c r="H193">
        <v>3</v>
      </c>
      <c r="I193" t="s">
        <v>896</v>
      </c>
    </row>
    <row r="194" spans="1:9">
      <c r="A194">
        <v>936</v>
      </c>
      <c r="B194" t="s">
        <v>314</v>
      </c>
      <c r="C194" t="s">
        <v>315</v>
      </c>
      <c r="D194" t="s">
        <v>117</v>
      </c>
      <c r="E194" t="s">
        <v>160</v>
      </c>
      <c r="F194" t="s">
        <v>63</v>
      </c>
      <c r="G194" t="s">
        <v>2092</v>
      </c>
      <c r="H194">
        <v>1</v>
      </c>
      <c r="I194" t="s">
        <v>316</v>
      </c>
    </row>
    <row r="195" spans="1:9">
      <c r="A195">
        <v>940</v>
      </c>
      <c r="B195" t="s">
        <v>946</v>
      </c>
      <c r="C195" t="s">
        <v>947</v>
      </c>
      <c r="D195" t="s">
        <v>117</v>
      </c>
      <c r="E195" t="s">
        <v>42</v>
      </c>
      <c r="F195" t="s">
        <v>126</v>
      </c>
      <c r="G195" t="s">
        <v>1798</v>
      </c>
      <c r="I195" t="s">
        <v>948</v>
      </c>
    </row>
    <row r="196" spans="1:9">
      <c r="A196">
        <v>943</v>
      </c>
      <c r="B196" t="s">
        <v>897</v>
      </c>
      <c r="C196" t="s">
        <v>898</v>
      </c>
      <c r="D196" t="s">
        <v>113</v>
      </c>
      <c r="E196" t="s">
        <v>117</v>
      </c>
      <c r="F196" t="s">
        <v>42</v>
      </c>
      <c r="G196" t="s">
        <v>1812</v>
      </c>
      <c r="H196">
        <v>2</v>
      </c>
      <c r="I196" t="s">
        <v>899</v>
      </c>
    </row>
    <row r="197" spans="1:9">
      <c r="A197">
        <v>952</v>
      </c>
      <c r="B197" t="s">
        <v>1031</v>
      </c>
      <c r="C197" t="s">
        <v>1032</v>
      </c>
      <c r="D197" t="s">
        <v>113</v>
      </c>
      <c r="E197" t="s">
        <v>139</v>
      </c>
      <c r="F197" t="s">
        <v>233</v>
      </c>
      <c r="G197" t="s">
        <v>1996</v>
      </c>
      <c r="H197">
        <v>2</v>
      </c>
      <c r="I197" t="s">
        <v>1033</v>
      </c>
    </row>
    <row r="198" spans="1:9">
      <c r="A198">
        <v>956</v>
      </c>
      <c r="B198" t="s">
        <v>633</v>
      </c>
      <c r="C198" t="s">
        <v>634</v>
      </c>
      <c r="D198" t="s">
        <v>113</v>
      </c>
      <c r="E198" t="s">
        <v>42</v>
      </c>
      <c r="F198" t="s">
        <v>126</v>
      </c>
      <c r="G198" t="s">
        <v>1998</v>
      </c>
      <c r="I198" t="s">
        <v>635</v>
      </c>
    </row>
    <row r="199" spans="1:9">
      <c r="A199">
        <v>960</v>
      </c>
      <c r="B199" t="s">
        <v>422</v>
      </c>
      <c r="C199" t="s">
        <v>423</v>
      </c>
      <c r="D199" t="s">
        <v>113</v>
      </c>
      <c r="E199" t="s">
        <v>117</v>
      </c>
      <c r="F199" t="s">
        <v>42</v>
      </c>
      <c r="G199" t="s">
        <v>2098</v>
      </c>
      <c r="I199" t="s">
        <v>424</v>
      </c>
    </row>
    <row r="200" spans="1:9">
      <c r="A200">
        <v>964</v>
      </c>
      <c r="B200" t="s">
        <v>745</v>
      </c>
      <c r="C200" t="s">
        <v>746</v>
      </c>
      <c r="D200" t="s">
        <v>233</v>
      </c>
      <c r="E200" t="s">
        <v>42</v>
      </c>
      <c r="F200" t="s">
        <v>256</v>
      </c>
      <c r="G200" t="s">
        <v>2100</v>
      </c>
      <c r="I200" t="s">
        <v>747</v>
      </c>
    </row>
    <row r="201" spans="1:9">
      <c r="A201">
        <v>968</v>
      </c>
      <c r="B201" t="s">
        <v>789</v>
      </c>
      <c r="C201" t="s">
        <v>790</v>
      </c>
      <c r="D201" t="s">
        <v>42</v>
      </c>
      <c r="E201" t="s">
        <v>135</v>
      </c>
      <c r="F201" t="s">
        <v>204</v>
      </c>
      <c r="G201" t="s">
        <v>2102</v>
      </c>
      <c r="I201" t="s">
        <v>791</v>
      </c>
    </row>
    <row r="202" spans="1:9">
      <c r="A202">
        <v>972</v>
      </c>
      <c r="B202" t="s">
        <v>886</v>
      </c>
      <c r="C202" t="s">
        <v>887</v>
      </c>
      <c r="D202" t="s">
        <v>233</v>
      </c>
      <c r="E202" t="s">
        <v>117</v>
      </c>
      <c r="F202" t="s">
        <v>126</v>
      </c>
      <c r="G202" t="s">
        <v>1696</v>
      </c>
      <c r="I202" t="s">
        <v>888</v>
      </c>
    </row>
    <row r="203" spans="1:9">
      <c r="A203">
        <v>975</v>
      </c>
      <c r="B203" t="s">
        <v>1061</v>
      </c>
      <c r="C203" t="s">
        <v>1062</v>
      </c>
      <c r="D203" t="s">
        <v>113</v>
      </c>
      <c r="E203" t="s">
        <v>42</v>
      </c>
      <c r="F203" t="s">
        <v>160</v>
      </c>
      <c r="G203" t="s">
        <v>1680</v>
      </c>
      <c r="H203">
        <v>2</v>
      </c>
      <c r="I203" t="s">
        <v>1063</v>
      </c>
    </row>
    <row r="204" spans="1:9">
      <c r="A204">
        <v>980</v>
      </c>
      <c r="B204" t="s">
        <v>111</v>
      </c>
      <c r="C204" t="s">
        <v>112</v>
      </c>
      <c r="D204" t="s">
        <v>113</v>
      </c>
      <c r="E204" t="s">
        <v>44</v>
      </c>
      <c r="F204" t="s">
        <v>82</v>
      </c>
      <c r="G204" t="s">
        <v>2106</v>
      </c>
      <c r="H204">
        <v>1</v>
      </c>
      <c r="I204" t="s">
        <v>114</v>
      </c>
    </row>
    <row r="205" spans="1:9">
      <c r="A205">
        <v>982</v>
      </c>
      <c r="B205" t="s">
        <v>410</v>
      </c>
      <c r="C205" t="s">
        <v>411</v>
      </c>
      <c r="D205" t="s">
        <v>113</v>
      </c>
      <c r="E205" t="s">
        <v>139</v>
      </c>
      <c r="F205" t="s">
        <v>82</v>
      </c>
      <c r="G205" t="s">
        <v>2108</v>
      </c>
      <c r="I205" t="s">
        <v>126</v>
      </c>
    </row>
    <row r="206" spans="1:9">
      <c r="A206">
        <v>987</v>
      </c>
      <c r="B206" t="s">
        <v>684</v>
      </c>
      <c r="C206" t="s">
        <v>685</v>
      </c>
      <c r="D206" t="s">
        <v>139</v>
      </c>
      <c r="E206" t="s">
        <v>135</v>
      </c>
      <c r="F206" t="s">
        <v>136</v>
      </c>
      <c r="G206" t="s">
        <v>1706</v>
      </c>
      <c r="H206">
        <v>3</v>
      </c>
      <c r="I206" t="s">
        <v>686</v>
      </c>
    </row>
    <row r="207" spans="1:9">
      <c r="A207">
        <v>992</v>
      </c>
      <c r="B207" t="s">
        <v>258</v>
      </c>
      <c r="C207" t="s">
        <v>259</v>
      </c>
      <c r="D207" t="s">
        <v>113</v>
      </c>
      <c r="E207" t="s">
        <v>139</v>
      </c>
      <c r="F207" t="s">
        <v>209</v>
      </c>
      <c r="G207" t="s">
        <v>2111</v>
      </c>
      <c r="H207">
        <v>1</v>
      </c>
      <c r="I207" t="s">
        <v>260</v>
      </c>
    </row>
    <row r="208" spans="1:9">
      <c r="A208">
        <v>995</v>
      </c>
      <c r="B208" t="s">
        <v>305</v>
      </c>
      <c r="C208" t="s">
        <v>306</v>
      </c>
      <c r="D208" t="s">
        <v>113</v>
      </c>
      <c r="E208" t="s">
        <v>82</v>
      </c>
      <c r="F208" t="s">
        <v>208</v>
      </c>
      <c r="G208" t="s">
        <v>2113</v>
      </c>
      <c r="H208">
        <v>2</v>
      </c>
      <c r="I208" t="s">
        <v>307</v>
      </c>
    </row>
    <row r="209" spans="1:9">
      <c r="A209">
        <v>996</v>
      </c>
      <c r="B209" t="s">
        <v>671</v>
      </c>
      <c r="C209" t="s">
        <v>672</v>
      </c>
      <c r="D209" t="s">
        <v>113</v>
      </c>
      <c r="E209" t="s">
        <v>139</v>
      </c>
      <c r="F209" t="s">
        <v>233</v>
      </c>
      <c r="G209" t="s">
        <v>2115</v>
      </c>
      <c r="H209">
        <v>4</v>
      </c>
      <c r="I209" t="s">
        <v>673</v>
      </c>
    </row>
    <row r="210" spans="1:9">
      <c r="A210">
        <v>1000</v>
      </c>
      <c r="B210" t="s">
        <v>923</v>
      </c>
      <c r="C210" t="s">
        <v>924</v>
      </c>
      <c r="D210" t="s">
        <v>113</v>
      </c>
      <c r="E210" t="s">
        <v>42</v>
      </c>
      <c r="F210" t="s">
        <v>213</v>
      </c>
      <c r="G210" t="s">
        <v>2117</v>
      </c>
      <c r="I210" t="s">
        <v>126</v>
      </c>
    </row>
    <row r="211" spans="1:9">
      <c r="A211">
        <v>1001</v>
      </c>
      <c r="B211" t="s">
        <v>1180</v>
      </c>
      <c r="C211" t="s">
        <v>1181</v>
      </c>
      <c r="D211" t="s">
        <v>113</v>
      </c>
      <c r="E211" t="s">
        <v>139</v>
      </c>
      <c r="F211" t="s">
        <v>126</v>
      </c>
      <c r="G211" t="s">
        <v>2119</v>
      </c>
      <c r="I211" t="s">
        <v>126</v>
      </c>
    </row>
    <row r="212" spans="1:9">
      <c r="A212">
        <v>1012</v>
      </c>
      <c r="B212" t="s">
        <v>967</v>
      </c>
      <c r="C212" t="s">
        <v>968</v>
      </c>
      <c r="D212" t="s">
        <v>233</v>
      </c>
      <c r="E212" t="s">
        <v>42</v>
      </c>
      <c r="F212" t="s">
        <v>126</v>
      </c>
      <c r="G212" t="s">
        <v>2121</v>
      </c>
      <c r="I212" t="s">
        <v>126</v>
      </c>
    </row>
    <row r="213" spans="1:9">
      <c r="A213">
        <v>1028</v>
      </c>
      <c r="B213" t="s">
        <v>133</v>
      </c>
      <c r="C213" t="s">
        <v>134</v>
      </c>
      <c r="D213" t="s">
        <v>117</v>
      </c>
      <c r="E213" t="s">
        <v>135</v>
      </c>
      <c r="F213" t="s">
        <v>136</v>
      </c>
      <c r="G213" t="s">
        <v>2123</v>
      </c>
      <c r="H213">
        <v>1</v>
      </c>
      <c r="I213" t="s">
        <v>126</v>
      </c>
    </row>
    <row r="214" spans="1:9">
      <c r="A214">
        <v>1032</v>
      </c>
      <c r="B214" t="s">
        <v>614</v>
      </c>
      <c r="C214" t="s">
        <v>615</v>
      </c>
      <c r="D214" t="s">
        <v>113</v>
      </c>
      <c r="E214" t="s">
        <v>117</v>
      </c>
      <c r="F214" t="s">
        <v>155</v>
      </c>
      <c r="G214" t="s">
        <v>1992</v>
      </c>
      <c r="H214">
        <v>2</v>
      </c>
      <c r="I214" t="s">
        <v>616</v>
      </c>
    </row>
    <row r="215" spans="1:9">
      <c r="A215">
        <v>1036</v>
      </c>
      <c r="B215" t="s">
        <v>1275</v>
      </c>
      <c r="C215" t="s">
        <v>1276</v>
      </c>
      <c r="D215" t="s">
        <v>113</v>
      </c>
      <c r="E215" t="s">
        <v>139</v>
      </c>
      <c r="F215" t="s">
        <v>136</v>
      </c>
      <c r="G215" t="s">
        <v>2035</v>
      </c>
      <c r="H215">
        <v>1</v>
      </c>
      <c r="I215" t="s">
        <v>126</v>
      </c>
    </row>
    <row r="216" spans="1:9">
      <c r="A216">
        <v>1044</v>
      </c>
      <c r="B216" t="s">
        <v>1417</v>
      </c>
      <c r="C216" t="s">
        <v>1418</v>
      </c>
      <c r="D216" t="s">
        <v>117</v>
      </c>
      <c r="E216" t="s">
        <v>154</v>
      </c>
      <c r="F216" t="s">
        <v>209</v>
      </c>
      <c r="G216" t="s">
        <v>2127</v>
      </c>
      <c r="H216">
        <v>3</v>
      </c>
      <c r="I216" t="s">
        <v>1419</v>
      </c>
    </row>
    <row r="217" spans="1:9">
      <c r="A217">
        <v>1063</v>
      </c>
      <c r="B217" t="s">
        <v>3169</v>
      </c>
      <c r="C217" t="s">
        <v>2129</v>
      </c>
      <c r="D217" t="s">
        <v>113</v>
      </c>
      <c r="E217" t="s">
        <v>160</v>
      </c>
      <c r="F217" t="s">
        <v>191</v>
      </c>
      <c r="G217" t="s">
        <v>2131</v>
      </c>
      <c r="I217" t="s">
        <v>2130</v>
      </c>
    </row>
    <row r="218" spans="1:9">
      <c r="A218">
        <v>1067</v>
      </c>
      <c r="B218" t="s">
        <v>3170</v>
      </c>
      <c r="C218" t="s">
        <v>2133</v>
      </c>
      <c r="D218" t="s">
        <v>233</v>
      </c>
      <c r="E218" t="s">
        <v>42</v>
      </c>
      <c r="F218" t="s">
        <v>126</v>
      </c>
      <c r="G218" t="s">
        <v>1698</v>
      </c>
      <c r="I218" t="s">
        <v>126</v>
      </c>
    </row>
    <row r="219" spans="1:9">
      <c r="A219">
        <v>1074</v>
      </c>
      <c r="B219" t="s">
        <v>137</v>
      </c>
      <c r="C219" t="s">
        <v>138</v>
      </c>
      <c r="D219" t="s">
        <v>113</v>
      </c>
      <c r="E219" t="s">
        <v>139</v>
      </c>
      <c r="F219" t="s">
        <v>65</v>
      </c>
      <c r="G219" t="s">
        <v>2135</v>
      </c>
      <c r="H219">
        <v>1</v>
      </c>
      <c r="I219" t="s">
        <v>140</v>
      </c>
    </row>
    <row r="220" spans="1:9">
      <c r="A220">
        <v>1088</v>
      </c>
      <c r="B220" t="s">
        <v>3171</v>
      </c>
      <c r="C220" t="s">
        <v>2137</v>
      </c>
      <c r="D220" t="s">
        <v>233</v>
      </c>
      <c r="E220" t="s">
        <v>44</v>
      </c>
      <c r="F220" t="s">
        <v>126</v>
      </c>
      <c r="G220" t="s">
        <v>2041</v>
      </c>
      <c r="I220" t="s">
        <v>2138</v>
      </c>
    </row>
    <row r="221" spans="1:9">
      <c r="A221">
        <v>1092</v>
      </c>
      <c r="B221" t="s">
        <v>381</v>
      </c>
      <c r="C221" t="s">
        <v>382</v>
      </c>
      <c r="D221" t="s">
        <v>117</v>
      </c>
      <c r="E221" t="s">
        <v>42</v>
      </c>
      <c r="F221" t="s">
        <v>126</v>
      </c>
      <c r="G221" t="s">
        <v>2140</v>
      </c>
      <c r="I221" t="s">
        <v>126</v>
      </c>
    </row>
    <row r="222" spans="1:9">
      <c r="A222">
        <v>1095</v>
      </c>
      <c r="B222" t="s">
        <v>1079</v>
      </c>
      <c r="C222" t="s">
        <v>1080</v>
      </c>
      <c r="D222" t="s">
        <v>113</v>
      </c>
      <c r="E222" t="s">
        <v>154</v>
      </c>
      <c r="F222" t="s">
        <v>1081</v>
      </c>
      <c r="G222" t="s">
        <v>1733</v>
      </c>
      <c r="I222" t="s">
        <v>1082</v>
      </c>
    </row>
    <row r="223" spans="1:9">
      <c r="A223">
        <v>1096</v>
      </c>
      <c r="B223" t="s">
        <v>290</v>
      </c>
      <c r="C223" t="s">
        <v>291</v>
      </c>
      <c r="D223" t="s">
        <v>117</v>
      </c>
      <c r="E223" t="s">
        <v>44</v>
      </c>
      <c r="F223" t="s">
        <v>160</v>
      </c>
      <c r="G223" t="s">
        <v>2059</v>
      </c>
      <c r="H223">
        <v>1</v>
      </c>
      <c r="I223" t="s">
        <v>126</v>
      </c>
    </row>
    <row r="224" spans="1:9">
      <c r="A224">
        <v>1097</v>
      </c>
      <c r="B224" t="s">
        <v>3172</v>
      </c>
      <c r="C224" t="s">
        <v>2144</v>
      </c>
      <c r="D224" t="s">
        <v>125</v>
      </c>
      <c r="E224" t="s">
        <v>126</v>
      </c>
      <c r="F224" t="s">
        <v>126</v>
      </c>
      <c r="G224" t="s">
        <v>2069</v>
      </c>
      <c r="I224" t="s">
        <v>2145</v>
      </c>
    </row>
    <row r="225" spans="1:9">
      <c r="A225">
        <v>1106</v>
      </c>
      <c r="B225" t="s">
        <v>186</v>
      </c>
      <c r="C225" t="s">
        <v>187</v>
      </c>
      <c r="D225" t="s">
        <v>117</v>
      </c>
      <c r="E225" t="s">
        <v>160</v>
      </c>
      <c r="F225" t="s">
        <v>84</v>
      </c>
      <c r="G225" t="s">
        <v>2147</v>
      </c>
      <c r="I225" t="s">
        <v>188</v>
      </c>
    </row>
    <row r="226" spans="1:9">
      <c r="A226">
        <v>1121</v>
      </c>
      <c r="B226" t="s">
        <v>3173</v>
      </c>
      <c r="C226" t="s">
        <v>2149</v>
      </c>
      <c r="D226" t="s">
        <v>113</v>
      </c>
      <c r="E226" t="s">
        <v>1027</v>
      </c>
      <c r="F226" t="s">
        <v>126</v>
      </c>
      <c r="G226" t="s">
        <v>2150</v>
      </c>
      <c r="I226" t="s">
        <v>126</v>
      </c>
    </row>
    <row r="227" spans="1:9">
      <c r="A227">
        <v>1125</v>
      </c>
      <c r="B227" t="s">
        <v>521</v>
      </c>
      <c r="C227" t="s">
        <v>522</v>
      </c>
      <c r="D227" t="s">
        <v>113</v>
      </c>
      <c r="E227" t="s">
        <v>42</v>
      </c>
      <c r="F227" t="s">
        <v>204</v>
      </c>
      <c r="G227" t="s">
        <v>2051</v>
      </c>
      <c r="I227" t="s">
        <v>523</v>
      </c>
    </row>
    <row r="228" spans="1:9">
      <c r="A228">
        <v>1127</v>
      </c>
      <c r="B228" t="s">
        <v>3174</v>
      </c>
      <c r="C228" t="s">
        <v>2153</v>
      </c>
      <c r="D228" t="s">
        <v>125</v>
      </c>
      <c r="E228" t="s">
        <v>126</v>
      </c>
      <c r="F228" t="s">
        <v>126</v>
      </c>
      <c r="G228" t="s">
        <v>2041</v>
      </c>
      <c r="I228" t="s">
        <v>126</v>
      </c>
    </row>
    <row r="229" spans="1:9">
      <c r="A229">
        <v>1147</v>
      </c>
      <c r="B229" t="s">
        <v>415</v>
      </c>
      <c r="C229" t="s">
        <v>416</v>
      </c>
      <c r="D229" t="s">
        <v>272</v>
      </c>
      <c r="E229" t="s">
        <v>117</v>
      </c>
      <c r="F229" t="s">
        <v>147</v>
      </c>
      <c r="G229" t="s">
        <v>2155</v>
      </c>
      <c r="I229" t="s">
        <v>126</v>
      </c>
    </row>
    <row r="230" spans="1:9">
      <c r="A230">
        <v>1153</v>
      </c>
      <c r="B230" t="s">
        <v>3175</v>
      </c>
      <c r="C230" t="s">
        <v>2157</v>
      </c>
      <c r="D230" t="s">
        <v>139</v>
      </c>
      <c r="E230" t="s">
        <v>117</v>
      </c>
      <c r="F230" t="s">
        <v>126</v>
      </c>
      <c r="G230" t="s">
        <v>1714</v>
      </c>
      <c r="I230" t="s">
        <v>2158</v>
      </c>
    </row>
    <row r="231" spans="1:9">
      <c r="A231">
        <v>1157</v>
      </c>
      <c r="B231" t="s">
        <v>981</v>
      </c>
      <c r="C231" t="s">
        <v>982</v>
      </c>
      <c r="D231" t="s">
        <v>113</v>
      </c>
      <c r="E231" t="s">
        <v>154</v>
      </c>
      <c r="F231" t="s">
        <v>155</v>
      </c>
      <c r="G231" t="s">
        <v>2160</v>
      </c>
      <c r="H231">
        <v>2</v>
      </c>
      <c r="I231" t="s">
        <v>126</v>
      </c>
    </row>
    <row r="232" spans="1:9">
      <c r="A232">
        <v>1159</v>
      </c>
      <c r="B232" t="s">
        <v>3176</v>
      </c>
      <c r="C232" t="s">
        <v>2162</v>
      </c>
      <c r="D232" t="s">
        <v>125</v>
      </c>
      <c r="E232" t="s">
        <v>126</v>
      </c>
      <c r="F232" t="s">
        <v>126</v>
      </c>
      <c r="G232" t="s">
        <v>2164</v>
      </c>
      <c r="I232" t="s">
        <v>2163</v>
      </c>
    </row>
    <row r="233" spans="1:9">
      <c r="A233">
        <v>1163</v>
      </c>
      <c r="B233" t="s">
        <v>1304</v>
      </c>
      <c r="C233" t="s">
        <v>1305</v>
      </c>
      <c r="D233" t="s">
        <v>272</v>
      </c>
      <c r="E233" t="s">
        <v>117</v>
      </c>
      <c r="F233" t="s">
        <v>126</v>
      </c>
      <c r="G233" t="s">
        <v>1859</v>
      </c>
      <c r="I233" t="s">
        <v>126</v>
      </c>
    </row>
    <row r="234" spans="1:9">
      <c r="A234">
        <v>1168</v>
      </c>
      <c r="B234" t="s">
        <v>3177</v>
      </c>
      <c r="C234" t="s">
        <v>2167</v>
      </c>
      <c r="D234" t="s">
        <v>180</v>
      </c>
      <c r="E234" t="s">
        <v>121</v>
      </c>
      <c r="F234" t="s">
        <v>184</v>
      </c>
      <c r="G234" t="s">
        <v>2111</v>
      </c>
      <c r="H234">
        <v>1</v>
      </c>
      <c r="I234" t="s">
        <v>2168</v>
      </c>
    </row>
    <row r="235" spans="1:9">
      <c r="A235">
        <v>1172</v>
      </c>
      <c r="B235" t="s">
        <v>1338</v>
      </c>
      <c r="C235" t="s">
        <v>1339</v>
      </c>
      <c r="D235" t="s">
        <v>139</v>
      </c>
      <c r="E235" t="s">
        <v>160</v>
      </c>
      <c r="F235" t="s">
        <v>155</v>
      </c>
      <c r="G235" t="s">
        <v>1674</v>
      </c>
      <c r="H235">
        <v>1</v>
      </c>
      <c r="I235" t="s">
        <v>126</v>
      </c>
    </row>
    <row r="236" spans="1:9">
      <c r="A236">
        <v>1178</v>
      </c>
      <c r="B236" t="s">
        <v>792</v>
      </c>
      <c r="C236" t="s">
        <v>793</v>
      </c>
      <c r="D236" t="s">
        <v>113</v>
      </c>
      <c r="E236" t="s">
        <v>139</v>
      </c>
      <c r="F236" t="s">
        <v>117</v>
      </c>
      <c r="G236" t="s">
        <v>2171</v>
      </c>
      <c r="H236">
        <v>2</v>
      </c>
      <c r="I236" t="s">
        <v>794</v>
      </c>
    </row>
    <row r="237" spans="1:9">
      <c r="A237">
        <v>1183</v>
      </c>
      <c r="B237" t="s">
        <v>3178</v>
      </c>
      <c r="C237" t="s">
        <v>2173</v>
      </c>
      <c r="D237" t="s">
        <v>233</v>
      </c>
      <c r="E237" t="s">
        <v>63</v>
      </c>
      <c r="F237" t="s">
        <v>172</v>
      </c>
      <c r="G237" t="s">
        <v>2175</v>
      </c>
      <c r="H237">
        <v>1</v>
      </c>
      <c r="I237" t="s">
        <v>2174</v>
      </c>
    </row>
    <row r="238" spans="1:9">
      <c r="A238">
        <v>1187</v>
      </c>
      <c r="B238" t="s">
        <v>441</v>
      </c>
      <c r="C238" t="s">
        <v>442</v>
      </c>
      <c r="D238" t="s">
        <v>113</v>
      </c>
      <c r="E238" t="s">
        <v>154</v>
      </c>
      <c r="F238" t="s">
        <v>204</v>
      </c>
      <c r="G238" t="s">
        <v>2177</v>
      </c>
      <c r="I238" t="s">
        <v>443</v>
      </c>
    </row>
    <row r="239" spans="1:9">
      <c r="A239">
        <v>1192</v>
      </c>
      <c r="B239" t="s">
        <v>476</v>
      </c>
      <c r="C239" t="s">
        <v>477</v>
      </c>
      <c r="D239" t="s">
        <v>136</v>
      </c>
      <c r="E239" t="s">
        <v>121</v>
      </c>
      <c r="F239" t="s">
        <v>143</v>
      </c>
      <c r="G239" t="s">
        <v>2179</v>
      </c>
      <c r="I239" t="s">
        <v>478</v>
      </c>
    </row>
    <row r="240" spans="1:9">
      <c r="A240">
        <v>1194</v>
      </c>
      <c r="B240" t="s">
        <v>3179</v>
      </c>
      <c r="C240" t="s">
        <v>2181</v>
      </c>
      <c r="D240" t="s">
        <v>125</v>
      </c>
      <c r="E240" t="s">
        <v>126</v>
      </c>
      <c r="F240" t="s">
        <v>126</v>
      </c>
      <c r="G240" t="s">
        <v>2183</v>
      </c>
      <c r="I240" t="s">
        <v>2182</v>
      </c>
    </row>
    <row r="241" spans="1:9">
      <c r="A241">
        <v>1199</v>
      </c>
      <c r="B241" t="s">
        <v>3180</v>
      </c>
      <c r="C241" t="s">
        <v>2185</v>
      </c>
      <c r="D241" t="s">
        <v>113</v>
      </c>
      <c r="E241" t="s">
        <v>233</v>
      </c>
      <c r="F241" t="s">
        <v>63</v>
      </c>
      <c r="G241" t="s">
        <v>2187</v>
      </c>
      <c r="H241">
        <v>1</v>
      </c>
      <c r="I241" t="s">
        <v>2186</v>
      </c>
    </row>
    <row r="242" spans="1:9">
      <c r="A242">
        <v>1203</v>
      </c>
      <c r="B242" t="s">
        <v>238</v>
      </c>
      <c r="C242" t="s">
        <v>239</v>
      </c>
      <c r="D242" t="s">
        <v>136</v>
      </c>
      <c r="E242" t="s">
        <v>176</v>
      </c>
      <c r="F242" t="s">
        <v>204</v>
      </c>
      <c r="G242" t="s">
        <v>2189</v>
      </c>
      <c r="I242" t="s">
        <v>240</v>
      </c>
    </row>
    <row r="243" spans="1:9">
      <c r="A243">
        <v>1206</v>
      </c>
      <c r="B243" t="s">
        <v>331</v>
      </c>
      <c r="C243" t="s">
        <v>332</v>
      </c>
      <c r="D243" t="s">
        <v>43</v>
      </c>
      <c r="E243" t="s">
        <v>155</v>
      </c>
      <c r="F243" t="s">
        <v>126</v>
      </c>
      <c r="G243" t="s">
        <v>2191</v>
      </c>
      <c r="I243" t="s">
        <v>126</v>
      </c>
    </row>
    <row r="244" spans="1:9">
      <c r="A244">
        <v>1210</v>
      </c>
      <c r="B244" t="s">
        <v>674</v>
      </c>
      <c r="C244" t="s">
        <v>675</v>
      </c>
      <c r="D244" t="s">
        <v>113</v>
      </c>
      <c r="E244" t="s">
        <v>176</v>
      </c>
      <c r="F244" t="s">
        <v>65</v>
      </c>
      <c r="G244" t="s">
        <v>2115</v>
      </c>
      <c r="I244" t="s">
        <v>126</v>
      </c>
    </row>
    <row r="245" spans="1:9">
      <c r="A245">
        <v>1216</v>
      </c>
      <c r="B245" t="s">
        <v>3181</v>
      </c>
      <c r="C245" t="s">
        <v>2194</v>
      </c>
      <c r="D245" t="s">
        <v>117</v>
      </c>
      <c r="E245" t="s">
        <v>42</v>
      </c>
      <c r="F245" t="s">
        <v>126</v>
      </c>
      <c r="G245" t="s">
        <v>1927</v>
      </c>
      <c r="I245" t="s">
        <v>2195</v>
      </c>
    </row>
    <row r="246" spans="1:9">
      <c r="A246">
        <v>1220</v>
      </c>
      <c r="B246" t="s">
        <v>342</v>
      </c>
      <c r="C246" t="s">
        <v>343</v>
      </c>
      <c r="D246" t="s">
        <v>42</v>
      </c>
      <c r="E246" t="s">
        <v>126</v>
      </c>
      <c r="F246" t="s">
        <v>126</v>
      </c>
      <c r="G246" t="s">
        <v>2197</v>
      </c>
      <c r="I246" t="s">
        <v>344</v>
      </c>
    </row>
    <row r="247" spans="1:9">
      <c r="A247">
        <v>1223</v>
      </c>
      <c r="B247" t="s">
        <v>700</v>
      </c>
      <c r="C247" t="s">
        <v>701</v>
      </c>
      <c r="D247" t="s">
        <v>113</v>
      </c>
      <c r="E247" t="s">
        <v>42</v>
      </c>
      <c r="F247" t="s">
        <v>126</v>
      </c>
      <c r="G247" t="s">
        <v>1959</v>
      </c>
      <c r="I247" t="s">
        <v>126</v>
      </c>
    </row>
    <row r="248" spans="1:9">
      <c r="A248">
        <v>1224</v>
      </c>
      <c r="B248" t="s">
        <v>1193</v>
      </c>
      <c r="C248" t="s">
        <v>1194</v>
      </c>
      <c r="D248" t="s">
        <v>113</v>
      </c>
      <c r="E248" t="s">
        <v>139</v>
      </c>
      <c r="F248" t="s">
        <v>126</v>
      </c>
      <c r="G248" t="s">
        <v>2200</v>
      </c>
      <c r="I248" t="s">
        <v>126</v>
      </c>
    </row>
    <row r="249" spans="1:9">
      <c r="A249">
        <v>1225</v>
      </c>
      <c r="B249" t="s">
        <v>3182</v>
      </c>
      <c r="C249" t="s">
        <v>2202</v>
      </c>
      <c r="D249" t="s">
        <v>125</v>
      </c>
      <c r="E249" t="s">
        <v>126</v>
      </c>
      <c r="F249" t="s">
        <v>126</v>
      </c>
      <c r="G249" t="s">
        <v>1821</v>
      </c>
      <c r="I249" t="s">
        <v>126</v>
      </c>
    </row>
    <row r="250" spans="1:9">
      <c r="A250">
        <v>1231</v>
      </c>
      <c r="B250" t="s">
        <v>3183</v>
      </c>
      <c r="C250" t="s">
        <v>2204</v>
      </c>
      <c r="D250" t="s">
        <v>113</v>
      </c>
      <c r="E250" t="s">
        <v>154</v>
      </c>
      <c r="F250" t="s">
        <v>126</v>
      </c>
      <c r="G250" t="s">
        <v>2206</v>
      </c>
      <c r="I250" t="s">
        <v>2205</v>
      </c>
    </row>
    <row r="251" spans="1:9">
      <c r="A251">
        <v>1235</v>
      </c>
      <c r="B251" t="s">
        <v>545</v>
      </c>
      <c r="C251" t="s">
        <v>546</v>
      </c>
      <c r="D251" t="s">
        <v>113</v>
      </c>
      <c r="E251" t="s">
        <v>154</v>
      </c>
      <c r="F251" t="s">
        <v>204</v>
      </c>
      <c r="G251" t="s">
        <v>2208</v>
      </c>
      <c r="I251" t="s">
        <v>547</v>
      </c>
    </row>
    <row r="252" spans="1:9">
      <c r="A252">
        <v>1240</v>
      </c>
      <c r="B252" t="s">
        <v>552</v>
      </c>
      <c r="C252" t="s">
        <v>553</v>
      </c>
      <c r="D252" t="s">
        <v>44</v>
      </c>
      <c r="E252" t="s">
        <v>126</v>
      </c>
      <c r="F252" t="s">
        <v>126</v>
      </c>
      <c r="G252" t="s">
        <v>1973</v>
      </c>
      <c r="I252" t="s">
        <v>126</v>
      </c>
    </row>
    <row r="253" spans="1:9">
      <c r="A253">
        <v>1246</v>
      </c>
      <c r="B253" t="s">
        <v>3184</v>
      </c>
      <c r="C253" t="s">
        <v>2211</v>
      </c>
      <c r="D253" t="s">
        <v>113</v>
      </c>
      <c r="E253" t="s">
        <v>42</v>
      </c>
      <c r="F253" t="s">
        <v>126</v>
      </c>
      <c r="G253" t="s">
        <v>1698</v>
      </c>
      <c r="I253" t="s">
        <v>126</v>
      </c>
    </row>
    <row r="254" spans="1:9">
      <c r="A254">
        <v>1250</v>
      </c>
      <c r="B254" t="s">
        <v>362</v>
      </c>
      <c r="C254" t="s">
        <v>363</v>
      </c>
      <c r="D254" t="s">
        <v>113</v>
      </c>
      <c r="E254" t="s">
        <v>233</v>
      </c>
      <c r="F254" t="s">
        <v>58</v>
      </c>
      <c r="G254" t="s">
        <v>2213</v>
      </c>
      <c r="I254" t="s">
        <v>126</v>
      </c>
    </row>
    <row r="255" spans="1:9">
      <c r="A255">
        <v>1255</v>
      </c>
      <c r="B255" t="s">
        <v>115</v>
      </c>
      <c r="C255" t="s">
        <v>116</v>
      </c>
      <c r="D255" t="s">
        <v>113</v>
      </c>
      <c r="E255" t="s">
        <v>117</v>
      </c>
      <c r="F255" t="s">
        <v>42</v>
      </c>
      <c r="G255" t="s">
        <v>2215</v>
      </c>
      <c r="H255">
        <v>3</v>
      </c>
      <c r="I255" t="s">
        <v>118</v>
      </c>
    </row>
    <row r="256" spans="1:9">
      <c r="A256">
        <v>1259</v>
      </c>
      <c r="B256" t="s">
        <v>3185</v>
      </c>
      <c r="C256" t="s">
        <v>2217</v>
      </c>
      <c r="D256" t="s">
        <v>233</v>
      </c>
      <c r="E256" t="s">
        <v>42</v>
      </c>
      <c r="F256" t="s">
        <v>126</v>
      </c>
      <c r="G256" t="s">
        <v>1759</v>
      </c>
      <c r="I256" t="s">
        <v>2218</v>
      </c>
    </row>
    <row r="257" spans="1:9">
      <c r="A257">
        <v>1263</v>
      </c>
      <c r="B257" t="s">
        <v>721</v>
      </c>
      <c r="C257" t="s">
        <v>722</v>
      </c>
      <c r="D257" t="s">
        <v>113</v>
      </c>
      <c r="E257" t="s">
        <v>176</v>
      </c>
      <c r="F257" t="s">
        <v>204</v>
      </c>
      <c r="G257" t="s">
        <v>1940</v>
      </c>
      <c r="I257" t="s">
        <v>126</v>
      </c>
    </row>
    <row r="258" spans="1:9">
      <c r="A258">
        <v>1269</v>
      </c>
      <c r="B258" t="s">
        <v>678</v>
      </c>
      <c r="C258" t="s">
        <v>679</v>
      </c>
      <c r="D258" t="s">
        <v>42</v>
      </c>
      <c r="E258" t="s">
        <v>126</v>
      </c>
      <c r="F258" t="s">
        <v>126</v>
      </c>
      <c r="G258" t="s">
        <v>1890</v>
      </c>
      <c r="I258" t="s">
        <v>680</v>
      </c>
    </row>
    <row r="259" spans="1:9">
      <c r="A259">
        <v>1274</v>
      </c>
      <c r="B259" t="s">
        <v>3186</v>
      </c>
      <c r="C259" t="s">
        <v>2222</v>
      </c>
      <c r="D259" t="s">
        <v>113</v>
      </c>
      <c r="E259" t="s">
        <v>511</v>
      </c>
      <c r="F259" t="s">
        <v>1081</v>
      </c>
      <c r="G259" t="s">
        <v>2224</v>
      </c>
      <c r="I259" t="s">
        <v>2223</v>
      </c>
    </row>
    <row r="260" spans="1:9">
      <c r="A260">
        <v>1278</v>
      </c>
      <c r="B260" t="s">
        <v>345</v>
      </c>
      <c r="C260" t="s">
        <v>346</v>
      </c>
      <c r="D260" t="s">
        <v>117</v>
      </c>
      <c r="E260" t="s">
        <v>42</v>
      </c>
      <c r="F260" t="s">
        <v>126</v>
      </c>
      <c r="G260" t="s">
        <v>2226</v>
      </c>
      <c r="I260" t="s">
        <v>126</v>
      </c>
    </row>
    <row r="261" spans="1:9">
      <c r="A261">
        <v>1284</v>
      </c>
      <c r="B261" t="s">
        <v>149</v>
      </c>
      <c r="C261" t="s">
        <v>150</v>
      </c>
      <c r="D261" t="s">
        <v>113</v>
      </c>
      <c r="E261" t="s">
        <v>139</v>
      </c>
      <c r="F261" t="s">
        <v>82</v>
      </c>
      <c r="G261" t="s">
        <v>2006</v>
      </c>
      <c r="H261">
        <v>2</v>
      </c>
      <c r="I261" t="s">
        <v>151</v>
      </c>
    </row>
    <row r="262" spans="1:9">
      <c r="A262">
        <v>1289</v>
      </c>
      <c r="B262" t="s">
        <v>277</v>
      </c>
      <c r="C262" t="s">
        <v>278</v>
      </c>
      <c r="D262" t="s">
        <v>113</v>
      </c>
      <c r="E262" t="s">
        <v>42</v>
      </c>
      <c r="F262" t="s">
        <v>65</v>
      </c>
      <c r="G262" t="s">
        <v>1682</v>
      </c>
      <c r="I262" t="s">
        <v>279</v>
      </c>
    </row>
    <row r="263" spans="1:9">
      <c r="A263">
        <v>1293</v>
      </c>
      <c r="B263" t="s">
        <v>851</v>
      </c>
      <c r="C263" t="s">
        <v>852</v>
      </c>
      <c r="D263" t="s">
        <v>113</v>
      </c>
      <c r="E263" t="s">
        <v>176</v>
      </c>
      <c r="F263" t="s">
        <v>65</v>
      </c>
      <c r="G263" t="s">
        <v>2031</v>
      </c>
      <c r="I263" t="s">
        <v>853</v>
      </c>
    </row>
    <row r="264" spans="1:9">
      <c r="A264">
        <v>1298</v>
      </c>
      <c r="B264" t="s">
        <v>453</v>
      </c>
      <c r="C264" t="s">
        <v>454</v>
      </c>
      <c r="D264" t="s">
        <v>113</v>
      </c>
      <c r="E264" t="s">
        <v>176</v>
      </c>
      <c r="F264" t="s">
        <v>121</v>
      </c>
      <c r="G264" t="s">
        <v>2164</v>
      </c>
      <c r="I264" t="s">
        <v>126</v>
      </c>
    </row>
    <row r="265" spans="1:9">
      <c r="A265">
        <v>1301</v>
      </c>
      <c r="B265" t="s">
        <v>1053</v>
      </c>
      <c r="C265" t="s">
        <v>1054</v>
      </c>
      <c r="D265" t="s">
        <v>113</v>
      </c>
      <c r="E265" t="s">
        <v>42</v>
      </c>
      <c r="F265" t="s">
        <v>65</v>
      </c>
      <c r="G265" t="s">
        <v>2232</v>
      </c>
      <c r="I265" t="s">
        <v>126</v>
      </c>
    </row>
    <row r="266" spans="1:9">
      <c r="A266">
        <v>1307</v>
      </c>
      <c r="B266" t="s">
        <v>1294</v>
      </c>
      <c r="C266" t="s">
        <v>1295</v>
      </c>
      <c r="D266" t="s">
        <v>113</v>
      </c>
      <c r="E266" t="s">
        <v>233</v>
      </c>
      <c r="F266" t="s">
        <v>117</v>
      </c>
      <c r="G266" t="s">
        <v>1816</v>
      </c>
      <c r="H266">
        <v>1</v>
      </c>
      <c r="I266" t="s">
        <v>126</v>
      </c>
    </row>
    <row r="267" spans="1:9">
      <c r="A267">
        <v>1312</v>
      </c>
      <c r="B267" t="s">
        <v>161</v>
      </c>
      <c r="C267" t="s">
        <v>162</v>
      </c>
      <c r="D267" t="s">
        <v>117</v>
      </c>
      <c r="E267" t="s">
        <v>42</v>
      </c>
      <c r="F267" t="s">
        <v>126</v>
      </c>
      <c r="G267" t="s">
        <v>2235</v>
      </c>
      <c r="I267" t="s">
        <v>163</v>
      </c>
    </row>
    <row r="268" spans="1:9">
      <c r="A268">
        <v>1316</v>
      </c>
      <c r="B268" t="s">
        <v>645</v>
      </c>
      <c r="C268" t="s">
        <v>646</v>
      </c>
      <c r="D268" t="s">
        <v>117</v>
      </c>
      <c r="E268" t="s">
        <v>67</v>
      </c>
      <c r="F268" t="s">
        <v>647</v>
      </c>
      <c r="G268" t="s">
        <v>2237</v>
      </c>
      <c r="H268">
        <v>1</v>
      </c>
      <c r="I268" t="s">
        <v>126</v>
      </c>
    </row>
    <row r="269" spans="1:9">
      <c r="A269">
        <v>1320</v>
      </c>
      <c r="B269" t="s">
        <v>405</v>
      </c>
      <c r="C269" t="s">
        <v>406</v>
      </c>
      <c r="D269" t="s">
        <v>117</v>
      </c>
      <c r="E269" t="s">
        <v>42</v>
      </c>
      <c r="F269" t="s">
        <v>126</v>
      </c>
      <c r="G269" t="s">
        <v>2239</v>
      </c>
      <c r="I269" t="s">
        <v>126</v>
      </c>
    </row>
    <row r="270" spans="1:9">
      <c r="A270">
        <v>1326</v>
      </c>
      <c r="B270" t="s">
        <v>663</v>
      </c>
      <c r="C270" t="s">
        <v>664</v>
      </c>
      <c r="D270" t="s">
        <v>113</v>
      </c>
      <c r="E270" t="s">
        <v>42</v>
      </c>
      <c r="F270" t="s">
        <v>63</v>
      </c>
      <c r="G270" t="s">
        <v>2069</v>
      </c>
      <c r="I270" t="s">
        <v>665</v>
      </c>
    </row>
    <row r="271" spans="1:9">
      <c r="A271">
        <v>1330</v>
      </c>
      <c r="B271" t="s">
        <v>979</v>
      </c>
      <c r="C271" t="s">
        <v>980</v>
      </c>
      <c r="D271" t="s">
        <v>113</v>
      </c>
      <c r="E271" t="s">
        <v>233</v>
      </c>
      <c r="F271" t="s">
        <v>63</v>
      </c>
      <c r="G271" t="s">
        <v>1745</v>
      </c>
      <c r="I271" t="s">
        <v>126</v>
      </c>
    </row>
    <row r="272" spans="1:9">
      <c r="A272">
        <v>1335</v>
      </c>
      <c r="B272" t="s">
        <v>385</v>
      </c>
      <c r="C272" t="s">
        <v>386</v>
      </c>
      <c r="D272" t="s">
        <v>113</v>
      </c>
      <c r="E272" t="s">
        <v>42</v>
      </c>
      <c r="F272" t="s">
        <v>126</v>
      </c>
      <c r="G272" t="s">
        <v>2243</v>
      </c>
      <c r="I272" t="s">
        <v>387</v>
      </c>
    </row>
    <row r="273" spans="1:9">
      <c r="A273">
        <v>1336</v>
      </c>
      <c r="B273" t="s">
        <v>3187</v>
      </c>
      <c r="C273" t="s">
        <v>2245</v>
      </c>
      <c r="D273" t="s">
        <v>125</v>
      </c>
      <c r="E273" t="s">
        <v>126</v>
      </c>
      <c r="F273" t="s">
        <v>126</v>
      </c>
      <c r="G273" t="s">
        <v>1912</v>
      </c>
      <c r="I273" t="s">
        <v>126</v>
      </c>
    </row>
    <row r="274" spans="1:9">
      <c r="A274">
        <v>1340</v>
      </c>
      <c r="B274" t="s">
        <v>282</v>
      </c>
      <c r="C274" t="s">
        <v>283</v>
      </c>
      <c r="D274" t="s">
        <v>113</v>
      </c>
      <c r="E274" t="s">
        <v>42</v>
      </c>
      <c r="F274" t="s">
        <v>172</v>
      </c>
      <c r="G274" t="s">
        <v>2247</v>
      </c>
      <c r="I274" t="s">
        <v>126</v>
      </c>
    </row>
    <row r="275" spans="1:9">
      <c r="A275">
        <v>1345</v>
      </c>
      <c r="B275" t="s">
        <v>819</v>
      </c>
      <c r="C275" t="s">
        <v>820</v>
      </c>
      <c r="D275" t="s">
        <v>113</v>
      </c>
      <c r="E275" t="s">
        <v>139</v>
      </c>
      <c r="F275" t="s">
        <v>176</v>
      </c>
      <c r="G275" t="s">
        <v>1896</v>
      </c>
      <c r="I275" t="s">
        <v>821</v>
      </c>
    </row>
    <row r="276" spans="1:9">
      <c r="A276">
        <v>1349</v>
      </c>
      <c r="B276" t="s">
        <v>639</v>
      </c>
      <c r="C276" t="s">
        <v>640</v>
      </c>
      <c r="D276" t="s">
        <v>113</v>
      </c>
      <c r="E276" t="s">
        <v>42</v>
      </c>
      <c r="F276" t="s">
        <v>217</v>
      </c>
      <c r="G276" t="s">
        <v>2018</v>
      </c>
      <c r="I276" t="s">
        <v>126</v>
      </c>
    </row>
    <row r="277" spans="1:9">
      <c r="A277">
        <v>1354</v>
      </c>
      <c r="B277" t="s">
        <v>1226</v>
      </c>
      <c r="C277" t="s">
        <v>1227</v>
      </c>
      <c r="D277" t="s">
        <v>113</v>
      </c>
      <c r="E277" t="s">
        <v>184</v>
      </c>
      <c r="F277" t="s">
        <v>126</v>
      </c>
      <c r="G277" t="s">
        <v>2251</v>
      </c>
      <c r="I277" t="s">
        <v>1228</v>
      </c>
    </row>
    <row r="278" spans="1:9">
      <c r="A278">
        <v>1359</v>
      </c>
      <c r="B278" t="s">
        <v>261</v>
      </c>
      <c r="C278" t="s">
        <v>262</v>
      </c>
      <c r="D278" t="s">
        <v>233</v>
      </c>
      <c r="E278" t="s">
        <v>42</v>
      </c>
      <c r="F278" t="s">
        <v>263</v>
      </c>
      <c r="G278" t="s">
        <v>2253</v>
      </c>
      <c r="I278" t="s">
        <v>264</v>
      </c>
    </row>
    <row r="279" spans="1:9">
      <c r="A279">
        <v>1363</v>
      </c>
      <c r="B279" t="s">
        <v>1346</v>
      </c>
      <c r="C279" t="s">
        <v>1347</v>
      </c>
      <c r="D279" t="s">
        <v>113</v>
      </c>
      <c r="E279" t="s">
        <v>42</v>
      </c>
      <c r="F279" t="s">
        <v>63</v>
      </c>
      <c r="G279" t="s">
        <v>2255</v>
      </c>
      <c r="I279" t="s">
        <v>126</v>
      </c>
    </row>
    <row r="280" spans="1:9">
      <c r="A280">
        <v>1368</v>
      </c>
      <c r="B280" t="s">
        <v>174</v>
      </c>
      <c r="C280" t="s">
        <v>175</v>
      </c>
      <c r="D280" t="s">
        <v>113</v>
      </c>
      <c r="E280" t="s">
        <v>176</v>
      </c>
      <c r="F280" t="s">
        <v>121</v>
      </c>
      <c r="G280" t="s">
        <v>2257</v>
      </c>
      <c r="H280">
        <v>3</v>
      </c>
      <c r="I280" t="s">
        <v>177</v>
      </c>
    </row>
    <row r="281" spans="1:9">
      <c r="A281">
        <v>1369</v>
      </c>
      <c r="B281" t="s">
        <v>3188</v>
      </c>
      <c r="C281" t="s">
        <v>2259</v>
      </c>
      <c r="D281" t="s">
        <v>125</v>
      </c>
      <c r="E281" t="s">
        <v>126</v>
      </c>
      <c r="F281" t="s">
        <v>126</v>
      </c>
      <c r="G281" t="s">
        <v>2260</v>
      </c>
      <c r="I281" t="s">
        <v>126</v>
      </c>
    </row>
    <row r="282" spans="1:9">
      <c r="A282">
        <v>1373</v>
      </c>
      <c r="B282" t="s">
        <v>963</v>
      </c>
      <c r="C282" t="s">
        <v>964</v>
      </c>
      <c r="D282" t="s">
        <v>42</v>
      </c>
      <c r="E282" t="s">
        <v>135</v>
      </c>
      <c r="F282" t="s">
        <v>217</v>
      </c>
      <c r="G282" t="s">
        <v>2078</v>
      </c>
      <c r="I282" t="s">
        <v>126</v>
      </c>
    </row>
    <row r="283" spans="1:9">
      <c r="A283">
        <v>1377</v>
      </c>
      <c r="B283" t="s">
        <v>1247</v>
      </c>
      <c r="C283" t="s">
        <v>1248</v>
      </c>
      <c r="D283" t="s">
        <v>135</v>
      </c>
      <c r="E283" t="s">
        <v>136</v>
      </c>
      <c r="F283" t="s">
        <v>204</v>
      </c>
      <c r="G283" t="s">
        <v>2263</v>
      </c>
      <c r="I283" t="s">
        <v>126</v>
      </c>
    </row>
    <row r="284" spans="1:9">
      <c r="A284">
        <v>1383</v>
      </c>
      <c r="B284" t="s">
        <v>771</v>
      </c>
      <c r="C284" t="s">
        <v>772</v>
      </c>
      <c r="D284" t="s">
        <v>113</v>
      </c>
      <c r="E284" t="s">
        <v>63</v>
      </c>
      <c r="F284" t="s">
        <v>172</v>
      </c>
      <c r="G284" t="s">
        <v>2265</v>
      </c>
      <c r="H284">
        <v>1</v>
      </c>
      <c r="I284" t="s">
        <v>773</v>
      </c>
    </row>
    <row r="285" spans="1:9">
      <c r="A285">
        <v>1384</v>
      </c>
      <c r="B285" t="s">
        <v>3189</v>
      </c>
      <c r="C285" t="s">
        <v>2267</v>
      </c>
      <c r="D285" t="s">
        <v>125</v>
      </c>
      <c r="E285" t="s">
        <v>126</v>
      </c>
      <c r="F285" t="s">
        <v>126</v>
      </c>
      <c r="G285" t="s">
        <v>2268</v>
      </c>
      <c r="I285" t="s">
        <v>126</v>
      </c>
    </row>
    <row r="286" spans="1:9">
      <c r="A286">
        <v>1388</v>
      </c>
      <c r="B286" t="s">
        <v>606</v>
      </c>
      <c r="C286" t="s">
        <v>607</v>
      </c>
      <c r="D286" t="s">
        <v>113</v>
      </c>
      <c r="E286" t="s">
        <v>42</v>
      </c>
      <c r="F286" t="s">
        <v>63</v>
      </c>
      <c r="G286" t="s">
        <v>1955</v>
      </c>
      <c r="H286">
        <v>1</v>
      </c>
      <c r="I286" t="s">
        <v>126</v>
      </c>
    </row>
    <row r="287" spans="1:9">
      <c r="A287">
        <v>1392</v>
      </c>
      <c r="B287" t="s">
        <v>766</v>
      </c>
      <c r="C287" t="s">
        <v>767</v>
      </c>
      <c r="D287" t="s">
        <v>117</v>
      </c>
      <c r="E287" t="s">
        <v>647</v>
      </c>
      <c r="F287" t="s">
        <v>768</v>
      </c>
      <c r="G287" t="s">
        <v>2271</v>
      </c>
      <c r="H287">
        <v>1</v>
      </c>
      <c r="I287" t="s">
        <v>126</v>
      </c>
    </row>
    <row r="288" spans="1:9">
      <c r="A288">
        <v>1397</v>
      </c>
      <c r="B288" t="s">
        <v>951</v>
      </c>
      <c r="C288" t="s">
        <v>952</v>
      </c>
      <c r="D288" t="s">
        <v>117</v>
      </c>
      <c r="E288" t="s">
        <v>42</v>
      </c>
      <c r="F288" t="s">
        <v>768</v>
      </c>
      <c r="G288" t="s">
        <v>2273</v>
      </c>
      <c r="I288" t="s">
        <v>126</v>
      </c>
    </row>
    <row r="289" spans="1:9">
      <c r="A289">
        <v>1402</v>
      </c>
      <c r="B289" t="s">
        <v>127</v>
      </c>
      <c r="C289" t="s">
        <v>128</v>
      </c>
      <c r="D289" t="s">
        <v>113</v>
      </c>
      <c r="E289" t="s">
        <v>42</v>
      </c>
      <c r="F289" t="s">
        <v>63</v>
      </c>
      <c r="G289" t="s">
        <v>2275</v>
      </c>
      <c r="H289">
        <v>1</v>
      </c>
      <c r="I289" t="s">
        <v>129</v>
      </c>
    </row>
    <row r="290" spans="1:9">
      <c r="A290">
        <v>1406</v>
      </c>
      <c r="B290" t="s">
        <v>292</v>
      </c>
      <c r="C290" t="s">
        <v>293</v>
      </c>
      <c r="D290" t="s">
        <v>113</v>
      </c>
      <c r="E290" t="s">
        <v>233</v>
      </c>
      <c r="F290" t="s">
        <v>42</v>
      </c>
      <c r="G290" t="s">
        <v>2277</v>
      </c>
      <c r="H290">
        <v>1</v>
      </c>
      <c r="I290" t="s">
        <v>294</v>
      </c>
    </row>
    <row r="291" spans="1:9">
      <c r="A291">
        <v>1411</v>
      </c>
      <c r="B291" t="s">
        <v>280</v>
      </c>
      <c r="C291" t="s">
        <v>281</v>
      </c>
      <c r="D291" t="s">
        <v>42</v>
      </c>
      <c r="E291" t="s">
        <v>126</v>
      </c>
      <c r="F291" t="s">
        <v>126</v>
      </c>
      <c r="G291" t="s">
        <v>1682</v>
      </c>
      <c r="I291" t="s">
        <v>126</v>
      </c>
    </row>
    <row r="292" spans="1:9">
      <c r="A292">
        <v>1412</v>
      </c>
      <c r="B292" t="s">
        <v>3190</v>
      </c>
      <c r="C292" t="s">
        <v>2280</v>
      </c>
      <c r="D292" t="s">
        <v>125</v>
      </c>
      <c r="E292" t="s">
        <v>126</v>
      </c>
      <c r="F292" t="s">
        <v>126</v>
      </c>
      <c r="G292" t="s">
        <v>2155</v>
      </c>
      <c r="I292" t="s">
        <v>126</v>
      </c>
    </row>
    <row r="293" spans="1:9">
      <c r="A293">
        <v>1416</v>
      </c>
      <c r="B293" t="s">
        <v>784</v>
      </c>
      <c r="C293" t="s">
        <v>785</v>
      </c>
      <c r="D293" t="s">
        <v>117</v>
      </c>
      <c r="E293" t="s">
        <v>42</v>
      </c>
      <c r="F293" t="s">
        <v>126</v>
      </c>
      <c r="G293" t="s">
        <v>2041</v>
      </c>
      <c r="I293" t="s">
        <v>786</v>
      </c>
    </row>
    <row r="294" spans="1:9">
      <c r="A294">
        <v>1420</v>
      </c>
      <c r="B294" t="s">
        <v>211</v>
      </c>
      <c r="C294" t="s">
        <v>212</v>
      </c>
      <c r="D294" t="s">
        <v>42</v>
      </c>
      <c r="E294" t="s">
        <v>213</v>
      </c>
      <c r="F294" t="s">
        <v>126</v>
      </c>
      <c r="G294" t="s">
        <v>2283</v>
      </c>
      <c r="I294" t="s">
        <v>214</v>
      </c>
    </row>
    <row r="295" spans="1:9">
      <c r="A295">
        <v>1425</v>
      </c>
      <c r="B295" t="s">
        <v>493</v>
      </c>
      <c r="C295" t="s">
        <v>494</v>
      </c>
      <c r="D295" t="s">
        <v>113</v>
      </c>
      <c r="E295" t="s">
        <v>42</v>
      </c>
      <c r="F295" t="s">
        <v>208</v>
      </c>
      <c r="G295" t="s">
        <v>1922</v>
      </c>
      <c r="H295">
        <v>3</v>
      </c>
      <c r="I295" t="s">
        <v>495</v>
      </c>
    </row>
    <row r="296" spans="1:9">
      <c r="A296">
        <v>1434</v>
      </c>
      <c r="B296" t="s">
        <v>880</v>
      </c>
      <c r="C296" t="s">
        <v>881</v>
      </c>
      <c r="D296" t="s">
        <v>113</v>
      </c>
      <c r="E296" t="s">
        <v>42</v>
      </c>
      <c r="F296" t="s">
        <v>204</v>
      </c>
      <c r="G296" t="s">
        <v>1739</v>
      </c>
      <c r="I296" t="s">
        <v>882</v>
      </c>
    </row>
    <row r="297" spans="1:9">
      <c r="A297">
        <v>1439</v>
      </c>
      <c r="B297" t="s">
        <v>329</v>
      </c>
      <c r="C297" t="s">
        <v>330</v>
      </c>
      <c r="D297" t="s">
        <v>113</v>
      </c>
      <c r="E297" t="s">
        <v>154</v>
      </c>
      <c r="F297" t="s">
        <v>204</v>
      </c>
      <c r="G297" t="s">
        <v>2039</v>
      </c>
      <c r="I297" t="s">
        <v>126</v>
      </c>
    </row>
    <row r="298" spans="1:9">
      <c r="A298">
        <v>1444</v>
      </c>
      <c r="B298" t="s">
        <v>336</v>
      </c>
      <c r="C298" t="s">
        <v>337</v>
      </c>
      <c r="D298" t="s">
        <v>113</v>
      </c>
      <c r="E298" t="s">
        <v>42</v>
      </c>
      <c r="F298" t="s">
        <v>217</v>
      </c>
      <c r="G298" t="s">
        <v>1672</v>
      </c>
      <c r="I298" t="s">
        <v>338</v>
      </c>
    </row>
    <row r="299" spans="1:9">
      <c r="A299">
        <v>1449</v>
      </c>
      <c r="B299" t="s">
        <v>748</v>
      </c>
      <c r="C299" t="s">
        <v>749</v>
      </c>
      <c r="D299" t="s">
        <v>113</v>
      </c>
      <c r="E299" t="s">
        <v>42</v>
      </c>
      <c r="F299" t="s">
        <v>126</v>
      </c>
      <c r="G299" t="s">
        <v>2100</v>
      </c>
      <c r="I299" t="s">
        <v>126</v>
      </c>
    </row>
    <row r="300" spans="1:9">
      <c r="A300">
        <v>1453</v>
      </c>
      <c r="B300" t="s">
        <v>1155</v>
      </c>
      <c r="C300" t="s">
        <v>1156</v>
      </c>
      <c r="D300" t="s">
        <v>113</v>
      </c>
      <c r="E300" t="s">
        <v>233</v>
      </c>
      <c r="F300" t="s">
        <v>624</v>
      </c>
      <c r="G300" t="s">
        <v>2290</v>
      </c>
      <c r="I300" t="s">
        <v>126</v>
      </c>
    </row>
    <row r="301" spans="1:9">
      <c r="A301">
        <v>1458</v>
      </c>
      <c r="B301" t="s">
        <v>317</v>
      </c>
      <c r="C301" t="s">
        <v>318</v>
      </c>
      <c r="D301" t="s">
        <v>113</v>
      </c>
      <c r="E301" t="s">
        <v>42</v>
      </c>
      <c r="F301" t="s">
        <v>126</v>
      </c>
      <c r="G301" t="s">
        <v>2092</v>
      </c>
      <c r="I301" t="s">
        <v>319</v>
      </c>
    </row>
    <row r="302" spans="1:9">
      <c r="A302">
        <v>1463</v>
      </c>
      <c r="B302" t="s">
        <v>164</v>
      </c>
      <c r="C302" t="s">
        <v>165</v>
      </c>
      <c r="D302" t="s">
        <v>113</v>
      </c>
      <c r="E302" t="s">
        <v>42</v>
      </c>
      <c r="F302" t="s">
        <v>65</v>
      </c>
      <c r="G302" t="s">
        <v>2235</v>
      </c>
      <c r="I302" t="s">
        <v>166</v>
      </c>
    </row>
    <row r="303" spans="1:9">
      <c r="A303">
        <v>1467</v>
      </c>
      <c r="B303" t="s">
        <v>376</v>
      </c>
      <c r="C303" t="s">
        <v>377</v>
      </c>
      <c r="D303" t="s">
        <v>113</v>
      </c>
      <c r="E303" t="s">
        <v>233</v>
      </c>
      <c r="F303" t="s">
        <v>42</v>
      </c>
      <c r="G303" t="s">
        <v>1804</v>
      </c>
      <c r="H303">
        <v>3</v>
      </c>
      <c r="I303" t="s">
        <v>126</v>
      </c>
    </row>
    <row r="304" spans="1:9">
      <c r="A304">
        <v>1473</v>
      </c>
      <c r="B304" t="s">
        <v>356</v>
      </c>
      <c r="C304" t="s">
        <v>357</v>
      </c>
      <c r="D304" t="s">
        <v>113</v>
      </c>
      <c r="E304" t="s">
        <v>42</v>
      </c>
      <c r="F304" t="s">
        <v>126</v>
      </c>
      <c r="G304" t="s">
        <v>2295</v>
      </c>
      <c r="I304" t="s">
        <v>358</v>
      </c>
    </row>
    <row r="305" spans="1:9">
      <c r="A305">
        <v>1478</v>
      </c>
      <c r="B305" t="s">
        <v>507</v>
      </c>
      <c r="C305" t="s">
        <v>508</v>
      </c>
      <c r="D305" t="s">
        <v>113</v>
      </c>
      <c r="E305" t="s">
        <v>233</v>
      </c>
      <c r="F305" t="s">
        <v>42</v>
      </c>
      <c r="G305" t="s">
        <v>2297</v>
      </c>
      <c r="H305">
        <v>1</v>
      </c>
      <c r="I305" t="s">
        <v>126</v>
      </c>
    </row>
    <row r="306" spans="1:9">
      <c r="A306">
        <v>1479</v>
      </c>
      <c r="B306" t="s">
        <v>3191</v>
      </c>
      <c r="C306" t="s">
        <v>2299</v>
      </c>
      <c r="D306" t="s">
        <v>125</v>
      </c>
      <c r="E306" t="s">
        <v>126</v>
      </c>
      <c r="F306" t="s">
        <v>126</v>
      </c>
      <c r="G306" t="s">
        <v>2301</v>
      </c>
      <c r="I306" t="s">
        <v>2300</v>
      </c>
    </row>
    <row r="307" spans="1:9">
      <c r="A307">
        <v>1483</v>
      </c>
      <c r="B307" t="s">
        <v>1268</v>
      </c>
      <c r="C307" t="s">
        <v>1269</v>
      </c>
      <c r="D307" t="s">
        <v>154</v>
      </c>
      <c r="E307" t="s">
        <v>42</v>
      </c>
      <c r="F307" t="s">
        <v>147</v>
      </c>
      <c r="G307" t="s">
        <v>2303</v>
      </c>
      <c r="I307" t="s">
        <v>126</v>
      </c>
    </row>
    <row r="308" spans="1:9">
      <c r="A308">
        <v>1489</v>
      </c>
      <c r="B308" t="s">
        <v>221</v>
      </c>
      <c r="C308" t="s">
        <v>222</v>
      </c>
      <c r="D308" t="s">
        <v>180</v>
      </c>
      <c r="E308" t="s">
        <v>121</v>
      </c>
      <c r="F308" t="s">
        <v>172</v>
      </c>
      <c r="G308" t="s">
        <v>2305</v>
      </c>
      <c r="H308">
        <v>2</v>
      </c>
      <c r="I308" t="s">
        <v>223</v>
      </c>
    </row>
    <row r="309" spans="1:9">
      <c r="A309">
        <v>1494</v>
      </c>
      <c r="B309" t="s">
        <v>1450</v>
      </c>
      <c r="C309" t="s">
        <v>1451</v>
      </c>
      <c r="D309" t="s">
        <v>42</v>
      </c>
      <c r="E309" t="s">
        <v>82</v>
      </c>
      <c r="F309" t="s">
        <v>204</v>
      </c>
      <c r="G309" t="s">
        <v>2307</v>
      </c>
      <c r="I309" t="s">
        <v>126</v>
      </c>
    </row>
    <row r="310" spans="1:9">
      <c r="A310">
        <v>1499</v>
      </c>
      <c r="B310" t="s">
        <v>905</v>
      </c>
      <c r="C310" t="s">
        <v>906</v>
      </c>
      <c r="D310" t="s">
        <v>113</v>
      </c>
      <c r="E310" t="s">
        <v>208</v>
      </c>
      <c r="F310" t="s">
        <v>209</v>
      </c>
      <c r="G310" t="s">
        <v>1716</v>
      </c>
      <c r="H310">
        <v>2</v>
      </c>
      <c r="I310" t="s">
        <v>126</v>
      </c>
    </row>
    <row r="311" spans="1:9">
      <c r="A311">
        <v>1505</v>
      </c>
      <c r="B311" t="s">
        <v>1072</v>
      </c>
      <c r="C311" t="s">
        <v>1073</v>
      </c>
      <c r="D311" t="s">
        <v>117</v>
      </c>
      <c r="E311" t="s">
        <v>63</v>
      </c>
      <c r="F311" t="s">
        <v>300</v>
      </c>
      <c r="G311" t="s">
        <v>2310</v>
      </c>
      <c r="H311">
        <v>1</v>
      </c>
      <c r="I311" t="s">
        <v>126</v>
      </c>
    </row>
    <row r="312" spans="1:9">
      <c r="A312">
        <v>1510</v>
      </c>
      <c r="B312" t="s">
        <v>388</v>
      </c>
      <c r="C312" t="s">
        <v>389</v>
      </c>
      <c r="D312" t="s">
        <v>233</v>
      </c>
      <c r="E312" t="s">
        <v>42</v>
      </c>
      <c r="F312" t="s">
        <v>390</v>
      </c>
      <c r="G312" t="s">
        <v>2206</v>
      </c>
      <c r="I312" t="s">
        <v>391</v>
      </c>
    </row>
    <row r="313" spans="1:9">
      <c r="A313">
        <v>1515</v>
      </c>
      <c r="B313" t="s">
        <v>1296</v>
      </c>
      <c r="C313" t="s">
        <v>1297</v>
      </c>
      <c r="D313" t="s">
        <v>113</v>
      </c>
      <c r="E313" t="s">
        <v>233</v>
      </c>
      <c r="F313" t="s">
        <v>624</v>
      </c>
      <c r="G313" t="s">
        <v>1816</v>
      </c>
      <c r="H313">
        <v>1</v>
      </c>
      <c r="I313" t="s">
        <v>126</v>
      </c>
    </row>
    <row r="314" spans="1:9">
      <c r="A314">
        <v>1516</v>
      </c>
      <c r="B314" t="s">
        <v>3192</v>
      </c>
      <c r="C314" t="s">
        <v>2314</v>
      </c>
      <c r="D314" t="s">
        <v>135</v>
      </c>
      <c r="E314" t="s">
        <v>136</v>
      </c>
      <c r="F314" t="s">
        <v>126</v>
      </c>
      <c r="G314" t="s">
        <v>2315</v>
      </c>
      <c r="I314" t="s">
        <v>126</v>
      </c>
    </row>
    <row r="315" spans="1:9">
      <c r="A315">
        <v>1520</v>
      </c>
      <c r="B315" t="s">
        <v>1100</v>
      </c>
      <c r="C315" t="s">
        <v>1101</v>
      </c>
      <c r="D315" t="s">
        <v>117</v>
      </c>
      <c r="E315" t="s">
        <v>63</v>
      </c>
      <c r="F315" t="s">
        <v>126</v>
      </c>
      <c r="G315" t="s">
        <v>2317</v>
      </c>
      <c r="I315" t="s">
        <v>126</v>
      </c>
    </row>
    <row r="316" spans="1:9">
      <c r="A316">
        <v>1521</v>
      </c>
      <c r="B316" t="s">
        <v>846</v>
      </c>
      <c r="C316" t="s">
        <v>847</v>
      </c>
      <c r="D316" t="s">
        <v>113</v>
      </c>
      <c r="E316" t="s">
        <v>154</v>
      </c>
      <c r="F316" t="s">
        <v>82</v>
      </c>
      <c r="G316" t="s">
        <v>1980</v>
      </c>
      <c r="H316">
        <v>1</v>
      </c>
      <c r="I316" t="s">
        <v>126</v>
      </c>
    </row>
    <row r="317" spans="1:9">
      <c r="A317">
        <v>1526</v>
      </c>
      <c r="B317" t="s">
        <v>158</v>
      </c>
      <c r="C317" t="s">
        <v>159</v>
      </c>
      <c r="D317" t="s">
        <v>113</v>
      </c>
      <c r="E317" t="s">
        <v>42</v>
      </c>
      <c r="F317" t="s">
        <v>160</v>
      </c>
      <c r="G317" t="s">
        <v>1990</v>
      </c>
      <c r="H317">
        <v>2</v>
      </c>
      <c r="I317" t="s">
        <v>126</v>
      </c>
    </row>
    <row r="318" spans="1:9">
      <c r="A318">
        <v>1531</v>
      </c>
      <c r="B318" t="s">
        <v>619</v>
      </c>
      <c r="C318" t="s">
        <v>620</v>
      </c>
      <c r="D318" t="s">
        <v>117</v>
      </c>
      <c r="E318" t="s">
        <v>42</v>
      </c>
      <c r="F318" t="s">
        <v>126</v>
      </c>
      <c r="G318" t="s">
        <v>2321</v>
      </c>
      <c r="I318" t="s">
        <v>621</v>
      </c>
    </row>
    <row r="319" spans="1:9">
      <c r="A319">
        <v>1537</v>
      </c>
      <c r="B319" t="s">
        <v>1106</v>
      </c>
      <c r="C319" t="s">
        <v>1107</v>
      </c>
      <c r="D319" t="s">
        <v>113</v>
      </c>
      <c r="E319" t="s">
        <v>272</v>
      </c>
      <c r="F319" t="s">
        <v>204</v>
      </c>
      <c r="G319" t="s">
        <v>2323</v>
      </c>
      <c r="I319" t="s">
        <v>126</v>
      </c>
    </row>
    <row r="320" spans="1:9">
      <c r="A320">
        <v>1542</v>
      </c>
      <c r="B320" t="s">
        <v>868</v>
      </c>
      <c r="C320" t="s">
        <v>869</v>
      </c>
      <c r="D320" t="s">
        <v>139</v>
      </c>
      <c r="E320" t="s">
        <v>117</v>
      </c>
      <c r="F320" t="s">
        <v>82</v>
      </c>
      <c r="G320" t="s">
        <v>1839</v>
      </c>
      <c r="I320" t="s">
        <v>126</v>
      </c>
    </row>
    <row r="321" spans="1:9">
      <c r="A321">
        <v>1547</v>
      </c>
      <c r="B321" t="s">
        <v>339</v>
      </c>
      <c r="C321" t="s">
        <v>340</v>
      </c>
      <c r="D321" t="s">
        <v>113</v>
      </c>
      <c r="E321" t="s">
        <v>42</v>
      </c>
      <c r="F321" t="s">
        <v>172</v>
      </c>
      <c r="G321" t="s">
        <v>1672</v>
      </c>
      <c r="I321" t="s">
        <v>341</v>
      </c>
    </row>
    <row r="322" spans="1:9">
      <c r="A322">
        <v>1548</v>
      </c>
      <c r="B322" t="s">
        <v>3193</v>
      </c>
      <c r="C322" t="s">
        <v>2327</v>
      </c>
      <c r="D322" t="s">
        <v>42</v>
      </c>
      <c r="E322" t="s">
        <v>121</v>
      </c>
      <c r="F322" t="s">
        <v>126</v>
      </c>
      <c r="G322" t="s">
        <v>1845</v>
      </c>
      <c r="I322" t="s">
        <v>2328</v>
      </c>
    </row>
    <row r="323" spans="1:9">
      <c r="A323">
        <v>1553</v>
      </c>
      <c r="B323" t="s">
        <v>1264</v>
      </c>
      <c r="C323" t="s">
        <v>1265</v>
      </c>
      <c r="D323" t="s">
        <v>42</v>
      </c>
      <c r="E323" t="s">
        <v>256</v>
      </c>
      <c r="F323" t="s">
        <v>126</v>
      </c>
      <c r="G323" t="s">
        <v>1676</v>
      </c>
      <c r="I323" t="s">
        <v>126</v>
      </c>
    </row>
    <row r="324" spans="1:9">
      <c r="A324">
        <v>1563</v>
      </c>
      <c r="B324" t="s">
        <v>1041</v>
      </c>
      <c r="C324" t="s">
        <v>1042</v>
      </c>
      <c r="D324" t="s">
        <v>113</v>
      </c>
      <c r="E324" t="s">
        <v>233</v>
      </c>
      <c r="F324" t="s">
        <v>42</v>
      </c>
      <c r="G324" t="s">
        <v>2331</v>
      </c>
      <c r="H324">
        <v>1</v>
      </c>
      <c r="I324" t="s">
        <v>126</v>
      </c>
    </row>
    <row r="325" spans="1:9">
      <c r="A325">
        <v>1568</v>
      </c>
      <c r="B325" t="s">
        <v>392</v>
      </c>
      <c r="C325" t="s">
        <v>393</v>
      </c>
      <c r="D325" t="s">
        <v>113</v>
      </c>
      <c r="E325" t="s">
        <v>136</v>
      </c>
      <c r="F325" t="s">
        <v>217</v>
      </c>
      <c r="G325" t="s">
        <v>2206</v>
      </c>
      <c r="I325" t="s">
        <v>394</v>
      </c>
    </row>
    <row r="326" spans="1:9">
      <c r="A326">
        <v>1569</v>
      </c>
      <c r="B326" t="s">
        <v>569</v>
      </c>
      <c r="C326" t="s">
        <v>570</v>
      </c>
      <c r="D326" t="s">
        <v>113</v>
      </c>
      <c r="E326" t="s">
        <v>233</v>
      </c>
      <c r="F326" t="s">
        <v>511</v>
      </c>
      <c r="G326" t="s">
        <v>2334</v>
      </c>
      <c r="H326">
        <v>7</v>
      </c>
      <c r="I326" t="s">
        <v>571</v>
      </c>
    </row>
    <row r="327" spans="1:9">
      <c r="A327">
        <v>1575</v>
      </c>
      <c r="B327" t="s">
        <v>254</v>
      </c>
      <c r="C327" t="s">
        <v>255</v>
      </c>
      <c r="D327" t="s">
        <v>113</v>
      </c>
      <c r="E327" t="s">
        <v>42</v>
      </c>
      <c r="F327" t="s">
        <v>256</v>
      </c>
      <c r="G327" t="s">
        <v>1982</v>
      </c>
      <c r="I327" t="s">
        <v>257</v>
      </c>
    </row>
    <row r="328" spans="1:9">
      <c r="A328">
        <v>1579</v>
      </c>
      <c r="B328" t="s">
        <v>178</v>
      </c>
      <c r="C328" t="s">
        <v>179</v>
      </c>
      <c r="D328" t="s">
        <v>180</v>
      </c>
      <c r="E328" t="s">
        <v>121</v>
      </c>
      <c r="F328" t="s">
        <v>126</v>
      </c>
      <c r="G328" t="s">
        <v>2337</v>
      </c>
      <c r="I328" t="s">
        <v>181</v>
      </c>
    </row>
    <row r="329" spans="1:9">
      <c r="A329">
        <v>1585</v>
      </c>
      <c r="B329" t="s">
        <v>737</v>
      </c>
      <c r="C329" t="s">
        <v>738</v>
      </c>
      <c r="D329" t="s">
        <v>117</v>
      </c>
      <c r="E329" t="s">
        <v>63</v>
      </c>
      <c r="F329" t="s">
        <v>172</v>
      </c>
      <c r="G329" t="s">
        <v>1773</v>
      </c>
      <c r="I329" t="s">
        <v>126</v>
      </c>
    </row>
    <row r="330" spans="1:9">
      <c r="A330">
        <v>1591</v>
      </c>
      <c r="B330" t="s">
        <v>383</v>
      </c>
      <c r="C330" t="s">
        <v>384</v>
      </c>
      <c r="D330" t="s">
        <v>113</v>
      </c>
      <c r="E330" t="s">
        <v>121</v>
      </c>
      <c r="F330" t="s">
        <v>46</v>
      </c>
      <c r="G330" t="s">
        <v>2140</v>
      </c>
      <c r="H330">
        <v>1</v>
      </c>
      <c r="I330" t="s">
        <v>126</v>
      </c>
    </row>
    <row r="331" spans="1:9">
      <c r="A331">
        <v>1595</v>
      </c>
      <c r="B331" t="s">
        <v>729</v>
      </c>
      <c r="C331" t="s">
        <v>730</v>
      </c>
      <c r="D331" t="s">
        <v>113</v>
      </c>
      <c r="E331" t="s">
        <v>42</v>
      </c>
      <c r="F331" t="s">
        <v>217</v>
      </c>
      <c r="G331" t="s">
        <v>1690</v>
      </c>
      <c r="I331" t="s">
        <v>126</v>
      </c>
    </row>
    <row r="332" spans="1:9">
      <c r="A332">
        <v>1597</v>
      </c>
      <c r="B332" t="s">
        <v>3194</v>
      </c>
      <c r="C332" t="s">
        <v>2342</v>
      </c>
      <c r="D332" t="s">
        <v>117</v>
      </c>
      <c r="E332" t="s">
        <v>160</v>
      </c>
      <c r="F332" t="s">
        <v>135</v>
      </c>
      <c r="G332" t="s">
        <v>2343</v>
      </c>
      <c r="H332">
        <v>1</v>
      </c>
      <c r="I332" t="s">
        <v>126</v>
      </c>
    </row>
    <row r="333" spans="1:9">
      <c r="A333">
        <v>1601</v>
      </c>
      <c r="B333" t="s">
        <v>267</v>
      </c>
      <c r="C333" t="s">
        <v>268</v>
      </c>
      <c r="D333" t="s">
        <v>113</v>
      </c>
      <c r="E333" t="s">
        <v>44</v>
      </c>
      <c r="F333" t="s">
        <v>82</v>
      </c>
      <c r="G333" t="s">
        <v>2345</v>
      </c>
      <c r="H333">
        <v>1</v>
      </c>
      <c r="I333" t="s">
        <v>269</v>
      </c>
    </row>
    <row r="334" spans="1:9">
      <c r="A334">
        <v>1606</v>
      </c>
      <c r="B334" t="s">
        <v>927</v>
      </c>
      <c r="C334" t="s">
        <v>928</v>
      </c>
      <c r="D334" t="s">
        <v>113</v>
      </c>
      <c r="E334" t="s">
        <v>63</v>
      </c>
      <c r="F334" t="s">
        <v>184</v>
      </c>
      <c r="G334" t="s">
        <v>2347</v>
      </c>
      <c r="H334">
        <v>1</v>
      </c>
      <c r="I334" t="s">
        <v>929</v>
      </c>
    </row>
    <row r="335" spans="1:9">
      <c r="A335">
        <v>1610</v>
      </c>
      <c r="B335" t="s">
        <v>1189</v>
      </c>
      <c r="C335" t="s">
        <v>1190</v>
      </c>
      <c r="D335" t="s">
        <v>113</v>
      </c>
      <c r="E335" t="s">
        <v>233</v>
      </c>
      <c r="F335" t="s">
        <v>624</v>
      </c>
      <c r="G335" t="s">
        <v>2349</v>
      </c>
      <c r="H335">
        <v>2</v>
      </c>
      <c r="I335" t="s">
        <v>126</v>
      </c>
    </row>
    <row r="336" spans="1:9">
      <c r="A336">
        <v>1611</v>
      </c>
      <c r="B336" t="s">
        <v>141</v>
      </c>
      <c r="C336" t="s">
        <v>142</v>
      </c>
      <c r="D336" t="s">
        <v>42</v>
      </c>
      <c r="E336" t="s">
        <v>82</v>
      </c>
      <c r="F336" t="s">
        <v>143</v>
      </c>
      <c r="G336" t="s">
        <v>2351</v>
      </c>
      <c r="I336" t="s">
        <v>144</v>
      </c>
    </row>
    <row r="337" spans="1:9">
      <c r="A337">
        <v>1617</v>
      </c>
      <c r="B337" t="s">
        <v>215</v>
      </c>
      <c r="C337" t="s">
        <v>216</v>
      </c>
      <c r="D337" t="s">
        <v>42</v>
      </c>
      <c r="E337" t="s">
        <v>82</v>
      </c>
      <c r="F337" t="s">
        <v>217</v>
      </c>
      <c r="G337" t="s">
        <v>2353</v>
      </c>
      <c r="I337" t="s">
        <v>126</v>
      </c>
    </row>
    <row r="338" spans="1:9">
      <c r="A338">
        <v>1622</v>
      </c>
      <c r="B338" t="s">
        <v>1614</v>
      </c>
      <c r="C338" t="s">
        <v>1615</v>
      </c>
      <c r="D338" t="s">
        <v>233</v>
      </c>
      <c r="E338" t="s">
        <v>155</v>
      </c>
      <c r="F338" t="s">
        <v>156</v>
      </c>
      <c r="G338" t="s">
        <v>2355</v>
      </c>
      <c r="I338" t="s">
        <v>126</v>
      </c>
    </row>
    <row r="339" spans="1:9">
      <c r="A339">
        <v>1627</v>
      </c>
      <c r="B339" t="s">
        <v>762</v>
      </c>
      <c r="C339" t="s">
        <v>763</v>
      </c>
      <c r="D339" t="s">
        <v>113</v>
      </c>
      <c r="E339" t="s">
        <v>233</v>
      </c>
      <c r="F339" t="s">
        <v>180</v>
      </c>
      <c r="G339" t="s">
        <v>2357</v>
      </c>
      <c r="H339">
        <v>1</v>
      </c>
      <c r="I339" t="s">
        <v>126</v>
      </c>
    </row>
    <row r="340" spans="1:9">
      <c r="A340">
        <v>1632</v>
      </c>
      <c r="B340" t="s">
        <v>1034</v>
      </c>
      <c r="C340" t="s">
        <v>1035</v>
      </c>
      <c r="D340" t="s">
        <v>113</v>
      </c>
      <c r="E340" t="s">
        <v>180</v>
      </c>
      <c r="F340" t="s">
        <v>121</v>
      </c>
      <c r="G340" t="s">
        <v>1996</v>
      </c>
      <c r="H340">
        <v>3</v>
      </c>
      <c r="I340" t="s">
        <v>1036</v>
      </c>
    </row>
    <row r="341" spans="1:9">
      <c r="A341">
        <v>1635</v>
      </c>
      <c r="B341" t="s">
        <v>3195</v>
      </c>
      <c r="C341" t="s">
        <v>2360</v>
      </c>
      <c r="D341" t="s">
        <v>125</v>
      </c>
      <c r="E341" t="s">
        <v>126</v>
      </c>
      <c r="F341" t="s">
        <v>126</v>
      </c>
      <c r="G341" t="s">
        <v>1912</v>
      </c>
      <c r="I341" t="s">
        <v>2361</v>
      </c>
    </row>
    <row r="342" spans="1:9">
      <c r="A342">
        <v>1639</v>
      </c>
      <c r="B342" t="s">
        <v>463</v>
      </c>
      <c r="C342" t="s">
        <v>464</v>
      </c>
      <c r="D342" t="s">
        <v>113</v>
      </c>
      <c r="E342" t="s">
        <v>117</v>
      </c>
      <c r="F342" t="s">
        <v>42</v>
      </c>
      <c r="G342" t="s">
        <v>1951</v>
      </c>
      <c r="I342" t="s">
        <v>465</v>
      </c>
    </row>
    <row r="343" spans="1:9">
      <c r="A343">
        <v>1643</v>
      </c>
      <c r="B343" t="s">
        <v>764</v>
      </c>
      <c r="C343" t="s">
        <v>765</v>
      </c>
      <c r="D343" t="s">
        <v>113</v>
      </c>
      <c r="E343" t="s">
        <v>233</v>
      </c>
      <c r="F343" t="s">
        <v>42</v>
      </c>
      <c r="G343" t="s">
        <v>2357</v>
      </c>
      <c r="H343">
        <v>1</v>
      </c>
      <c r="I343" t="s">
        <v>126</v>
      </c>
    </row>
    <row r="344" spans="1:9">
      <c r="A344">
        <v>1645</v>
      </c>
      <c r="B344" t="s">
        <v>3196</v>
      </c>
      <c r="C344" t="s">
        <v>2365</v>
      </c>
      <c r="D344" t="s">
        <v>125</v>
      </c>
      <c r="E344" t="s">
        <v>126</v>
      </c>
      <c r="F344" t="s">
        <v>126</v>
      </c>
      <c r="G344" t="s">
        <v>2366</v>
      </c>
      <c r="I344" t="s">
        <v>126</v>
      </c>
    </row>
    <row r="345" spans="1:9">
      <c r="A345">
        <v>1649</v>
      </c>
      <c r="B345" t="s">
        <v>1116</v>
      </c>
      <c r="C345" t="s">
        <v>1117</v>
      </c>
      <c r="D345" t="s">
        <v>113</v>
      </c>
      <c r="E345" t="s">
        <v>154</v>
      </c>
      <c r="F345" t="s">
        <v>511</v>
      </c>
      <c r="G345" t="s">
        <v>2368</v>
      </c>
      <c r="H345">
        <v>4</v>
      </c>
      <c r="I345" t="s">
        <v>1118</v>
      </c>
    </row>
    <row r="346" spans="1:9">
      <c r="A346">
        <v>1651</v>
      </c>
      <c r="B346" t="s">
        <v>3197</v>
      </c>
      <c r="C346" t="s">
        <v>2370</v>
      </c>
      <c r="D346" t="s">
        <v>125</v>
      </c>
      <c r="E346" t="s">
        <v>126</v>
      </c>
      <c r="F346" t="s">
        <v>126</v>
      </c>
      <c r="G346" t="s">
        <v>2371</v>
      </c>
      <c r="I346" t="s">
        <v>126</v>
      </c>
    </row>
    <row r="347" spans="1:9">
      <c r="A347">
        <v>1655</v>
      </c>
      <c r="B347" t="s">
        <v>1108</v>
      </c>
      <c r="C347" t="s">
        <v>1109</v>
      </c>
      <c r="D347" t="s">
        <v>113</v>
      </c>
      <c r="E347" t="s">
        <v>42</v>
      </c>
      <c r="F347" t="s">
        <v>217</v>
      </c>
      <c r="G347" t="s">
        <v>2323</v>
      </c>
      <c r="I347" t="s">
        <v>126</v>
      </c>
    </row>
    <row r="348" spans="1:9">
      <c r="A348">
        <v>1659</v>
      </c>
      <c r="B348" t="s">
        <v>1083</v>
      </c>
      <c r="C348" t="s">
        <v>1084</v>
      </c>
      <c r="D348" t="s">
        <v>42</v>
      </c>
      <c r="E348" t="s">
        <v>82</v>
      </c>
      <c r="F348" t="s">
        <v>204</v>
      </c>
      <c r="G348" t="s">
        <v>1733</v>
      </c>
      <c r="I348" t="s">
        <v>126</v>
      </c>
    </row>
    <row r="349" spans="1:9">
      <c r="A349">
        <v>1665</v>
      </c>
      <c r="B349" t="s">
        <v>417</v>
      </c>
      <c r="C349" t="s">
        <v>418</v>
      </c>
      <c r="D349" t="s">
        <v>113</v>
      </c>
      <c r="E349" t="s">
        <v>63</v>
      </c>
      <c r="F349" t="s">
        <v>172</v>
      </c>
      <c r="G349" t="s">
        <v>2155</v>
      </c>
      <c r="I349" t="s">
        <v>126</v>
      </c>
    </row>
    <row r="350" spans="1:9">
      <c r="A350">
        <v>1671</v>
      </c>
      <c r="B350" t="s">
        <v>526</v>
      </c>
      <c r="C350" t="s">
        <v>527</v>
      </c>
      <c r="D350" t="s">
        <v>113</v>
      </c>
      <c r="E350" t="s">
        <v>154</v>
      </c>
      <c r="F350" t="s">
        <v>204</v>
      </c>
      <c r="G350" t="s">
        <v>2376</v>
      </c>
      <c r="I350" t="s">
        <v>528</v>
      </c>
    </row>
    <row r="351" spans="1:9">
      <c r="A351">
        <v>1675</v>
      </c>
      <c r="B351" t="s">
        <v>557</v>
      </c>
      <c r="C351" t="s">
        <v>558</v>
      </c>
      <c r="D351" t="s">
        <v>113</v>
      </c>
      <c r="E351" t="s">
        <v>63</v>
      </c>
      <c r="F351" t="s">
        <v>184</v>
      </c>
      <c r="G351" t="s">
        <v>2378</v>
      </c>
      <c r="H351">
        <v>1</v>
      </c>
      <c r="I351" t="s">
        <v>559</v>
      </c>
    </row>
    <row r="352" spans="1:9">
      <c r="A352">
        <v>1681</v>
      </c>
      <c r="B352" t="s">
        <v>1110</v>
      </c>
      <c r="C352" t="s">
        <v>1111</v>
      </c>
      <c r="D352" t="s">
        <v>113</v>
      </c>
      <c r="E352" t="s">
        <v>42</v>
      </c>
      <c r="F352" t="s">
        <v>204</v>
      </c>
      <c r="G352" t="s">
        <v>2380</v>
      </c>
      <c r="I352" t="s">
        <v>126</v>
      </c>
    </row>
    <row r="353" spans="1:9">
      <c r="A353">
        <v>1687</v>
      </c>
      <c r="B353" t="s">
        <v>1137</v>
      </c>
      <c r="C353" t="s">
        <v>1138</v>
      </c>
      <c r="D353" t="s">
        <v>113</v>
      </c>
      <c r="E353" t="s">
        <v>42</v>
      </c>
      <c r="F353" t="s">
        <v>938</v>
      </c>
      <c r="G353" t="s">
        <v>1914</v>
      </c>
      <c r="I353" t="s">
        <v>126</v>
      </c>
    </row>
    <row r="354" spans="1:9">
      <c r="A354">
        <v>1691</v>
      </c>
      <c r="B354" t="s">
        <v>403</v>
      </c>
      <c r="C354" t="s">
        <v>404</v>
      </c>
      <c r="D354" t="s">
        <v>113</v>
      </c>
      <c r="E354" t="s">
        <v>42</v>
      </c>
      <c r="F354" t="s">
        <v>172</v>
      </c>
      <c r="G354" t="s">
        <v>1845</v>
      </c>
      <c r="I354" t="s">
        <v>126</v>
      </c>
    </row>
    <row r="355" spans="1:9">
      <c r="A355">
        <v>1692</v>
      </c>
      <c r="B355" t="s">
        <v>3198</v>
      </c>
      <c r="C355" t="s">
        <v>2384</v>
      </c>
      <c r="D355" t="s">
        <v>42</v>
      </c>
      <c r="E355" t="s">
        <v>126</v>
      </c>
      <c r="F355" t="s">
        <v>126</v>
      </c>
      <c r="G355" t="s">
        <v>2385</v>
      </c>
      <c r="I355" t="s">
        <v>126</v>
      </c>
    </row>
    <row r="356" spans="1:9">
      <c r="A356">
        <v>1697</v>
      </c>
      <c r="B356" t="s">
        <v>308</v>
      </c>
      <c r="C356" t="s">
        <v>309</v>
      </c>
      <c r="D356" t="s">
        <v>113</v>
      </c>
      <c r="E356" t="s">
        <v>272</v>
      </c>
      <c r="F356" t="s">
        <v>180</v>
      </c>
      <c r="G356" t="s">
        <v>2113</v>
      </c>
      <c r="H356">
        <v>2</v>
      </c>
      <c r="I356" t="s">
        <v>310</v>
      </c>
    </row>
    <row r="357" spans="1:9">
      <c r="A357">
        <v>1703</v>
      </c>
      <c r="B357" t="s">
        <v>983</v>
      </c>
      <c r="C357" t="s">
        <v>984</v>
      </c>
      <c r="D357" t="s">
        <v>113</v>
      </c>
      <c r="E357" t="s">
        <v>63</v>
      </c>
      <c r="F357" t="s">
        <v>209</v>
      </c>
      <c r="G357" t="s">
        <v>2160</v>
      </c>
      <c r="H357">
        <v>1</v>
      </c>
      <c r="I357" t="s">
        <v>126</v>
      </c>
    </row>
    <row r="358" spans="1:9">
      <c r="A358">
        <v>1707</v>
      </c>
      <c r="B358" t="s">
        <v>577</v>
      </c>
      <c r="C358" t="s">
        <v>578</v>
      </c>
      <c r="D358" t="s">
        <v>113</v>
      </c>
      <c r="E358" t="s">
        <v>82</v>
      </c>
      <c r="F358" t="s">
        <v>67</v>
      </c>
      <c r="G358" t="s">
        <v>1796</v>
      </c>
      <c r="I358" t="s">
        <v>126</v>
      </c>
    </row>
    <row r="359" spans="1:9">
      <c r="A359">
        <v>1713</v>
      </c>
      <c r="B359" t="s">
        <v>760</v>
      </c>
      <c r="C359" t="s">
        <v>761</v>
      </c>
      <c r="D359" t="s">
        <v>113</v>
      </c>
      <c r="E359" t="s">
        <v>139</v>
      </c>
      <c r="F359" t="s">
        <v>154</v>
      </c>
      <c r="G359" t="s">
        <v>1912</v>
      </c>
      <c r="H359">
        <v>1</v>
      </c>
      <c r="I359" t="s">
        <v>126</v>
      </c>
    </row>
    <row r="360" spans="1:9">
      <c r="A360">
        <v>1714</v>
      </c>
      <c r="B360" t="s">
        <v>3199</v>
      </c>
      <c r="C360" t="s">
        <v>2391</v>
      </c>
      <c r="D360" t="s">
        <v>113</v>
      </c>
      <c r="E360" t="s">
        <v>42</v>
      </c>
      <c r="F360" t="s">
        <v>126</v>
      </c>
      <c r="G360" t="s">
        <v>1940</v>
      </c>
      <c r="I360" t="s">
        <v>126</v>
      </c>
    </row>
    <row r="361" spans="1:9">
      <c r="A361">
        <v>1719</v>
      </c>
      <c r="B361" t="s">
        <v>909</v>
      </c>
      <c r="C361" t="s">
        <v>910</v>
      </c>
      <c r="D361" t="s">
        <v>135</v>
      </c>
      <c r="E361" t="s">
        <v>121</v>
      </c>
      <c r="F361" t="s">
        <v>126</v>
      </c>
      <c r="G361" t="s">
        <v>2393</v>
      </c>
      <c r="I361" t="s">
        <v>126</v>
      </c>
    </row>
    <row r="362" spans="1:9">
      <c r="A362">
        <v>1723</v>
      </c>
      <c r="B362" t="s">
        <v>965</v>
      </c>
      <c r="C362" t="s">
        <v>966</v>
      </c>
      <c r="D362" t="s">
        <v>113</v>
      </c>
      <c r="E362" t="s">
        <v>42</v>
      </c>
      <c r="F362" t="s">
        <v>217</v>
      </c>
      <c r="G362" t="s">
        <v>2078</v>
      </c>
      <c r="I362" t="s">
        <v>126</v>
      </c>
    </row>
    <row r="363" spans="1:9">
      <c r="A363">
        <v>1724</v>
      </c>
      <c r="B363" t="s">
        <v>3200</v>
      </c>
      <c r="C363" t="s">
        <v>2396</v>
      </c>
      <c r="D363" t="s">
        <v>180</v>
      </c>
      <c r="E363" t="s">
        <v>121</v>
      </c>
      <c r="F363" t="s">
        <v>2397</v>
      </c>
      <c r="G363" t="s">
        <v>2398</v>
      </c>
      <c r="I363" t="s">
        <v>126</v>
      </c>
    </row>
    <row r="364" spans="1:9">
      <c r="A364">
        <v>1728</v>
      </c>
      <c r="B364" t="s">
        <v>1112</v>
      </c>
      <c r="C364" t="s">
        <v>1113</v>
      </c>
      <c r="D364" t="s">
        <v>113</v>
      </c>
      <c r="E364" t="s">
        <v>233</v>
      </c>
      <c r="F364" t="s">
        <v>42</v>
      </c>
      <c r="G364" t="s">
        <v>2380</v>
      </c>
      <c r="H364">
        <v>5</v>
      </c>
      <c r="I364" t="s">
        <v>126</v>
      </c>
    </row>
    <row r="365" spans="1:9">
      <c r="A365">
        <v>1735</v>
      </c>
      <c r="B365" t="s">
        <v>617</v>
      </c>
      <c r="C365" t="s">
        <v>618</v>
      </c>
      <c r="D365" t="s">
        <v>113</v>
      </c>
      <c r="E365" t="s">
        <v>233</v>
      </c>
      <c r="F365" t="s">
        <v>42</v>
      </c>
      <c r="G365" t="s">
        <v>1992</v>
      </c>
      <c r="H365">
        <v>2</v>
      </c>
      <c r="I365" t="s">
        <v>126</v>
      </c>
    </row>
    <row r="366" spans="1:9">
      <c r="A366">
        <v>1739</v>
      </c>
      <c r="B366" t="s">
        <v>641</v>
      </c>
      <c r="C366" t="s">
        <v>642</v>
      </c>
      <c r="D366" t="s">
        <v>233</v>
      </c>
      <c r="E366" t="s">
        <v>154</v>
      </c>
      <c r="F366" t="s">
        <v>63</v>
      </c>
      <c r="G366" t="s">
        <v>2018</v>
      </c>
      <c r="I366" t="s">
        <v>126</v>
      </c>
    </row>
    <row r="367" spans="1:9">
      <c r="A367">
        <v>1745</v>
      </c>
      <c r="B367" t="s">
        <v>889</v>
      </c>
      <c r="C367" t="s">
        <v>890</v>
      </c>
      <c r="D367" t="s">
        <v>117</v>
      </c>
      <c r="E367" t="s">
        <v>42</v>
      </c>
      <c r="F367" t="s">
        <v>126</v>
      </c>
      <c r="G367" t="s">
        <v>1696</v>
      </c>
      <c r="I367" t="s">
        <v>126</v>
      </c>
    </row>
    <row r="368" spans="1:9">
      <c r="A368">
        <v>1751</v>
      </c>
      <c r="B368" t="s">
        <v>353</v>
      </c>
      <c r="C368" t="s">
        <v>354</v>
      </c>
      <c r="D368" t="s">
        <v>113</v>
      </c>
      <c r="E368" t="s">
        <v>154</v>
      </c>
      <c r="F368" t="s">
        <v>204</v>
      </c>
      <c r="G368" t="s">
        <v>1769</v>
      </c>
      <c r="I368" t="s">
        <v>355</v>
      </c>
    </row>
    <row r="369" spans="1:9">
      <c r="A369">
        <v>1755</v>
      </c>
      <c r="B369" t="s">
        <v>1043</v>
      </c>
      <c r="C369" t="s">
        <v>1044</v>
      </c>
      <c r="D369" t="s">
        <v>113</v>
      </c>
      <c r="E369" t="s">
        <v>272</v>
      </c>
      <c r="F369" t="s">
        <v>147</v>
      </c>
      <c r="G369" t="s">
        <v>2331</v>
      </c>
      <c r="I369" t="s">
        <v>126</v>
      </c>
    </row>
    <row r="370" spans="1:9">
      <c r="A370">
        <v>1761</v>
      </c>
      <c r="B370" t="s">
        <v>953</v>
      </c>
      <c r="C370" t="s">
        <v>954</v>
      </c>
      <c r="D370" t="s">
        <v>121</v>
      </c>
      <c r="E370" t="s">
        <v>126</v>
      </c>
      <c r="F370" t="s">
        <v>126</v>
      </c>
      <c r="G370" t="s">
        <v>2273</v>
      </c>
      <c r="I370" t="s">
        <v>126</v>
      </c>
    </row>
    <row r="371" spans="1:9">
      <c r="A371">
        <v>1766</v>
      </c>
      <c r="B371" t="s">
        <v>1014</v>
      </c>
      <c r="C371" t="s">
        <v>1015</v>
      </c>
      <c r="D371" t="s">
        <v>113</v>
      </c>
      <c r="E371" t="s">
        <v>233</v>
      </c>
      <c r="F371" t="s">
        <v>135</v>
      </c>
      <c r="G371" t="s">
        <v>1712</v>
      </c>
      <c r="H371">
        <v>2</v>
      </c>
      <c r="I371" t="s">
        <v>126</v>
      </c>
    </row>
    <row r="372" spans="1:9">
      <c r="A372">
        <v>1767</v>
      </c>
      <c r="B372" t="s">
        <v>3201</v>
      </c>
      <c r="C372" t="s">
        <v>2408</v>
      </c>
      <c r="D372" t="s">
        <v>125</v>
      </c>
      <c r="E372" t="s">
        <v>126</v>
      </c>
      <c r="F372" t="s">
        <v>126</v>
      </c>
      <c r="G372" t="s">
        <v>2409</v>
      </c>
      <c r="I372" t="s">
        <v>126</v>
      </c>
    </row>
    <row r="373" spans="1:9">
      <c r="A373">
        <v>1770</v>
      </c>
      <c r="B373" t="s">
        <v>1004</v>
      </c>
      <c r="C373" t="s">
        <v>1005</v>
      </c>
      <c r="D373" t="s">
        <v>113</v>
      </c>
      <c r="E373" t="s">
        <v>42</v>
      </c>
      <c r="F373" t="s">
        <v>126</v>
      </c>
      <c r="G373" t="s">
        <v>2411</v>
      </c>
      <c r="I373" t="s">
        <v>1006</v>
      </c>
    </row>
    <row r="374" spans="1:9">
      <c r="A374">
        <v>1771</v>
      </c>
      <c r="B374" t="s">
        <v>1205</v>
      </c>
      <c r="C374" t="s">
        <v>1206</v>
      </c>
      <c r="D374" t="s">
        <v>117</v>
      </c>
      <c r="E374" t="s">
        <v>42</v>
      </c>
      <c r="F374" t="s">
        <v>126</v>
      </c>
      <c r="G374" t="s">
        <v>1731</v>
      </c>
      <c r="I374" t="s">
        <v>126</v>
      </c>
    </row>
    <row r="375" spans="1:9">
      <c r="A375">
        <v>1776</v>
      </c>
      <c r="B375" t="s">
        <v>503</v>
      </c>
      <c r="C375" t="s">
        <v>504</v>
      </c>
      <c r="D375" t="s">
        <v>113</v>
      </c>
      <c r="E375" t="s">
        <v>233</v>
      </c>
      <c r="F375" t="s">
        <v>160</v>
      </c>
      <c r="G375" t="s">
        <v>2414</v>
      </c>
      <c r="H375">
        <v>2</v>
      </c>
      <c r="I375" t="s">
        <v>126</v>
      </c>
    </row>
    <row r="376" spans="1:9">
      <c r="A376">
        <v>1782</v>
      </c>
      <c r="B376" t="s">
        <v>1070</v>
      </c>
      <c r="C376" t="s">
        <v>1071</v>
      </c>
      <c r="D376" t="s">
        <v>113</v>
      </c>
      <c r="E376" t="s">
        <v>272</v>
      </c>
      <c r="F376" t="s">
        <v>154</v>
      </c>
      <c r="G376" t="s">
        <v>1929</v>
      </c>
      <c r="H376">
        <v>2</v>
      </c>
      <c r="I376" t="s">
        <v>126</v>
      </c>
    </row>
    <row r="377" spans="1:9">
      <c r="A377">
        <v>1787</v>
      </c>
      <c r="B377" t="s">
        <v>1102</v>
      </c>
      <c r="C377" t="s">
        <v>1103</v>
      </c>
      <c r="D377" t="s">
        <v>113</v>
      </c>
      <c r="E377" t="s">
        <v>42</v>
      </c>
      <c r="F377" t="s">
        <v>82</v>
      </c>
      <c r="G377" t="s">
        <v>2317</v>
      </c>
      <c r="I377" t="s">
        <v>126</v>
      </c>
    </row>
    <row r="378" spans="1:9">
      <c r="A378">
        <v>1788</v>
      </c>
      <c r="B378" t="s">
        <v>3202</v>
      </c>
      <c r="C378" t="s">
        <v>2418</v>
      </c>
      <c r="D378" t="s">
        <v>113</v>
      </c>
      <c r="E378" t="s">
        <v>139</v>
      </c>
      <c r="F378" t="s">
        <v>63</v>
      </c>
      <c r="G378" t="s">
        <v>2419</v>
      </c>
      <c r="H378">
        <v>1</v>
      </c>
      <c r="I378" t="s">
        <v>126</v>
      </c>
    </row>
    <row r="379" spans="1:9">
      <c r="A379">
        <v>1793</v>
      </c>
      <c r="B379" t="s">
        <v>270</v>
      </c>
      <c r="C379" t="s">
        <v>271</v>
      </c>
      <c r="D379" t="s">
        <v>113</v>
      </c>
      <c r="E379" t="s">
        <v>272</v>
      </c>
      <c r="F379" t="s">
        <v>154</v>
      </c>
      <c r="G379" t="s">
        <v>2421</v>
      </c>
      <c r="H379">
        <v>2</v>
      </c>
      <c r="I379" t="s">
        <v>273</v>
      </c>
    </row>
    <row r="380" spans="1:9">
      <c r="A380">
        <v>1799</v>
      </c>
      <c r="B380" t="s">
        <v>446</v>
      </c>
      <c r="C380" t="s">
        <v>447</v>
      </c>
      <c r="D380" t="s">
        <v>113</v>
      </c>
      <c r="E380" t="s">
        <v>233</v>
      </c>
      <c r="F380" t="s">
        <v>42</v>
      </c>
      <c r="G380" t="s">
        <v>2423</v>
      </c>
      <c r="H380">
        <v>4</v>
      </c>
      <c r="I380" t="s">
        <v>448</v>
      </c>
    </row>
    <row r="381" spans="1:9">
      <c r="A381">
        <v>1803</v>
      </c>
      <c r="B381" t="s">
        <v>750</v>
      </c>
      <c r="C381" t="s">
        <v>751</v>
      </c>
      <c r="D381" t="s">
        <v>113</v>
      </c>
      <c r="E381" t="s">
        <v>82</v>
      </c>
      <c r="F381" t="s">
        <v>67</v>
      </c>
      <c r="G381" t="s">
        <v>2425</v>
      </c>
      <c r="I381" t="s">
        <v>126</v>
      </c>
    </row>
    <row r="382" spans="1:9">
      <c r="A382">
        <v>1808</v>
      </c>
      <c r="B382" t="s">
        <v>1313</v>
      </c>
      <c r="C382" t="s">
        <v>1314</v>
      </c>
      <c r="D382" t="s">
        <v>233</v>
      </c>
      <c r="E382" t="s">
        <v>84</v>
      </c>
      <c r="F382" t="s">
        <v>58</v>
      </c>
      <c r="G382" t="s">
        <v>1761</v>
      </c>
      <c r="I382" t="s">
        <v>126</v>
      </c>
    </row>
    <row r="383" spans="1:9">
      <c r="A383">
        <v>1815</v>
      </c>
      <c r="B383" t="s">
        <v>1093</v>
      </c>
      <c r="C383" t="s">
        <v>1094</v>
      </c>
      <c r="D383" t="s">
        <v>113</v>
      </c>
      <c r="E383" t="s">
        <v>42</v>
      </c>
      <c r="F383" t="s">
        <v>217</v>
      </c>
      <c r="G383" t="s">
        <v>1916</v>
      </c>
      <c r="I383" t="s">
        <v>126</v>
      </c>
    </row>
    <row r="384" spans="1:9">
      <c r="A384">
        <v>1819</v>
      </c>
      <c r="B384" t="s">
        <v>1025</v>
      </c>
      <c r="C384" t="s">
        <v>1026</v>
      </c>
      <c r="D384" t="s">
        <v>113</v>
      </c>
      <c r="E384" t="s">
        <v>233</v>
      </c>
      <c r="F384" t="s">
        <v>1027</v>
      </c>
      <c r="G384" t="s">
        <v>2429</v>
      </c>
      <c r="H384">
        <v>1</v>
      </c>
      <c r="I384" t="s">
        <v>126</v>
      </c>
    </row>
    <row r="385" spans="1:9">
      <c r="A385">
        <v>1825</v>
      </c>
      <c r="B385" t="s">
        <v>1176</v>
      </c>
      <c r="C385" t="s">
        <v>1177</v>
      </c>
      <c r="D385" t="s">
        <v>155</v>
      </c>
      <c r="E385" t="s">
        <v>208</v>
      </c>
      <c r="F385" t="s">
        <v>184</v>
      </c>
      <c r="G385" t="s">
        <v>2431</v>
      </c>
      <c r="H385">
        <v>2</v>
      </c>
      <c r="I385" t="s">
        <v>126</v>
      </c>
    </row>
    <row r="386" spans="1:9">
      <c r="A386">
        <v>1830</v>
      </c>
      <c r="B386" t="s">
        <v>687</v>
      </c>
      <c r="C386" t="s">
        <v>688</v>
      </c>
      <c r="D386" t="s">
        <v>233</v>
      </c>
      <c r="E386" t="s">
        <v>117</v>
      </c>
      <c r="F386" t="s">
        <v>263</v>
      </c>
      <c r="G386" t="s">
        <v>1706</v>
      </c>
      <c r="I386" t="s">
        <v>126</v>
      </c>
    </row>
    <row r="387" spans="1:9">
      <c r="A387">
        <v>1835</v>
      </c>
      <c r="B387" t="s">
        <v>347</v>
      </c>
      <c r="C387" t="s">
        <v>348</v>
      </c>
      <c r="D387" t="s">
        <v>113</v>
      </c>
      <c r="E387" t="s">
        <v>233</v>
      </c>
      <c r="F387" t="s">
        <v>82</v>
      </c>
      <c r="G387" t="s">
        <v>2268</v>
      </c>
      <c r="I387" t="s">
        <v>126</v>
      </c>
    </row>
    <row r="388" spans="1:9">
      <c r="A388">
        <v>1840</v>
      </c>
      <c r="B388" t="s">
        <v>1210</v>
      </c>
      <c r="C388" t="s">
        <v>1211</v>
      </c>
      <c r="D388" t="s">
        <v>113</v>
      </c>
      <c r="E388" t="s">
        <v>233</v>
      </c>
      <c r="F388" t="s">
        <v>172</v>
      </c>
      <c r="G388" t="s">
        <v>1747</v>
      </c>
      <c r="I388" t="s">
        <v>126</v>
      </c>
    </row>
    <row r="389" spans="1:9">
      <c r="A389">
        <v>1842</v>
      </c>
      <c r="B389" t="s">
        <v>3203</v>
      </c>
      <c r="C389" t="s">
        <v>2436</v>
      </c>
      <c r="D389" t="s">
        <v>272</v>
      </c>
      <c r="E389" t="s">
        <v>117</v>
      </c>
      <c r="F389" t="s">
        <v>126</v>
      </c>
      <c r="G389" t="s">
        <v>2334</v>
      </c>
      <c r="I389" t="s">
        <v>126</v>
      </c>
    </row>
    <row r="390" spans="1:9">
      <c r="A390">
        <v>1847</v>
      </c>
      <c r="B390" t="s">
        <v>1128</v>
      </c>
      <c r="C390" t="s">
        <v>1129</v>
      </c>
      <c r="D390" t="s">
        <v>113</v>
      </c>
      <c r="E390" t="s">
        <v>154</v>
      </c>
      <c r="F390" t="s">
        <v>172</v>
      </c>
      <c r="G390" t="s">
        <v>2082</v>
      </c>
      <c r="H390">
        <v>1</v>
      </c>
      <c r="I390" t="s">
        <v>126</v>
      </c>
    </row>
    <row r="391" spans="1:9">
      <c r="A391">
        <v>1851</v>
      </c>
      <c r="B391" t="s">
        <v>650</v>
      </c>
      <c r="C391" t="s">
        <v>651</v>
      </c>
      <c r="D391" t="s">
        <v>113</v>
      </c>
      <c r="E391" t="s">
        <v>154</v>
      </c>
      <c r="F391" t="s">
        <v>550</v>
      </c>
      <c r="G391" t="s">
        <v>2439</v>
      </c>
      <c r="H391">
        <v>2</v>
      </c>
      <c r="I391" t="s">
        <v>126</v>
      </c>
    </row>
    <row r="392" spans="1:9">
      <c r="A392">
        <v>1857</v>
      </c>
      <c r="B392" t="s">
        <v>709</v>
      </c>
      <c r="C392" t="s">
        <v>710</v>
      </c>
      <c r="D392" t="s">
        <v>139</v>
      </c>
      <c r="E392" t="s">
        <v>42</v>
      </c>
      <c r="F392" t="s">
        <v>121</v>
      </c>
      <c r="G392" t="s">
        <v>2441</v>
      </c>
      <c r="H392">
        <v>3</v>
      </c>
      <c r="I392" t="s">
        <v>711</v>
      </c>
    </row>
    <row r="393" spans="1:9">
      <c r="A393">
        <v>1862</v>
      </c>
      <c r="B393" t="s">
        <v>1455</v>
      </c>
      <c r="C393" t="s">
        <v>1456</v>
      </c>
      <c r="D393" t="s">
        <v>113</v>
      </c>
      <c r="E393" t="s">
        <v>233</v>
      </c>
      <c r="F393" t="s">
        <v>154</v>
      </c>
      <c r="G393" t="s">
        <v>1684</v>
      </c>
      <c r="H393">
        <v>1</v>
      </c>
      <c r="I393" t="s">
        <v>126</v>
      </c>
    </row>
    <row r="394" spans="1:9">
      <c r="A394">
        <v>1866</v>
      </c>
      <c r="B394" t="s">
        <v>425</v>
      </c>
      <c r="C394" t="s">
        <v>426</v>
      </c>
      <c r="D394" t="s">
        <v>233</v>
      </c>
      <c r="E394" t="s">
        <v>42</v>
      </c>
      <c r="F394" t="s">
        <v>263</v>
      </c>
      <c r="G394" t="s">
        <v>2444</v>
      </c>
      <c r="I394" t="s">
        <v>126</v>
      </c>
    </row>
    <row r="395" spans="1:9">
      <c r="A395">
        <v>1872</v>
      </c>
      <c r="B395" t="s">
        <v>590</v>
      </c>
      <c r="C395" t="s">
        <v>591</v>
      </c>
      <c r="D395" t="s">
        <v>113</v>
      </c>
      <c r="E395" t="s">
        <v>233</v>
      </c>
      <c r="F395" t="s">
        <v>42</v>
      </c>
      <c r="G395" t="s">
        <v>1765</v>
      </c>
      <c r="H395">
        <v>2</v>
      </c>
      <c r="I395" t="s">
        <v>126</v>
      </c>
    </row>
    <row r="396" spans="1:9">
      <c r="A396">
        <v>1879</v>
      </c>
      <c r="B396" t="s">
        <v>743</v>
      </c>
      <c r="C396" t="s">
        <v>744</v>
      </c>
      <c r="D396" t="s">
        <v>113</v>
      </c>
      <c r="E396" t="s">
        <v>42</v>
      </c>
      <c r="F396" t="s">
        <v>204</v>
      </c>
      <c r="G396" t="s">
        <v>2447</v>
      </c>
      <c r="I396" t="s">
        <v>126</v>
      </c>
    </row>
    <row r="397" spans="1:9">
      <c r="A397">
        <v>1883</v>
      </c>
      <c r="B397" t="s">
        <v>1172</v>
      </c>
      <c r="C397" t="s">
        <v>1173</v>
      </c>
      <c r="D397" t="s">
        <v>113</v>
      </c>
      <c r="E397" t="s">
        <v>42</v>
      </c>
      <c r="F397" t="s">
        <v>126</v>
      </c>
      <c r="G397" t="s">
        <v>2449</v>
      </c>
      <c r="I397" t="s">
        <v>126</v>
      </c>
    </row>
    <row r="398" spans="1:9">
      <c r="A398">
        <v>1889</v>
      </c>
      <c r="B398" t="s">
        <v>1361</v>
      </c>
      <c r="C398" t="s">
        <v>1362</v>
      </c>
      <c r="D398" t="s">
        <v>113</v>
      </c>
      <c r="E398" t="s">
        <v>154</v>
      </c>
      <c r="F398" t="s">
        <v>172</v>
      </c>
      <c r="G398" t="s">
        <v>2061</v>
      </c>
      <c r="H398">
        <v>1</v>
      </c>
      <c r="I398" t="s">
        <v>126</v>
      </c>
    </row>
    <row r="399" spans="1:9">
      <c r="A399">
        <v>1892</v>
      </c>
      <c r="B399" t="s">
        <v>3204</v>
      </c>
      <c r="C399" t="s">
        <v>2452</v>
      </c>
      <c r="D399" t="s">
        <v>125</v>
      </c>
      <c r="E399" t="s">
        <v>126</v>
      </c>
      <c r="F399" t="s">
        <v>126</v>
      </c>
      <c r="G399" t="s">
        <v>1716</v>
      </c>
      <c r="I399" t="s">
        <v>126</v>
      </c>
    </row>
    <row r="400" spans="1:9">
      <c r="A400">
        <v>1896</v>
      </c>
      <c r="B400" t="s">
        <v>572</v>
      </c>
      <c r="C400" t="s">
        <v>573</v>
      </c>
      <c r="D400" t="s">
        <v>233</v>
      </c>
      <c r="E400" t="s">
        <v>117</v>
      </c>
      <c r="F400" t="s">
        <v>42</v>
      </c>
      <c r="G400" t="s">
        <v>2334</v>
      </c>
      <c r="H400">
        <v>1</v>
      </c>
      <c r="I400" t="s">
        <v>126</v>
      </c>
    </row>
    <row r="401" spans="1:10">
      <c r="A401">
        <v>1900</v>
      </c>
      <c r="B401" t="s">
        <v>692</v>
      </c>
      <c r="C401" t="s">
        <v>693</v>
      </c>
      <c r="D401" t="s">
        <v>42</v>
      </c>
      <c r="E401" t="s">
        <v>256</v>
      </c>
      <c r="F401" t="s">
        <v>126</v>
      </c>
      <c r="G401" t="s">
        <v>1966</v>
      </c>
      <c r="I401" t="s">
        <v>126</v>
      </c>
    </row>
    <row r="402" spans="1:10">
      <c r="A402">
        <v>1910</v>
      </c>
      <c r="B402" t="s">
        <v>3129</v>
      </c>
      <c r="C402" t="s">
        <v>2787</v>
      </c>
      <c r="D402" t="s">
        <v>117</v>
      </c>
      <c r="E402" t="s">
        <v>160</v>
      </c>
      <c r="F402" t="s">
        <v>797</v>
      </c>
      <c r="G402" t="s">
        <v>2789</v>
      </c>
      <c r="I402" t="s">
        <v>2788</v>
      </c>
      <c r="J402" t="s">
        <v>126</v>
      </c>
    </row>
    <row r="403" spans="1:10">
      <c r="A403">
        <v>1912</v>
      </c>
      <c r="B403" t="s">
        <v>1212</v>
      </c>
      <c r="C403" t="s">
        <v>1213</v>
      </c>
      <c r="D403" t="s">
        <v>113</v>
      </c>
      <c r="E403" t="s">
        <v>139</v>
      </c>
      <c r="F403" t="s">
        <v>155</v>
      </c>
      <c r="G403" t="s">
        <v>1747</v>
      </c>
      <c r="H403">
        <v>2</v>
      </c>
      <c r="I403" t="s">
        <v>126</v>
      </c>
    </row>
    <row r="404" spans="1:10">
      <c r="A404">
        <v>1916</v>
      </c>
      <c r="B404" t="s">
        <v>705</v>
      </c>
      <c r="C404" t="s">
        <v>706</v>
      </c>
      <c r="D404" t="s">
        <v>233</v>
      </c>
      <c r="E404" t="s">
        <v>42</v>
      </c>
      <c r="F404" t="s">
        <v>135</v>
      </c>
      <c r="G404" t="s">
        <v>2183</v>
      </c>
      <c r="H404">
        <v>3</v>
      </c>
      <c r="I404" t="s">
        <v>126</v>
      </c>
    </row>
    <row r="405" spans="1:10">
      <c r="A405">
        <v>1917</v>
      </c>
      <c r="B405" t="s">
        <v>3205</v>
      </c>
      <c r="C405" t="s">
        <v>2458</v>
      </c>
      <c r="D405" t="s">
        <v>125</v>
      </c>
      <c r="E405" t="s">
        <v>126</v>
      </c>
      <c r="F405" t="s">
        <v>126</v>
      </c>
      <c r="G405" t="s">
        <v>2459</v>
      </c>
      <c r="I405" t="s">
        <v>126</v>
      </c>
    </row>
    <row r="406" spans="1:10">
      <c r="A406">
        <v>1919</v>
      </c>
      <c r="B406" t="s">
        <v>3206</v>
      </c>
      <c r="C406" t="s">
        <v>2461</v>
      </c>
      <c r="D406" t="s">
        <v>125</v>
      </c>
      <c r="E406" t="s">
        <v>126</v>
      </c>
      <c r="F406" t="s">
        <v>126</v>
      </c>
      <c r="G406" t="s">
        <v>1863</v>
      </c>
      <c r="I406" t="s">
        <v>126</v>
      </c>
    </row>
    <row r="407" spans="1:10">
      <c r="A407">
        <v>1923</v>
      </c>
      <c r="B407" t="s">
        <v>1462</v>
      </c>
      <c r="C407" t="s">
        <v>1463</v>
      </c>
      <c r="D407" t="s">
        <v>113</v>
      </c>
      <c r="E407" t="s">
        <v>154</v>
      </c>
      <c r="F407" t="s">
        <v>647</v>
      </c>
      <c r="G407" t="s">
        <v>2463</v>
      </c>
      <c r="H407">
        <v>2</v>
      </c>
      <c r="I407" t="s">
        <v>126</v>
      </c>
    </row>
    <row r="408" spans="1:10">
      <c r="A408">
        <v>1924</v>
      </c>
      <c r="B408" t="s">
        <v>3207</v>
      </c>
      <c r="C408" t="s">
        <v>2465</v>
      </c>
      <c r="D408" t="s">
        <v>113</v>
      </c>
      <c r="E408" t="s">
        <v>233</v>
      </c>
      <c r="F408" t="s">
        <v>624</v>
      </c>
      <c r="G408" t="s">
        <v>2115</v>
      </c>
      <c r="I408" t="s">
        <v>126</v>
      </c>
    </row>
    <row r="409" spans="1:10">
      <c r="A409">
        <v>1928</v>
      </c>
      <c r="B409" t="s">
        <v>1130</v>
      </c>
      <c r="C409" t="s">
        <v>1131</v>
      </c>
      <c r="D409" t="s">
        <v>113</v>
      </c>
      <c r="E409" t="s">
        <v>42</v>
      </c>
      <c r="F409" t="s">
        <v>121</v>
      </c>
      <c r="G409" t="s">
        <v>2082</v>
      </c>
      <c r="I409" t="s">
        <v>126</v>
      </c>
    </row>
    <row r="410" spans="1:10">
      <c r="A410">
        <v>1931</v>
      </c>
      <c r="B410" t="s">
        <v>433</v>
      </c>
      <c r="C410" t="s">
        <v>434</v>
      </c>
      <c r="D410" t="s">
        <v>42</v>
      </c>
      <c r="E410" t="s">
        <v>126</v>
      </c>
      <c r="F410" t="s">
        <v>126</v>
      </c>
      <c r="G410" t="s">
        <v>2010</v>
      </c>
      <c r="I410" t="s">
        <v>126</v>
      </c>
    </row>
    <row r="411" spans="1:10">
      <c r="A411">
        <v>1932</v>
      </c>
      <c r="B411" t="s">
        <v>1214</v>
      </c>
      <c r="C411" t="s">
        <v>1215</v>
      </c>
      <c r="D411" t="s">
        <v>139</v>
      </c>
      <c r="E411" t="s">
        <v>154</v>
      </c>
      <c r="F411" t="s">
        <v>135</v>
      </c>
      <c r="G411" t="s">
        <v>1747</v>
      </c>
      <c r="H411">
        <v>2</v>
      </c>
      <c r="I411" t="s">
        <v>126</v>
      </c>
    </row>
    <row r="412" spans="1:10">
      <c r="A412">
        <v>1938</v>
      </c>
      <c r="B412" t="s">
        <v>940</v>
      </c>
      <c r="C412" t="s">
        <v>941</v>
      </c>
      <c r="D412" t="s">
        <v>113</v>
      </c>
      <c r="E412" t="s">
        <v>139</v>
      </c>
      <c r="F412" t="s">
        <v>82</v>
      </c>
      <c r="G412" t="s">
        <v>1735</v>
      </c>
      <c r="H412">
        <v>2</v>
      </c>
      <c r="I412" t="s">
        <v>126</v>
      </c>
    </row>
    <row r="413" spans="1:10">
      <c r="A413">
        <v>1944</v>
      </c>
      <c r="B413" t="s">
        <v>189</v>
      </c>
      <c r="C413" t="s">
        <v>190</v>
      </c>
      <c r="D413" t="s">
        <v>113</v>
      </c>
      <c r="E413" t="s">
        <v>160</v>
      </c>
      <c r="F413" t="s">
        <v>191</v>
      </c>
      <c r="G413" t="s">
        <v>2147</v>
      </c>
      <c r="I413" t="s">
        <v>126</v>
      </c>
    </row>
    <row r="414" spans="1:10">
      <c r="A414">
        <v>1948</v>
      </c>
      <c r="B414" t="s">
        <v>540</v>
      </c>
      <c r="C414" t="s">
        <v>541</v>
      </c>
      <c r="D414" t="s">
        <v>113</v>
      </c>
      <c r="E414" t="s">
        <v>139</v>
      </c>
      <c r="F414" t="s">
        <v>117</v>
      </c>
      <c r="G414" t="s">
        <v>1794</v>
      </c>
      <c r="H414">
        <v>2</v>
      </c>
      <c r="I414" t="s">
        <v>126</v>
      </c>
    </row>
    <row r="415" spans="1:10">
      <c r="A415">
        <v>1955</v>
      </c>
      <c r="B415" t="s">
        <v>648</v>
      </c>
      <c r="C415" t="s">
        <v>649</v>
      </c>
      <c r="D415" t="s">
        <v>113</v>
      </c>
      <c r="E415" t="s">
        <v>42</v>
      </c>
      <c r="F415" t="s">
        <v>126</v>
      </c>
      <c r="G415" t="s">
        <v>2237</v>
      </c>
      <c r="I415" t="s">
        <v>126</v>
      </c>
    </row>
    <row r="416" spans="1:10">
      <c r="A416">
        <v>1956</v>
      </c>
      <c r="B416" t="s">
        <v>3208</v>
      </c>
      <c r="C416" t="s">
        <v>2474</v>
      </c>
      <c r="D416" t="s">
        <v>113</v>
      </c>
      <c r="E416" t="s">
        <v>233</v>
      </c>
      <c r="F416" t="s">
        <v>154</v>
      </c>
      <c r="G416" t="s">
        <v>2447</v>
      </c>
      <c r="H416">
        <v>2</v>
      </c>
      <c r="I416" t="s">
        <v>126</v>
      </c>
    </row>
    <row r="417" spans="1:9">
      <c r="A417">
        <v>1960</v>
      </c>
      <c r="B417" t="s">
        <v>1381</v>
      </c>
      <c r="C417" t="s">
        <v>1382</v>
      </c>
      <c r="D417" t="s">
        <v>117</v>
      </c>
      <c r="E417" t="s">
        <v>647</v>
      </c>
      <c r="F417" t="s">
        <v>1383</v>
      </c>
      <c r="G417" t="s">
        <v>2476</v>
      </c>
      <c r="I417" t="s">
        <v>126</v>
      </c>
    </row>
    <row r="418" spans="1:9">
      <c r="A418">
        <v>1964</v>
      </c>
      <c r="B418" t="s">
        <v>298</v>
      </c>
      <c r="C418" t="s">
        <v>299</v>
      </c>
      <c r="D418" t="s">
        <v>113</v>
      </c>
      <c r="E418" t="s">
        <v>154</v>
      </c>
      <c r="F418" t="s">
        <v>300</v>
      </c>
      <c r="G418" t="s">
        <v>2478</v>
      </c>
      <c r="I418" t="s">
        <v>301</v>
      </c>
    </row>
    <row r="419" spans="1:9">
      <c r="A419">
        <v>1970</v>
      </c>
      <c r="B419" t="s">
        <v>323</v>
      </c>
      <c r="C419" t="s">
        <v>324</v>
      </c>
      <c r="D419" t="s">
        <v>113</v>
      </c>
      <c r="E419" t="s">
        <v>154</v>
      </c>
      <c r="F419" t="s">
        <v>136</v>
      </c>
      <c r="G419" t="s">
        <v>2025</v>
      </c>
      <c r="H419">
        <v>3</v>
      </c>
      <c r="I419" t="s">
        <v>325</v>
      </c>
    </row>
    <row r="420" spans="1:9">
      <c r="A420">
        <v>1972</v>
      </c>
      <c r="B420" t="s">
        <v>3209</v>
      </c>
      <c r="C420" t="s">
        <v>2481</v>
      </c>
      <c r="D420" t="s">
        <v>125</v>
      </c>
      <c r="E420" t="s">
        <v>126</v>
      </c>
      <c r="F420" t="s">
        <v>126</v>
      </c>
      <c r="G420" t="s">
        <v>2482</v>
      </c>
      <c r="I420" t="s">
        <v>2483</v>
      </c>
    </row>
    <row r="421" spans="1:9">
      <c r="A421">
        <v>1977</v>
      </c>
      <c r="B421" t="s">
        <v>1578</v>
      </c>
      <c r="C421" t="s">
        <v>1579</v>
      </c>
      <c r="D421" t="s">
        <v>117</v>
      </c>
      <c r="E421" t="s">
        <v>42</v>
      </c>
      <c r="F421" t="s">
        <v>1580</v>
      </c>
      <c r="G421" t="s">
        <v>2485</v>
      </c>
      <c r="I421" t="s">
        <v>126</v>
      </c>
    </row>
    <row r="422" spans="1:9">
      <c r="A422">
        <v>1982</v>
      </c>
      <c r="B422" t="s">
        <v>741</v>
      </c>
      <c r="C422" t="s">
        <v>742</v>
      </c>
      <c r="D422" t="s">
        <v>113</v>
      </c>
      <c r="E422" t="s">
        <v>511</v>
      </c>
      <c r="F422" t="s">
        <v>126</v>
      </c>
      <c r="G422" t="s">
        <v>2487</v>
      </c>
      <c r="I422" t="s">
        <v>126</v>
      </c>
    </row>
    <row r="423" spans="1:9">
      <c r="A423">
        <v>1987</v>
      </c>
      <c r="B423" t="s">
        <v>626</v>
      </c>
      <c r="C423" t="s">
        <v>627</v>
      </c>
      <c r="D423" t="s">
        <v>117</v>
      </c>
      <c r="E423" t="s">
        <v>42</v>
      </c>
      <c r="F423" t="s">
        <v>126</v>
      </c>
      <c r="G423" t="s">
        <v>1908</v>
      </c>
      <c r="I423" t="s">
        <v>126</v>
      </c>
    </row>
    <row r="424" spans="1:9">
      <c r="A424">
        <v>1994</v>
      </c>
      <c r="B424" t="s">
        <v>1254</v>
      </c>
      <c r="C424" t="s">
        <v>1255</v>
      </c>
      <c r="D424" t="s">
        <v>113</v>
      </c>
      <c r="E424" t="s">
        <v>233</v>
      </c>
      <c r="F424" t="s">
        <v>42</v>
      </c>
      <c r="G424" t="s">
        <v>2066</v>
      </c>
      <c r="H424">
        <v>2</v>
      </c>
      <c r="I424" t="s">
        <v>126</v>
      </c>
    </row>
    <row r="425" spans="1:9">
      <c r="A425">
        <v>1998</v>
      </c>
      <c r="B425" t="s">
        <v>807</v>
      </c>
      <c r="C425" t="s">
        <v>808</v>
      </c>
      <c r="D425" t="s">
        <v>113</v>
      </c>
      <c r="E425" t="s">
        <v>233</v>
      </c>
      <c r="F425" t="s">
        <v>180</v>
      </c>
      <c r="G425" t="s">
        <v>2491</v>
      </c>
      <c r="H425">
        <v>2</v>
      </c>
      <c r="I425" t="s">
        <v>126</v>
      </c>
    </row>
    <row r="426" spans="1:9">
      <c r="A426">
        <v>2003</v>
      </c>
      <c r="B426" t="s">
        <v>809</v>
      </c>
      <c r="C426" t="s">
        <v>810</v>
      </c>
      <c r="D426" t="s">
        <v>42</v>
      </c>
      <c r="E426" t="s">
        <v>135</v>
      </c>
      <c r="F426" t="s">
        <v>204</v>
      </c>
      <c r="G426" t="s">
        <v>2491</v>
      </c>
      <c r="I426" t="s">
        <v>126</v>
      </c>
    </row>
    <row r="427" spans="1:9">
      <c r="A427">
        <v>2004</v>
      </c>
      <c r="B427" t="s">
        <v>3210</v>
      </c>
      <c r="C427" t="s">
        <v>2494</v>
      </c>
      <c r="D427" t="s">
        <v>125</v>
      </c>
      <c r="E427" t="s">
        <v>126</v>
      </c>
      <c r="F427" t="s">
        <v>126</v>
      </c>
      <c r="G427" t="s">
        <v>1739</v>
      </c>
      <c r="I427" t="s">
        <v>2495</v>
      </c>
    </row>
    <row r="428" spans="1:9">
      <c r="A428">
        <v>2005</v>
      </c>
      <c r="B428" t="s">
        <v>3211</v>
      </c>
      <c r="C428" t="s">
        <v>2497</v>
      </c>
      <c r="D428" t="s">
        <v>233</v>
      </c>
      <c r="E428" t="s">
        <v>42</v>
      </c>
      <c r="F428" t="s">
        <v>135</v>
      </c>
      <c r="G428" t="s">
        <v>2164</v>
      </c>
      <c r="H428">
        <v>2</v>
      </c>
      <c r="I428" t="s">
        <v>126</v>
      </c>
    </row>
    <row r="429" spans="1:9">
      <c r="A429">
        <v>2009</v>
      </c>
      <c r="B429" t="s">
        <v>608</v>
      </c>
      <c r="C429" t="s">
        <v>609</v>
      </c>
      <c r="D429" t="s">
        <v>113</v>
      </c>
      <c r="E429" t="s">
        <v>139</v>
      </c>
      <c r="F429" t="s">
        <v>154</v>
      </c>
      <c r="G429" t="s">
        <v>1955</v>
      </c>
      <c r="H429">
        <v>1</v>
      </c>
      <c r="I429" t="s">
        <v>610</v>
      </c>
    </row>
    <row r="430" spans="1:9">
      <c r="A430">
        <v>2010</v>
      </c>
      <c r="B430" t="s">
        <v>3212</v>
      </c>
      <c r="C430" t="s">
        <v>2500</v>
      </c>
      <c r="D430" t="s">
        <v>125</v>
      </c>
      <c r="E430" t="s">
        <v>126</v>
      </c>
      <c r="F430" t="s">
        <v>126</v>
      </c>
      <c r="G430" t="s">
        <v>2247</v>
      </c>
      <c r="I430" t="s">
        <v>126</v>
      </c>
    </row>
    <row r="431" spans="1:9">
      <c r="A431">
        <v>2014</v>
      </c>
      <c r="B431" t="s">
        <v>535</v>
      </c>
      <c r="C431" t="s">
        <v>536</v>
      </c>
      <c r="D431" t="s">
        <v>117</v>
      </c>
      <c r="E431" t="s">
        <v>44</v>
      </c>
      <c r="F431" t="s">
        <v>63</v>
      </c>
      <c r="G431" t="s">
        <v>2014</v>
      </c>
      <c r="H431">
        <v>2</v>
      </c>
      <c r="I431" t="s">
        <v>126</v>
      </c>
    </row>
    <row r="432" spans="1:9">
      <c r="A432">
        <v>2019</v>
      </c>
      <c r="B432" t="s">
        <v>1329</v>
      </c>
      <c r="C432" t="s">
        <v>1330</v>
      </c>
      <c r="D432" t="s">
        <v>113</v>
      </c>
      <c r="E432" t="s">
        <v>233</v>
      </c>
      <c r="F432" t="s">
        <v>117</v>
      </c>
      <c r="G432" t="s">
        <v>2503</v>
      </c>
      <c r="H432">
        <v>3</v>
      </c>
      <c r="I432" t="s">
        <v>126</v>
      </c>
    </row>
    <row r="433" spans="1:9">
      <c r="A433">
        <v>2025</v>
      </c>
      <c r="B433" t="s">
        <v>1298</v>
      </c>
      <c r="C433" t="s">
        <v>1299</v>
      </c>
      <c r="D433" t="s">
        <v>113</v>
      </c>
      <c r="E433" t="s">
        <v>139</v>
      </c>
      <c r="F433" t="s">
        <v>1027</v>
      </c>
      <c r="G433" t="s">
        <v>2505</v>
      </c>
      <c r="H433">
        <v>2</v>
      </c>
      <c r="I433" t="s">
        <v>126</v>
      </c>
    </row>
    <row r="434" spans="1:9">
      <c r="A434">
        <v>2030</v>
      </c>
      <c r="B434" t="s">
        <v>1119</v>
      </c>
      <c r="C434" t="s">
        <v>1120</v>
      </c>
      <c r="D434" t="s">
        <v>117</v>
      </c>
      <c r="E434" t="s">
        <v>160</v>
      </c>
      <c r="F434" t="s">
        <v>63</v>
      </c>
      <c r="G434" t="s">
        <v>2507</v>
      </c>
      <c r="H434">
        <v>1</v>
      </c>
      <c r="I434" t="s">
        <v>126</v>
      </c>
    </row>
    <row r="435" spans="1:9">
      <c r="A435">
        <v>2035</v>
      </c>
      <c r="B435" t="s">
        <v>1574</v>
      </c>
      <c r="C435" t="s">
        <v>1575</v>
      </c>
      <c r="D435" t="s">
        <v>113</v>
      </c>
      <c r="E435" t="s">
        <v>272</v>
      </c>
      <c r="F435" t="s">
        <v>154</v>
      </c>
      <c r="G435" t="s">
        <v>2509</v>
      </c>
      <c r="H435">
        <v>4</v>
      </c>
      <c r="I435" t="s">
        <v>126</v>
      </c>
    </row>
    <row r="436" spans="1:9">
      <c r="A436">
        <v>2040</v>
      </c>
      <c r="B436" t="s">
        <v>1444</v>
      </c>
      <c r="C436" t="s">
        <v>1445</v>
      </c>
      <c r="D436" t="s">
        <v>113</v>
      </c>
      <c r="E436" t="s">
        <v>154</v>
      </c>
      <c r="F436" t="s">
        <v>126</v>
      </c>
      <c r="G436" t="s">
        <v>2511</v>
      </c>
      <c r="I436" t="s">
        <v>126</v>
      </c>
    </row>
    <row r="437" spans="1:9">
      <c r="A437">
        <v>2045</v>
      </c>
      <c r="B437" t="s">
        <v>302</v>
      </c>
      <c r="C437" t="s">
        <v>303</v>
      </c>
      <c r="D437" t="s">
        <v>176</v>
      </c>
      <c r="E437" t="s">
        <v>121</v>
      </c>
      <c r="F437" t="s">
        <v>83</v>
      </c>
      <c r="G437" t="s">
        <v>2478</v>
      </c>
      <c r="I437" t="s">
        <v>304</v>
      </c>
    </row>
    <row r="438" spans="1:9">
      <c r="A438">
        <v>2050</v>
      </c>
      <c r="B438" t="s">
        <v>218</v>
      </c>
      <c r="C438" t="s">
        <v>219</v>
      </c>
      <c r="D438" t="s">
        <v>113</v>
      </c>
      <c r="E438" t="s">
        <v>42</v>
      </c>
      <c r="F438" t="s">
        <v>121</v>
      </c>
      <c r="G438" t="s">
        <v>2514</v>
      </c>
      <c r="H438">
        <v>1</v>
      </c>
      <c r="I438" t="s">
        <v>220</v>
      </c>
    </row>
    <row r="439" spans="1:9">
      <c r="A439">
        <v>2056</v>
      </c>
      <c r="B439" t="s">
        <v>656</v>
      </c>
      <c r="C439" t="s">
        <v>657</v>
      </c>
      <c r="D439" t="s">
        <v>113</v>
      </c>
      <c r="E439" t="s">
        <v>117</v>
      </c>
      <c r="F439" t="s">
        <v>44</v>
      </c>
      <c r="G439" t="s">
        <v>2482</v>
      </c>
      <c r="H439">
        <v>1</v>
      </c>
      <c r="I439" t="s">
        <v>126</v>
      </c>
    </row>
    <row r="440" spans="1:9">
      <c r="A440">
        <v>2060</v>
      </c>
      <c r="B440" t="s">
        <v>930</v>
      </c>
      <c r="C440" t="s">
        <v>931</v>
      </c>
      <c r="D440" t="s">
        <v>117</v>
      </c>
      <c r="E440" t="s">
        <v>42</v>
      </c>
      <c r="F440" t="s">
        <v>126</v>
      </c>
      <c r="G440" t="s">
        <v>2347</v>
      </c>
      <c r="I440" t="s">
        <v>126</v>
      </c>
    </row>
    <row r="441" spans="1:9">
      <c r="A441">
        <v>2065</v>
      </c>
      <c r="B441" t="s">
        <v>395</v>
      </c>
      <c r="C441" t="s">
        <v>396</v>
      </c>
      <c r="D441" t="s">
        <v>113</v>
      </c>
      <c r="E441" t="s">
        <v>44</v>
      </c>
      <c r="F441" t="s">
        <v>121</v>
      </c>
      <c r="G441" t="s">
        <v>2206</v>
      </c>
      <c r="I441" t="s">
        <v>126</v>
      </c>
    </row>
    <row r="442" spans="1:9">
      <c r="A442">
        <v>2071</v>
      </c>
      <c r="B442" t="s">
        <v>1322</v>
      </c>
      <c r="C442" t="s">
        <v>1323</v>
      </c>
      <c r="D442" t="s">
        <v>113</v>
      </c>
      <c r="E442" t="s">
        <v>154</v>
      </c>
      <c r="F442" t="s">
        <v>63</v>
      </c>
      <c r="G442" t="s">
        <v>2519</v>
      </c>
      <c r="H442">
        <v>3</v>
      </c>
      <c r="I442" t="s">
        <v>126</v>
      </c>
    </row>
    <row r="443" spans="1:9">
      <c r="A443">
        <v>2076</v>
      </c>
      <c r="B443" t="s">
        <v>496</v>
      </c>
      <c r="C443" t="s">
        <v>497</v>
      </c>
      <c r="D443" t="s">
        <v>180</v>
      </c>
      <c r="E443" t="s">
        <v>121</v>
      </c>
      <c r="F443" t="s">
        <v>126</v>
      </c>
      <c r="G443" t="s">
        <v>1922</v>
      </c>
      <c r="I443" t="s">
        <v>126</v>
      </c>
    </row>
    <row r="444" spans="1:9">
      <c r="A444">
        <v>2081</v>
      </c>
      <c r="B444" t="s">
        <v>977</v>
      </c>
      <c r="C444" t="s">
        <v>978</v>
      </c>
      <c r="D444" t="s">
        <v>233</v>
      </c>
      <c r="E444" t="s">
        <v>959</v>
      </c>
      <c r="F444" t="s">
        <v>126</v>
      </c>
      <c r="G444" t="s">
        <v>2522</v>
      </c>
      <c r="I444" t="s">
        <v>126</v>
      </c>
    </row>
    <row r="445" spans="1:9">
      <c r="A445">
        <v>2088</v>
      </c>
      <c r="B445" t="s">
        <v>249</v>
      </c>
      <c r="C445" t="s">
        <v>250</v>
      </c>
      <c r="D445" t="s">
        <v>113</v>
      </c>
      <c r="E445" t="s">
        <v>42</v>
      </c>
      <c r="F445" t="s">
        <v>65</v>
      </c>
      <c r="G445" t="s">
        <v>2524</v>
      </c>
      <c r="I445" t="s">
        <v>126</v>
      </c>
    </row>
    <row r="446" spans="1:9">
      <c r="A446">
        <v>2092</v>
      </c>
      <c r="B446" t="s">
        <v>854</v>
      </c>
      <c r="C446" t="s">
        <v>855</v>
      </c>
      <c r="D446" t="s">
        <v>136</v>
      </c>
      <c r="E446" t="s">
        <v>176</v>
      </c>
      <c r="F446" t="s">
        <v>217</v>
      </c>
      <c r="G446" t="s">
        <v>2526</v>
      </c>
      <c r="I446" t="s">
        <v>856</v>
      </c>
    </row>
    <row r="447" spans="1:9">
      <c r="A447">
        <v>2097</v>
      </c>
      <c r="B447" t="s">
        <v>227</v>
      </c>
      <c r="C447" t="s">
        <v>228</v>
      </c>
      <c r="D447" t="s">
        <v>136</v>
      </c>
      <c r="E447" t="s">
        <v>121</v>
      </c>
      <c r="F447" t="s">
        <v>229</v>
      </c>
      <c r="G447" t="s">
        <v>2075</v>
      </c>
      <c r="I447" t="s">
        <v>230</v>
      </c>
    </row>
    <row r="448" spans="1:9">
      <c r="A448">
        <v>2102</v>
      </c>
      <c r="B448" t="s">
        <v>265</v>
      </c>
      <c r="C448" t="s">
        <v>266</v>
      </c>
      <c r="D448" t="s">
        <v>155</v>
      </c>
      <c r="E448" t="s">
        <v>184</v>
      </c>
      <c r="F448" t="s">
        <v>204</v>
      </c>
      <c r="G448" t="s">
        <v>2529</v>
      </c>
      <c r="I448" t="s">
        <v>126</v>
      </c>
    </row>
    <row r="449" spans="1:9">
      <c r="A449">
        <v>2106</v>
      </c>
      <c r="B449" t="s">
        <v>1224</v>
      </c>
      <c r="C449" t="s">
        <v>1225</v>
      </c>
      <c r="D449" t="s">
        <v>113</v>
      </c>
      <c r="E449" t="s">
        <v>154</v>
      </c>
      <c r="F449" t="s">
        <v>209</v>
      </c>
      <c r="G449" t="s">
        <v>2531</v>
      </c>
      <c r="H449">
        <v>1</v>
      </c>
      <c r="I449" t="s">
        <v>126</v>
      </c>
    </row>
    <row r="450" spans="1:9">
      <c r="A450">
        <v>2111</v>
      </c>
      <c r="B450" t="s">
        <v>1151</v>
      </c>
      <c r="C450" t="s">
        <v>1152</v>
      </c>
      <c r="D450" t="s">
        <v>113</v>
      </c>
      <c r="E450" t="s">
        <v>154</v>
      </c>
      <c r="F450" t="s">
        <v>126</v>
      </c>
      <c r="G450" t="s">
        <v>1861</v>
      </c>
      <c r="I450" t="s">
        <v>126</v>
      </c>
    </row>
    <row r="451" spans="1:9">
      <c r="A451">
        <v>2117</v>
      </c>
      <c r="B451" t="s">
        <v>1514</v>
      </c>
      <c r="C451" t="s">
        <v>1515</v>
      </c>
      <c r="D451" t="s">
        <v>233</v>
      </c>
      <c r="E451" t="s">
        <v>126</v>
      </c>
      <c r="F451" t="s">
        <v>126</v>
      </c>
      <c r="G451" t="s">
        <v>2534</v>
      </c>
      <c r="I451" t="s">
        <v>126</v>
      </c>
    </row>
    <row r="452" spans="1:9">
      <c r="A452">
        <v>2118</v>
      </c>
      <c r="B452" t="s">
        <v>3213</v>
      </c>
      <c r="C452" t="s">
        <v>2536</v>
      </c>
      <c r="D452" t="s">
        <v>125</v>
      </c>
      <c r="E452" t="s">
        <v>126</v>
      </c>
      <c r="F452" t="s">
        <v>126</v>
      </c>
      <c r="G452" t="s">
        <v>2537</v>
      </c>
      <c r="I452" t="s">
        <v>126</v>
      </c>
    </row>
    <row r="453" spans="1:9">
      <c r="A453">
        <v>2122</v>
      </c>
      <c r="B453" t="s">
        <v>1085</v>
      </c>
      <c r="C453" t="s">
        <v>1086</v>
      </c>
      <c r="D453" t="s">
        <v>113</v>
      </c>
      <c r="E453" t="s">
        <v>139</v>
      </c>
      <c r="F453" t="s">
        <v>272</v>
      </c>
      <c r="G453" t="s">
        <v>1733</v>
      </c>
      <c r="H453">
        <v>2</v>
      </c>
      <c r="I453" t="s">
        <v>126</v>
      </c>
    </row>
    <row r="454" spans="1:9">
      <c r="A454">
        <v>2123</v>
      </c>
      <c r="B454" t="s">
        <v>3214</v>
      </c>
      <c r="C454" t="s">
        <v>2540</v>
      </c>
      <c r="D454" t="s">
        <v>113</v>
      </c>
      <c r="E454" t="s">
        <v>121</v>
      </c>
      <c r="F454" t="s">
        <v>65</v>
      </c>
      <c r="G454" t="s">
        <v>1680</v>
      </c>
      <c r="I454" t="s">
        <v>126</v>
      </c>
    </row>
    <row r="455" spans="1:9">
      <c r="A455">
        <v>2127</v>
      </c>
      <c r="B455" t="s">
        <v>311</v>
      </c>
      <c r="C455" t="s">
        <v>312</v>
      </c>
      <c r="D455" t="s">
        <v>136</v>
      </c>
      <c r="E455" t="s">
        <v>121</v>
      </c>
      <c r="F455" t="s">
        <v>46</v>
      </c>
      <c r="G455" t="s">
        <v>2542</v>
      </c>
      <c r="I455" t="s">
        <v>313</v>
      </c>
    </row>
    <row r="456" spans="1:9">
      <c r="A456">
        <v>2132</v>
      </c>
      <c r="B456" t="s">
        <v>1340</v>
      </c>
      <c r="C456" t="s">
        <v>1341</v>
      </c>
      <c r="D456" t="s">
        <v>113</v>
      </c>
      <c r="E456" t="s">
        <v>63</v>
      </c>
      <c r="F456" t="s">
        <v>65</v>
      </c>
      <c r="G456" t="s">
        <v>1674</v>
      </c>
      <c r="H456">
        <v>1</v>
      </c>
      <c r="I456" t="s">
        <v>126</v>
      </c>
    </row>
    <row r="457" spans="1:9">
      <c r="A457">
        <v>2136</v>
      </c>
      <c r="B457" t="s">
        <v>170</v>
      </c>
      <c r="C457" t="s">
        <v>171</v>
      </c>
      <c r="D457" t="s">
        <v>113</v>
      </c>
      <c r="E457" t="s">
        <v>63</v>
      </c>
      <c r="F457" t="s">
        <v>172</v>
      </c>
      <c r="G457" t="s">
        <v>2545</v>
      </c>
      <c r="I457" t="s">
        <v>173</v>
      </c>
    </row>
    <row r="458" spans="1:9">
      <c r="A458">
        <v>2141</v>
      </c>
      <c r="B458" t="s">
        <v>694</v>
      </c>
      <c r="C458" t="s">
        <v>695</v>
      </c>
      <c r="D458" t="s">
        <v>113</v>
      </c>
      <c r="E458" t="s">
        <v>154</v>
      </c>
      <c r="F458" t="s">
        <v>63</v>
      </c>
      <c r="G458" t="s">
        <v>1966</v>
      </c>
      <c r="H458">
        <v>1</v>
      </c>
      <c r="I458" t="s">
        <v>696</v>
      </c>
    </row>
    <row r="459" spans="1:9">
      <c r="A459">
        <v>2143</v>
      </c>
      <c r="B459" t="s">
        <v>3215</v>
      </c>
      <c r="C459" t="s">
        <v>2548</v>
      </c>
      <c r="D459" t="s">
        <v>113</v>
      </c>
      <c r="E459" t="s">
        <v>42</v>
      </c>
      <c r="F459" t="s">
        <v>126</v>
      </c>
      <c r="G459" t="s">
        <v>2549</v>
      </c>
      <c r="I459" t="s">
        <v>126</v>
      </c>
    </row>
    <row r="460" spans="1:9">
      <c r="A460">
        <v>2147</v>
      </c>
      <c r="B460" t="s">
        <v>731</v>
      </c>
      <c r="C460" t="s">
        <v>732</v>
      </c>
      <c r="D460" t="s">
        <v>233</v>
      </c>
      <c r="E460" t="s">
        <v>117</v>
      </c>
      <c r="F460" t="s">
        <v>42</v>
      </c>
      <c r="G460" t="s">
        <v>1690</v>
      </c>
      <c r="I460" t="s">
        <v>733</v>
      </c>
    </row>
    <row r="461" spans="1:9">
      <c r="A461">
        <v>2151</v>
      </c>
      <c r="B461" t="s">
        <v>652</v>
      </c>
      <c r="C461" t="s">
        <v>653</v>
      </c>
      <c r="D461" t="s">
        <v>113</v>
      </c>
      <c r="E461" t="s">
        <v>44</v>
      </c>
      <c r="F461" t="s">
        <v>82</v>
      </c>
      <c r="G461" t="s">
        <v>2398</v>
      </c>
      <c r="H461">
        <v>1</v>
      </c>
      <c r="I461" t="s">
        <v>126</v>
      </c>
    </row>
    <row r="462" spans="1:9">
      <c r="A462">
        <v>2153</v>
      </c>
      <c r="B462" t="s">
        <v>3216</v>
      </c>
      <c r="C462" t="s">
        <v>2553</v>
      </c>
      <c r="D462" t="s">
        <v>125</v>
      </c>
      <c r="E462" t="s">
        <v>126</v>
      </c>
      <c r="F462" t="s">
        <v>126</v>
      </c>
      <c r="G462" t="s">
        <v>2380</v>
      </c>
      <c r="I462" t="s">
        <v>2554</v>
      </c>
    </row>
    <row r="463" spans="1:9">
      <c r="A463">
        <v>2156</v>
      </c>
      <c r="B463" t="s">
        <v>1537</v>
      </c>
      <c r="C463" t="s">
        <v>1538</v>
      </c>
      <c r="D463" t="s">
        <v>117</v>
      </c>
      <c r="E463" t="s">
        <v>209</v>
      </c>
      <c r="F463" t="s">
        <v>647</v>
      </c>
      <c r="G463" t="s">
        <v>2556</v>
      </c>
      <c r="H463">
        <v>1</v>
      </c>
      <c r="I463" t="s">
        <v>126</v>
      </c>
    </row>
    <row r="464" spans="1:9">
      <c r="A464">
        <v>2157</v>
      </c>
      <c r="B464" t="s">
        <v>1506</v>
      </c>
      <c r="C464" t="s">
        <v>1507</v>
      </c>
      <c r="D464" t="s">
        <v>117</v>
      </c>
      <c r="E464" t="s">
        <v>82</v>
      </c>
      <c r="F464" t="s">
        <v>180</v>
      </c>
      <c r="G464" t="s">
        <v>2558</v>
      </c>
      <c r="I464" t="s">
        <v>126</v>
      </c>
    </row>
    <row r="465" spans="1:9">
      <c r="A465">
        <v>2158</v>
      </c>
      <c r="B465" t="s">
        <v>3217</v>
      </c>
      <c r="C465" t="s">
        <v>2560</v>
      </c>
      <c r="D465" t="s">
        <v>113</v>
      </c>
      <c r="E465" t="s">
        <v>156</v>
      </c>
      <c r="F465" t="s">
        <v>86</v>
      </c>
      <c r="G465" t="s">
        <v>2051</v>
      </c>
      <c r="I465" t="s">
        <v>126</v>
      </c>
    </row>
    <row r="466" spans="1:9">
      <c r="A466">
        <v>2163</v>
      </c>
      <c r="B466" t="s">
        <v>739</v>
      </c>
      <c r="C466" t="s">
        <v>740</v>
      </c>
      <c r="D466" t="s">
        <v>113</v>
      </c>
      <c r="E466" t="s">
        <v>42</v>
      </c>
      <c r="F466" t="s">
        <v>143</v>
      </c>
      <c r="G466" t="s">
        <v>1773</v>
      </c>
      <c r="I466" t="s">
        <v>126</v>
      </c>
    </row>
    <row r="467" spans="1:9">
      <c r="A467">
        <v>2167</v>
      </c>
      <c r="B467" t="s">
        <v>1016</v>
      </c>
      <c r="C467" t="s">
        <v>1017</v>
      </c>
      <c r="D467" t="s">
        <v>117</v>
      </c>
      <c r="E467" t="s">
        <v>42</v>
      </c>
      <c r="F467" t="s">
        <v>126</v>
      </c>
      <c r="G467" t="s">
        <v>1712</v>
      </c>
      <c r="I467" t="s">
        <v>126</v>
      </c>
    </row>
    <row r="468" spans="1:9">
      <c r="A468">
        <v>2172</v>
      </c>
      <c r="B468" t="s">
        <v>707</v>
      </c>
      <c r="C468" t="s">
        <v>708</v>
      </c>
      <c r="D468" t="s">
        <v>113</v>
      </c>
      <c r="E468" t="s">
        <v>42</v>
      </c>
      <c r="F468" t="s">
        <v>204</v>
      </c>
      <c r="G468" t="s">
        <v>2183</v>
      </c>
      <c r="I468" t="s">
        <v>126</v>
      </c>
    </row>
    <row r="469" spans="1:9">
      <c r="A469">
        <v>2173</v>
      </c>
      <c r="B469" t="s">
        <v>3218</v>
      </c>
      <c r="C469" t="s">
        <v>2565</v>
      </c>
      <c r="D469" t="s">
        <v>125</v>
      </c>
      <c r="E469" t="s">
        <v>126</v>
      </c>
      <c r="F469" t="s">
        <v>126</v>
      </c>
      <c r="G469" t="s">
        <v>1796</v>
      </c>
      <c r="I469" t="s">
        <v>2566</v>
      </c>
    </row>
    <row r="470" spans="1:9">
      <c r="A470">
        <v>2179</v>
      </c>
      <c r="B470" t="s">
        <v>1000</v>
      </c>
      <c r="C470" t="s">
        <v>1001</v>
      </c>
      <c r="D470" t="s">
        <v>113</v>
      </c>
      <c r="E470" t="s">
        <v>154</v>
      </c>
      <c r="F470" t="s">
        <v>511</v>
      </c>
      <c r="G470" t="s">
        <v>2568</v>
      </c>
      <c r="H470">
        <v>4</v>
      </c>
      <c r="I470" t="s">
        <v>126</v>
      </c>
    </row>
    <row r="471" spans="1:9">
      <c r="A471">
        <v>2183</v>
      </c>
      <c r="B471" t="s">
        <v>1440</v>
      </c>
      <c r="C471" t="s">
        <v>1441</v>
      </c>
      <c r="D471" t="s">
        <v>113</v>
      </c>
      <c r="E471" t="s">
        <v>233</v>
      </c>
      <c r="F471" t="s">
        <v>58</v>
      </c>
      <c r="G471" t="s">
        <v>2570</v>
      </c>
      <c r="I471" t="s">
        <v>126</v>
      </c>
    </row>
    <row r="472" spans="1:9">
      <c r="A472">
        <v>2188</v>
      </c>
      <c r="B472" t="s">
        <v>1002</v>
      </c>
      <c r="C472" t="s">
        <v>1003</v>
      </c>
      <c r="D472" t="s">
        <v>113</v>
      </c>
      <c r="E472" t="s">
        <v>42</v>
      </c>
      <c r="F472" t="s">
        <v>126</v>
      </c>
      <c r="G472" t="s">
        <v>2568</v>
      </c>
      <c r="I472" t="s">
        <v>126</v>
      </c>
    </row>
    <row r="473" spans="1:9">
      <c r="A473">
        <v>2193</v>
      </c>
      <c r="B473" t="s">
        <v>643</v>
      </c>
      <c r="C473" t="s">
        <v>644</v>
      </c>
      <c r="D473" t="s">
        <v>272</v>
      </c>
      <c r="E473" t="s">
        <v>117</v>
      </c>
      <c r="F473" t="s">
        <v>63</v>
      </c>
      <c r="G473" t="s">
        <v>2573</v>
      </c>
      <c r="H473">
        <v>1</v>
      </c>
      <c r="I473" t="s">
        <v>126</v>
      </c>
    </row>
    <row r="474" spans="1:9">
      <c r="A474">
        <v>2197</v>
      </c>
      <c r="B474" t="s">
        <v>1095</v>
      </c>
      <c r="C474" t="s">
        <v>1096</v>
      </c>
      <c r="D474" t="s">
        <v>113</v>
      </c>
      <c r="E474" t="s">
        <v>233</v>
      </c>
      <c r="F474" t="s">
        <v>160</v>
      </c>
      <c r="G474" t="s">
        <v>1916</v>
      </c>
      <c r="H474">
        <v>1</v>
      </c>
      <c r="I474" t="s">
        <v>126</v>
      </c>
    </row>
    <row r="475" spans="1:9">
      <c r="A475">
        <v>2199</v>
      </c>
      <c r="B475" t="s">
        <v>3219</v>
      </c>
      <c r="C475" t="s">
        <v>2576</v>
      </c>
      <c r="D475" t="s">
        <v>125</v>
      </c>
      <c r="E475" t="s">
        <v>126</v>
      </c>
      <c r="F475" t="s">
        <v>126</v>
      </c>
      <c r="G475" t="s">
        <v>2441</v>
      </c>
      <c r="I475" t="s">
        <v>126</v>
      </c>
    </row>
    <row r="476" spans="1:9">
      <c r="A476">
        <v>2203</v>
      </c>
      <c r="B476" t="s">
        <v>1185</v>
      </c>
      <c r="C476" t="s">
        <v>1186</v>
      </c>
      <c r="D476" t="s">
        <v>121</v>
      </c>
      <c r="E476" t="s">
        <v>83</v>
      </c>
      <c r="F476" t="s">
        <v>126</v>
      </c>
      <c r="G476" t="s">
        <v>1994</v>
      </c>
      <c r="I476" t="s">
        <v>126</v>
      </c>
    </row>
    <row r="477" spans="1:9">
      <c r="A477">
        <v>2204</v>
      </c>
      <c r="B477" t="s">
        <v>3220</v>
      </c>
      <c r="C477" t="s">
        <v>2579</v>
      </c>
      <c r="D477" t="s">
        <v>136</v>
      </c>
      <c r="E477" t="s">
        <v>176</v>
      </c>
      <c r="F477" t="s">
        <v>204</v>
      </c>
      <c r="G477" t="s">
        <v>2580</v>
      </c>
      <c r="I477" t="s">
        <v>2581</v>
      </c>
    </row>
    <row r="478" spans="1:9">
      <c r="A478">
        <v>2209</v>
      </c>
      <c r="B478" t="s">
        <v>1191</v>
      </c>
      <c r="C478" t="s">
        <v>1192</v>
      </c>
      <c r="D478" t="s">
        <v>117</v>
      </c>
      <c r="E478" t="s">
        <v>42</v>
      </c>
      <c r="F478" t="s">
        <v>213</v>
      </c>
      <c r="G478" t="s">
        <v>2349</v>
      </c>
      <c r="I478" t="s">
        <v>126</v>
      </c>
    </row>
    <row r="479" spans="1:9">
      <c r="A479">
        <v>2213</v>
      </c>
      <c r="B479" t="s">
        <v>1348</v>
      </c>
      <c r="C479" t="s">
        <v>1349</v>
      </c>
      <c r="D479" t="s">
        <v>113</v>
      </c>
      <c r="E479" t="s">
        <v>117</v>
      </c>
      <c r="F479" t="s">
        <v>156</v>
      </c>
      <c r="G479" t="s">
        <v>2255</v>
      </c>
      <c r="H479">
        <v>1</v>
      </c>
      <c r="I479" t="s">
        <v>126</v>
      </c>
    </row>
    <row r="480" spans="1:9">
      <c r="A480">
        <v>2218</v>
      </c>
      <c r="B480" t="s">
        <v>370</v>
      </c>
      <c r="C480" t="s">
        <v>371</v>
      </c>
      <c r="D480" t="s">
        <v>113</v>
      </c>
      <c r="E480" t="s">
        <v>42</v>
      </c>
      <c r="F480" t="s">
        <v>213</v>
      </c>
      <c r="G480" t="s">
        <v>1783</v>
      </c>
      <c r="I480" t="s">
        <v>372</v>
      </c>
    </row>
    <row r="481" spans="1:9">
      <c r="A481">
        <v>2223</v>
      </c>
      <c r="B481" t="s">
        <v>1018</v>
      </c>
      <c r="C481" t="s">
        <v>1019</v>
      </c>
      <c r="D481" t="s">
        <v>117</v>
      </c>
      <c r="E481" t="s">
        <v>154</v>
      </c>
      <c r="F481" t="s">
        <v>647</v>
      </c>
      <c r="G481" t="s">
        <v>1712</v>
      </c>
      <c r="H481">
        <v>3</v>
      </c>
      <c r="I481" t="s">
        <v>126</v>
      </c>
    </row>
    <row r="482" spans="1:9">
      <c r="A482">
        <v>2227</v>
      </c>
      <c r="B482" t="s">
        <v>1037</v>
      </c>
      <c r="C482" t="s">
        <v>1038</v>
      </c>
      <c r="D482" t="s">
        <v>113</v>
      </c>
      <c r="E482" t="s">
        <v>139</v>
      </c>
      <c r="F482" t="s">
        <v>117</v>
      </c>
      <c r="G482" t="s">
        <v>2587</v>
      </c>
      <c r="H482">
        <v>2</v>
      </c>
      <c r="I482" t="s">
        <v>126</v>
      </c>
    </row>
    <row r="483" spans="1:9">
      <c r="A483">
        <v>2234</v>
      </c>
      <c r="B483" t="s">
        <v>1436</v>
      </c>
      <c r="C483" t="s">
        <v>1437</v>
      </c>
      <c r="D483" t="s">
        <v>113</v>
      </c>
      <c r="E483" t="s">
        <v>272</v>
      </c>
      <c r="F483" t="s">
        <v>154</v>
      </c>
      <c r="G483" t="s">
        <v>2589</v>
      </c>
      <c r="H483">
        <v>2</v>
      </c>
      <c r="I483" t="s">
        <v>126</v>
      </c>
    </row>
    <row r="484" spans="1:9">
      <c r="A484">
        <v>2242</v>
      </c>
      <c r="B484" t="s">
        <v>1157</v>
      </c>
      <c r="C484" t="s">
        <v>1158</v>
      </c>
      <c r="D484" t="s">
        <v>113</v>
      </c>
      <c r="E484" t="s">
        <v>121</v>
      </c>
      <c r="F484" t="s">
        <v>172</v>
      </c>
      <c r="G484" t="s">
        <v>2290</v>
      </c>
      <c r="H484">
        <v>1</v>
      </c>
      <c r="I484" t="s">
        <v>126</v>
      </c>
    </row>
    <row r="485" spans="1:9">
      <c r="A485">
        <v>2246</v>
      </c>
      <c r="B485" t="s">
        <v>560</v>
      </c>
      <c r="C485" t="s">
        <v>561</v>
      </c>
      <c r="D485" t="s">
        <v>113</v>
      </c>
      <c r="E485" t="s">
        <v>117</v>
      </c>
      <c r="F485" t="s">
        <v>135</v>
      </c>
      <c r="G485" t="s">
        <v>2378</v>
      </c>
      <c r="H485">
        <v>3</v>
      </c>
      <c r="I485" t="s">
        <v>562</v>
      </c>
    </row>
    <row r="486" spans="1:9">
      <c r="A486">
        <v>2247</v>
      </c>
      <c r="B486" t="s">
        <v>3221</v>
      </c>
      <c r="C486" t="s">
        <v>2593</v>
      </c>
      <c r="D486" t="s">
        <v>42</v>
      </c>
      <c r="E486" t="s">
        <v>82</v>
      </c>
      <c r="F486" t="s">
        <v>204</v>
      </c>
      <c r="G486" t="s">
        <v>1959</v>
      </c>
      <c r="I486" t="s">
        <v>126</v>
      </c>
    </row>
    <row r="487" spans="1:9">
      <c r="A487">
        <v>2251</v>
      </c>
      <c r="B487" t="s">
        <v>482</v>
      </c>
      <c r="C487" t="s">
        <v>483</v>
      </c>
      <c r="D487" t="s">
        <v>113</v>
      </c>
      <c r="E487" t="s">
        <v>139</v>
      </c>
      <c r="F487" t="s">
        <v>154</v>
      </c>
      <c r="G487" t="s">
        <v>2080</v>
      </c>
      <c r="H487">
        <v>3</v>
      </c>
      <c r="I487" t="s">
        <v>484</v>
      </c>
    </row>
    <row r="488" spans="1:9">
      <c r="A488">
        <v>2252</v>
      </c>
      <c r="B488" t="s">
        <v>3222</v>
      </c>
      <c r="C488" t="s">
        <v>2596</v>
      </c>
      <c r="D488" t="s">
        <v>125</v>
      </c>
      <c r="E488" t="s">
        <v>126</v>
      </c>
      <c r="F488" t="s">
        <v>126</v>
      </c>
      <c r="G488" t="s">
        <v>1922</v>
      </c>
      <c r="I488" t="s">
        <v>126</v>
      </c>
    </row>
    <row r="489" spans="1:9">
      <c r="A489">
        <v>2253</v>
      </c>
      <c r="B489" t="s">
        <v>3223</v>
      </c>
      <c r="C489" t="s">
        <v>2598</v>
      </c>
      <c r="D489" t="s">
        <v>125</v>
      </c>
      <c r="E489" t="s">
        <v>126</v>
      </c>
      <c r="F489" t="s">
        <v>126</v>
      </c>
      <c r="G489" t="s">
        <v>2260</v>
      </c>
      <c r="I489" t="s">
        <v>126</v>
      </c>
    </row>
    <row r="490" spans="1:9">
      <c r="A490">
        <v>2254</v>
      </c>
      <c r="B490" t="s">
        <v>3224</v>
      </c>
      <c r="C490" t="s">
        <v>2600</v>
      </c>
      <c r="D490" t="s">
        <v>139</v>
      </c>
      <c r="E490" t="s">
        <v>160</v>
      </c>
      <c r="F490" t="s">
        <v>155</v>
      </c>
      <c r="G490" t="s">
        <v>2601</v>
      </c>
      <c r="H490">
        <v>1</v>
      </c>
      <c r="I490" t="s">
        <v>126</v>
      </c>
    </row>
    <row r="491" spans="1:9">
      <c r="A491">
        <v>2258</v>
      </c>
      <c r="B491" t="s">
        <v>1240</v>
      </c>
      <c r="C491" t="s">
        <v>1241</v>
      </c>
      <c r="D491" t="s">
        <v>113</v>
      </c>
      <c r="E491" t="s">
        <v>154</v>
      </c>
      <c r="F491" t="s">
        <v>176</v>
      </c>
      <c r="G491" t="s">
        <v>2603</v>
      </c>
      <c r="H491">
        <v>1</v>
      </c>
      <c r="I491" t="s">
        <v>126</v>
      </c>
    </row>
    <row r="492" spans="1:9">
      <c r="A492">
        <v>2262</v>
      </c>
      <c r="B492" t="s">
        <v>505</v>
      </c>
      <c r="C492" t="s">
        <v>506</v>
      </c>
      <c r="D492" t="s">
        <v>139</v>
      </c>
      <c r="E492" t="s">
        <v>117</v>
      </c>
      <c r="F492" t="s">
        <v>42</v>
      </c>
      <c r="G492" t="s">
        <v>2605</v>
      </c>
      <c r="I492" t="s">
        <v>126</v>
      </c>
    </row>
    <row r="493" spans="1:9">
      <c r="A493">
        <v>2263</v>
      </c>
      <c r="B493" t="s">
        <v>3225</v>
      </c>
      <c r="C493" t="s">
        <v>2607</v>
      </c>
      <c r="D493" t="s">
        <v>42</v>
      </c>
      <c r="E493" t="s">
        <v>63</v>
      </c>
      <c r="F493" t="s">
        <v>126</v>
      </c>
      <c r="G493" t="s">
        <v>2524</v>
      </c>
      <c r="I493" t="s">
        <v>126</v>
      </c>
    </row>
    <row r="494" spans="1:9">
      <c r="A494">
        <v>2267</v>
      </c>
      <c r="B494" t="s">
        <v>1121</v>
      </c>
      <c r="C494" t="s">
        <v>1122</v>
      </c>
      <c r="D494" t="s">
        <v>113</v>
      </c>
      <c r="E494" t="s">
        <v>42</v>
      </c>
      <c r="F494" t="s">
        <v>65</v>
      </c>
      <c r="G494" t="s">
        <v>2507</v>
      </c>
      <c r="I494" t="s">
        <v>126</v>
      </c>
    </row>
    <row r="495" spans="1:9">
      <c r="A495">
        <v>2272</v>
      </c>
      <c r="B495" t="s">
        <v>827</v>
      </c>
      <c r="C495" t="s">
        <v>828</v>
      </c>
      <c r="D495" t="s">
        <v>113</v>
      </c>
      <c r="E495" t="s">
        <v>42</v>
      </c>
      <c r="F495" t="s">
        <v>126</v>
      </c>
      <c r="G495" t="s">
        <v>2187</v>
      </c>
      <c r="I495" t="s">
        <v>829</v>
      </c>
    </row>
    <row r="496" spans="1:9">
      <c r="A496">
        <v>2276</v>
      </c>
      <c r="B496" t="s">
        <v>1249</v>
      </c>
      <c r="C496" t="s">
        <v>1250</v>
      </c>
      <c r="D496" t="s">
        <v>155</v>
      </c>
      <c r="E496" t="s">
        <v>156</v>
      </c>
      <c r="F496" t="s">
        <v>86</v>
      </c>
      <c r="G496" t="s">
        <v>2263</v>
      </c>
      <c r="I496" t="s">
        <v>126</v>
      </c>
    </row>
    <row r="497" spans="1:9">
      <c r="A497">
        <v>2277</v>
      </c>
      <c r="B497" t="s">
        <v>3226</v>
      </c>
      <c r="C497" t="s">
        <v>2612</v>
      </c>
      <c r="D497" t="s">
        <v>113</v>
      </c>
      <c r="E497" t="s">
        <v>135</v>
      </c>
      <c r="F497" t="s">
        <v>136</v>
      </c>
      <c r="G497" t="s">
        <v>2613</v>
      </c>
      <c r="H497">
        <v>1</v>
      </c>
      <c r="I497" t="s">
        <v>126</v>
      </c>
    </row>
    <row r="498" spans="1:9">
      <c r="A498">
        <v>2281</v>
      </c>
      <c r="B498" t="s">
        <v>1476</v>
      </c>
      <c r="C498" t="s">
        <v>1477</v>
      </c>
      <c r="D498" t="s">
        <v>113</v>
      </c>
      <c r="E498" t="s">
        <v>160</v>
      </c>
      <c r="F498" t="s">
        <v>191</v>
      </c>
      <c r="G498" t="s">
        <v>2615</v>
      </c>
      <c r="H498">
        <v>1</v>
      </c>
      <c r="I498" t="s">
        <v>1478</v>
      </c>
    </row>
    <row r="499" spans="1:9">
      <c r="A499">
        <v>2286</v>
      </c>
      <c r="B499" t="s">
        <v>1608</v>
      </c>
      <c r="C499" t="s">
        <v>1609</v>
      </c>
      <c r="D499" t="s">
        <v>154</v>
      </c>
      <c r="E499" t="s">
        <v>155</v>
      </c>
      <c r="F499" t="s">
        <v>300</v>
      </c>
      <c r="G499" t="s">
        <v>2617</v>
      </c>
      <c r="H499">
        <v>1</v>
      </c>
      <c r="I499" t="s">
        <v>126</v>
      </c>
    </row>
    <row r="500" spans="1:9">
      <c r="A500">
        <v>2290</v>
      </c>
      <c r="B500" t="s">
        <v>194</v>
      </c>
      <c r="C500" t="s">
        <v>195</v>
      </c>
      <c r="D500" t="s">
        <v>113</v>
      </c>
      <c r="E500" t="s">
        <v>176</v>
      </c>
      <c r="F500" t="s">
        <v>121</v>
      </c>
      <c r="G500" t="s">
        <v>2619</v>
      </c>
      <c r="H500">
        <v>3</v>
      </c>
      <c r="I500" t="s">
        <v>196</v>
      </c>
    </row>
    <row r="501" spans="1:9">
      <c r="A501">
        <v>2296</v>
      </c>
      <c r="B501" t="s">
        <v>787</v>
      </c>
      <c r="C501" t="s">
        <v>788</v>
      </c>
      <c r="D501" t="s">
        <v>43</v>
      </c>
      <c r="E501" t="s">
        <v>117</v>
      </c>
      <c r="F501" t="s">
        <v>160</v>
      </c>
      <c r="G501" t="s">
        <v>2041</v>
      </c>
      <c r="H501">
        <v>3</v>
      </c>
      <c r="I501" t="s">
        <v>126</v>
      </c>
    </row>
    <row r="502" spans="1:9">
      <c r="A502">
        <v>2301</v>
      </c>
      <c r="B502" t="s">
        <v>1007</v>
      </c>
      <c r="C502" t="s">
        <v>1008</v>
      </c>
      <c r="D502" t="s">
        <v>113</v>
      </c>
      <c r="E502" t="s">
        <v>139</v>
      </c>
      <c r="F502" t="s">
        <v>117</v>
      </c>
      <c r="G502" t="s">
        <v>2411</v>
      </c>
      <c r="H502">
        <v>1</v>
      </c>
      <c r="I502" t="s">
        <v>126</v>
      </c>
    </row>
    <row r="503" spans="1:9">
      <c r="A503">
        <v>2302</v>
      </c>
      <c r="B503" t="s">
        <v>516</v>
      </c>
      <c r="C503" t="s">
        <v>517</v>
      </c>
      <c r="D503" t="s">
        <v>113</v>
      </c>
      <c r="E503" t="s">
        <v>154</v>
      </c>
      <c r="F503" t="s">
        <v>209</v>
      </c>
      <c r="G503" t="s">
        <v>1670</v>
      </c>
      <c r="H503">
        <v>1</v>
      </c>
      <c r="I503" t="s">
        <v>126</v>
      </c>
    </row>
    <row r="504" spans="1:9">
      <c r="A504">
        <v>2306</v>
      </c>
      <c r="B504" t="s">
        <v>811</v>
      </c>
      <c r="C504" t="s">
        <v>812</v>
      </c>
      <c r="D504" t="s">
        <v>113</v>
      </c>
      <c r="E504" t="s">
        <v>139</v>
      </c>
      <c r="F504" t="s">
        <v>117</v>
      </c>
      <c r="G504" t="s">
        <v>2491</v>
      </c>
      <c r="H504">
        <v>2</v>
      </c>
      <c r="I504" t="s">
        <v>813</v>
      </c>
    </row>
    <row r="505" spans="1:9">
      <c r="A505">
        <v>2307</v>
      </c>
      <c r="B505" t="s">
        <v>3227</v>
      </c>
      <c r="C505" t="s">
        <v>2625</v>
      </c>
      <c r="D505" t="s">
        <v>113</v>
      </c>
      <c r="E505" t="s">
        <v>136</v>
      </c>
      <c r="F505" t="s">
        <v>180</v>
      </c>
      <c r="G505" t="s">
        <v>1798</v>
      </c>
      <c r="H505">
        <v>1</v>
      </c>
      <c r="I505" t="s">
        <v>126</v>
      </c>
    </row>
    <row r="506" spans="1:9">
      <c r="A506">
        <v>2312</v>
      </c>
      <c r="B506" t="s">
        <v>654</v>
      </c>
      <c r="C506" t="s">
        <v>655</v>
      </c>
      <c r="D506" t="s">
        <v>113</v>
      </c>
      <c r="E506" t="s">
        <v>42</v>
      </c>
      <c r="F506" t="s">
        <v>256</v>
      </c>
      <c r="G506" t="s">
        <v>2627</v>
      </c>
      <c r="I506" t="s">
        <v>126</v>
      </c>
    </row>
    <row r="507" spans="1:9">
      <c r="A507">
        <v>2313</v>
      </c>
      <c r="B507" t="s">
        <v>3228</v>
      </c>
      <c r="C507" t="s">
        <v>2629</v>
      </c>
      <c r="D507" t="s">
        <v>42</v>
      </c>
      <c r="E507" t="s">
        <v>135</v>
      </c>
      <c r="F507" t="s">
        <v>204</v>
      </c>
      <c r="G507" t="s">
        <v>2630</v>
      </c>
      <c r="I507" t="s">
        <v>126</v>
      </c>
    </row>
    <row r="508" spans="1:9">
      <c r="A508">
        <v>2318</v>
      </c>
      <c r="B508" t="s">
        <v>469</v>
      </c>
      <c r="C508" t="s">
        <v>470</v>
      </c>
      <c r="D508" t="s">
        <v>42</v>
      </c>
      <c r="E508" t="s">
        <v>256</v>
      </c>
      <c r="F508" t="s">
        <v>126</v>
      </c>
      <c r="G508" t="s">
        <v>2632</v>
      </c>
      <c r="I508" t="s">
        <v>126</v>
      </c>
    </row>
    <row r="509" spans="1:9">
      <c r="A509">
        <v>2321</v>
      </c>
      <c r="B509" t="s">
        <v>471</v>
      </c>
      <c r="C509" t="s">
        <v>472</v>
      </c>
      <c r="D509" t="s">
        <v>113</v>
      </c>
      <c r="E509" t="s">
        <v>42</v>
      </c>
      <c r="F509" t="s">
        <v>126</v>
      </c>
      <c r="G509" t="s">
        <v>2632</v>
      </c>
      <c r="I509" t="s">
        <v>126</v>
      </c>
    </row>
    <row r="510" spans="1:9">
      <c r="A510">
        <v>2322</v>
      </c>
      <c r="B510" t="s">
        <v>628</v>
      </c>
      <c r="C510" t="s">
        <v>629</v>
      </c>
      <c r="D510" t="s">
        <v>113</v>
      </c>
      <c r="E510" t="s">
        <v>82</v>
      </c>
      <c r="F510" t="s">
        <v>135</v>
      </c>
      <c r="G510" t="s">
        <v>1908</v>
      </c>
      <c r="H510">
        <v>1</v>
      </c>
      <c r="I510" t="s">
        <v>126</v>
      </c>
    </row>
    <row r="511" spans="1:9">
      <c r="A511">
        <v>2328</v>
      </c>
      <c r="B511" t="s">
        <v>449</v>
      </c>
      <c r="C511" t="s">
        <v>450</v>
      </c>
      <c r="D511" t="s">
        <v>113</v>
      </c>
      <c r="E511" t="s">
        <v>42</v>
      </c>
      <c r="F511" t="s">
        <v>451</v>
      </c>
      <c r="G511" t="s">
        <v>2423</v>
      </c>
      <c r="I511" t="s">
        <v>452</v>
      </c>
    </row>
    <row r="512" spans="1:9">
      <c r="A512">
        <v>2334</v>
      </c>
      <c r="B512" t="s">
        <v>900</v>
      </c>
      <c r="C512" t="s">
        <v>901</v>
      </c>
      <c r="D512" t="s">
        <v>113</v>
      </c>
      <c r="E512" t="s">
        <v>160</v>
      </c>
      <c r="F512" t="s">
        <v>180</v>
      </c>
      <c r="G512" t="s">
        <v>1812</v>
      </c>
      <c r="H512">
        <v>1</v>
      </c>
      <c r="I512" t="s">
        <v>126</v>
      </c>
    </row>
    <row r="513" spans="1:9">
      <c r="A513">
        <v>2338</v>
      </c>
      <c r="B513" t="s">
        <v>1489</v>
      </c>
      <c r="C513" t="s">
        <v>1490</v>
      </c>
      <c r="D513" t="s">
        <v>233</v>
      </c>
      <c r="E513" t="s">
        <v>42</v>
      </c>
      <c r="F513" t="s">
        <v>204</v>
      </c>
      <c r="G513" t="s">
        <v>2638</v>
      </c>
      <c r="I513" t="s">
        <v>126</v>
      </c>
    </row>
    <row r="514" spans="1:9">
      <c r="A514">
        <v>2344</v>
      </c>
      <c r="B514" t="s">
        <v>498</v>
      </c>
      <c r="C514" t="s">
        <v>499</v>
      </c>
      <c r="D514" t="s">
        <v>113</v>
      </c>
      <c r="E514" t="s">
        <v>233</v>
      </c>
      <c r="F514" t="s">
        <v>172</v>
      </c>
      <c r="G514" t="s">
        <v>1922</v>
      </c>
      <c r="H514">
        <v>2</v>
      </c>
      <c r="I514" t="s">
        <v>126</v>
      </c>
    </row>
    <row r="515" spans="1:9">
      <c r="A515">
        <v>2350</v>
      </c>
      <c r="B515" t="s">
        <v>200</v>
      </c>
      <c r="C515" t="s">
        <v>201</v>
      </c>
      <c r="D515" t="s">
        <v>113</v>
      </c>
      <c r="E515" t="s">
        <v>139</v>
      </c>
      <c r="F515" t="s">
        <v>63</v>
      </c>
      <c r="G515" t="s">
        <v>2641</v>
      </c>
      <c r="I515" t="s">
        <v>126</v>
      </c>
    </row>
    <row r="516" spans="1:9">
      <c r="A516">
        <v>2354</v>
      </c>
      <c r="B516" t="s">
        <v>769</v>
      </c>
      <c r="C516" t="s">
        <v>770</v>
      </c>
      <c r="D516" t="s">
        <v>113</v>
      </c>
      <c r="E516" t="s">
        <v>139</v>
      </c>
      <c r="F516" t="s">
        <v>154</v>
      </c>
      <c r="G516" t="s">
        <v>2271</v>
      </c>
      <c r="H516">
        <v>1</v>
      </c>
      <c r="I516" t="s">
        <v>126</v>
      </c>
    </row>
    <row r="517" spans="1:9">
      <c r="A517">
        <v>2355</v>
      </c>
      <c r="B517" t="s">
        <v>3229</v>
      </c>
      <c r="C517" t="s">
        <v>2644</v>
      </c>
      <c r="D517" t="s">
        <v>113</v>
      </c>
      <c r="E517" t="s">
        <v>42</v>
      </c>
      <c r="F517" t="s">
        <v>160</v>
      </c>
      <c r="G517" t="s">
        <v>2366</v>
      </c>
      <c r="H517">
        <v>1</v>
      </c>
      <c r="I517" t="s">
        <v>2645</v>
      </c>
    </row>
    <row r="518" spans="1:9">
      <c r="A518">
        <v>2360</v>
      </c>
      <c r="B518" t="s">
        <v>702</v>
      </c>
      <c r="C518" t="s">
        <v>703</v>
      </c>
      <c r="D518" t="s">
        <v>136</v>
      </c>
      <c r="E518" t="s">
        <v>176</v>
      </c>
      <c r="F518" t="s">
        <v>204</v>
      </c>
      <c r="G518" t="s">
        <v>1959</v>
      </c>
      <c r="I518" t="s">
        <v>704</v>
      </c>
    </row>
    <row r="519" spans="1:9">
      <c r="A519">
        <v>2361</v>
      </c>
      <c r="B519" t="s">
        <v>3230</v>
      </c>
      <c r="C519" t="s">
        <v>2648</v>
      </c>
      <c r="D519" t="s">
        <v>113</v>
      </c>
      <c r="E519" t="s">
        <v>42</v>
      </c>
      <c r="F519" t="s">
        <v>126</v>
      </c>
      <c r="G519" t="s">
        <v>2301</v>
      </c>
      <c r="I519" t="s">
        <v>2649</v>
      </c>
    </row>
    <row r="520" spans="1:9">
      <c r="A520">
        <v>2362</v>
      </c>
      <c r="B520" t="s">
        <v>3231</v>
      </c>
      <c r="C520" t="s">
        <v>2651</v>
      </c>
      <c r="D520" t="s">
        <v>125</v>
      </c>
      <c r="E520" t="s">
        <v>126</v>
      </c>
      <c r="F520" t="s">
        <v>126</v>
      </c>
      <c r="G520" t="s">
        <v>2652</v>
      </c>
      <c r="I520" t="s">
        <v>126</v>
      </c>
    </row>
    <row r="521" spans="1:9">
      <c r="A521">
        <v>2366</v>
      </c>
      <c r="B521" t="s">
        <v>579</v>
      </c>
      <c r="C521" t="s">
        <v>580</v>
      </c>
      <c r="D521" t="s">
        <v>113</v>
      </c>
      <c r="E521" t="s">
        <v>233</v>
      </c>
      <c r="F521" t="s">
        <v>63</v>
      </c>
      <c r="G521" t="s">
        <v>1796</v>
      </c>
      <c r="I521" t="s">
        <v>581</v>
      </c>
    </row>
    <row r="522" spans="1:9">
      <c r="A522">
        <v>2371</v>
      </c>
      <c r="B522" t="s">
        <v>3232</v>
      </c>
      <c r="C522" t="s">
        <v>2655</v>
      </c>
      <c r="D522" t="s">
        <v>113</v>
      </c>
      <c r="E522" t="s">
        <v>180</v>
      </c>
      <c r="F522" t="s">
        <v>121</v>
      </c>
      <c r="G522" t="s">
        <v>2656</v>
      </c>
      <c r="H522">
        <v>3</v>
      </c>
      <c r="I522" t="s">
        <v>2657</v>
      </c>
    </row>
    <row r="523" spans="1:9">
      <c r="A523">
        <v>2376</v>
      </c>
      <c r="B523" t="s">
        <v>1114</v>
      </c>
      <c r="C523" t="s">
        <v>1115</v>
      </c>
      <c r="D523" t="s">
        <v>233</v>
      </c>
      <c r="E523" t="s">
        <v>42</v>
      </c>
      <c r="F523" t="s">
        <v>126</v>
      </c>
      <c r="G523" t="s">
        <v>2380</v>
      </c>
      <c r="I523" t="s">
        <v>126</v>
      </c>
    </row>
    <row r="524" spans="1:9">
      <c r="A524">
        <v>2382</v>
      </c>
      <c r="B524" t="s">
        <v>755</v>
      </c>
      <c r="C524" t="s">
        <v>756</v>
      </c>
      <c r="D524" t="s">
        <v>113</v>
      </c>
      <c r="E524" t="s">
        <v>180</v>
      </c>
      <c r="F524" t="s">
        <v>213</v>
      </c>
      <c r="G524" t="s">
        <v>2660</v>
      </c>
      <c r="H524">
        <v>1</v>
      </c>
      <c r="I524" t="s">
        <v>126</v>
      </c>
    </row>
    <row r="525" spans="1:9">
      <c r="A525">
        <v>2386</v>
      </c>
      <c r="B525" t="s">
        <v>1123</v>
      </c>
      <c r="C525" t="s">
        <v>1124</v>
      </c>
      <c r="D525" t="s">
        <v>113</v>
      </c>
      <c r="E525" t="s">
        <v>172</v>
      </c>
      <c r="F525" t="s">
        <v>184</v>
      </c>
      <c r="G525" t="s">
        <v>1810</v>
      </c>
      <c r="I525" t="s">
        <v>126</v>
      </c>
    </row>
    <row r="526" spans="1:9">
      <c r="A526">
        <v>2392</v>
      </c>
      <c r="B526" t="s">
        <v>119</v>
      </c>
      <c r="C526" t="s">
        <v>120</v>
      </c>
      <c r="D526" t="s">
        <v>113</v>
      </c>
      <c r="E526" t="s">
        <v>121</v>
      </c>
      <c r="F526" t="s">
        <v>46</v>
      </c>
      <c r="G526" t="s">
        <v>2663</v>
      </c>
      <c r="H526">
        <v>1</v>
      </c>
      <c r="I526" t="s">
        <v>122</v>
      </c>
    </row>
    <row r="527" spans="1:9">
      <c r="A527">
        <v>2398</v>
      </c>
      <c r="B527" t="s">
        <v>1238</v>
      </c>
      <c r="C527" t="s">
        <v>1239</v>
      </c>
      <c r="D527" t="s">
        <v>113</v>
      </c>
      <c r="E527" t="s">
        <v>154</v>
      </c>
      <c r="F527" t="s">
        <v>208</v>
      </c>
      <c r="G527" t="s">
        <v>1802</v>
      </c>
      <c r="H527">
        <v>4</v>
      </c>
      <c r="I527" t="s">
        <v>126</v>
      </c>
    </row>
    <row r="528" spans="1:9">
      <c r="A528">
        <v>2402</v>
      </c>
      <c r="B528" t="s">
        <v>920</v>
      </c>
      <c r="C528" t="s">
        <v>921</v>
      </c>
      <c r="D528" t="s">
        <v>113</v>
      </c>
      <c r="E528" t="s">
        <v>139</v>
      </c>
      <c r="F528" t="s">
        <v>172</v>
      </c>
      <c r="G528" t="s">
        <v>1721</v>
      </c>
      <c r="H528">
        <v>2</v>
      </c>
      <c r="I528" t="s">
        <v>922</v>
      </c>
    </row>
    <row r="529" spans="1:9">
      <c r="A529">
        <v>2403</v>
      </c>
      <c r="B529" t="s">
        <v>3233</v>
      </c>
      <c r="C529" t="s">
        <v>2667</v>
      </c>
      <c r="D529" t="s">
        <v>113</v>
      </c>
      <c r="E529" t="s">
        <v>42</v>
      </c>
      <c r="F529" t="s">
        <v>204</v>
      </c>
      <c r="G529" t="s">
        <v>2537</v>
      </c>
      <c r="I529" t="s">
        <v>126</v>
      </c>
    </row>
    <row r="530" spans="1:9">
      <c r="A530">
        <v>2407</v>
      </c>
      <c r="B530" t="s">
        <v>1531</v>
      </c>
      <c r="C530" t="s">
        <v>1532</v>
      </c>
      <c r="D530" t="s">
        <v>113</v>
      </c>
      <c r="E530" t="s">
        <v>511</v>
      </c>
      <c r="F530" t="s">
        <v>938</v>
      </c>
      <c r="G530" t="s">
        <v>2669</v>
      </c>
      <c r="I530" t="s">
        <v>126</v>
      </c>
    </row>
    <row r="531" spans="1:9">
      <c r="A531">
        <v>2412</v>
      </c>
      <c r="B531" t="s">
        <v>1051</v>
      </c>
      <c r="C531" t="s">
        <v>1052</v>
      </c>
      <c r="D531" t="s">
        <v>113</v>
      </c>
      <c r="E531" t="s">
        <v>63</v>
      </c>
      <c r="F531" t="s">
        <v>172</v>
      </c>
      <c r="G531" t="s">
        <v>1708</v>
      </c>
      <c r="I531" t="s">
        <v>126</v>
      </c>
    </row>
    <row r="532" spans="1:9">
      <c r="A532">
        <v>2416</v>
      </c>
      <c r="B532" t="s">
        <v>364</v>
      </c>
      <c r="C532" t="s">
        <v>365</v>
      </c>
      <c r="D532" t="s">
        <v>113</v>
      </c>
      <c r="E532" t="s">
        <v>117</v>
      </c>
      <c r="F532" t="s">
        <v>67</v>
      </c>
      <c r="G532" t="s">
        <v>2315</v>
      </c>
      <c r="H532">
        <v>1</v>
      </c>
      <c r="I532" t="s">
        <v>366</v>
      </c>
    </row>
    <row r="533" spans="1:9">
      <c r="A533">
        <v>2421</v>
      </c>
      <c r="B533" t="s">
        <v>500</v>
      </c>
      <c r="C533" t="s">
        <v>501</v>
      </c>
      <c r="D533" t="s">
        <v>113</v>
      </c>
      <c r="E533" t="s">
        <v>139</v>
      </c>
      <c r="F533" t="s">
        <v>135</v>
      </c>
      <c r="G533" t="s">
        <v>2537</v>
      </c>
      <c r="H533">
        <v>3</v>
      </c>
      <c r="I533" t="s">
        <v>502</v>
      </c>
    </row>
    <row r="534" spans="1:9">
      <c r="A534">
        <v>2426</v>
      </c>
      <c r="B534" t="s">
        <v>875</v>
      </c>
      <c r="C534" t="s">
        <v>876</v>
      </c>
      <c r="D534" t="s">
        <v>113</v>
      </c>
      <c r="E534" t="s">
        <v>154</v>
      </c>
      <c r="F534" t="s">
        <v>511</v>
      </c>
      <c r="G534" t="s">
        <v>2674</v>
      </c>
      <c r="H534">
        <v>4</v>
      </c>
      <c r="I534" t="s">
        <v>126</v>
      </c>
    </row>
    <row r="535" spans="1:9">
      <c r="A535">
        <v>2430</v>
      </c>
      <c r="B535" t="s">
        <v>1308</v>
      </c>
      <c r="C535" t="s">
        <v>1309</v>
      </c>
      <c r="D535" t="s">
        <v>117</v>
      </c>
      <c r="E535" t="s">
        <v>42</v>
      </c>
      <c r="F535" t="s">
        <v>217</v>
      </c>
      <c r="G535" t="s">
        <v>2676</v>
      </c>
      <c r="I535" t="s">
        <v>126</v>
      </c>
    </row>
    <row r="536" spans="1:9">
      <c r="A536">
        <v>2435</v>
      </c>
      <c r="B536" t="s">
        <v>934</v>
      </c>
      <c r="C536" t="s">
        <v>935</v>
      </c>
      <c r="D536" t="s">
        <v>113</v>
      </c>
      <c r="E536" t="s">
        <v>42</v>
      </c>
      <c r="F536" t="s">
        <v>65</v>
      </c>
      <c r="G536" t="s">
        <v>1986</v>
      </c>
      <c r="I536" t="s">
        <v>126</v>
      </c>
    </row>
    <row r="537" spans="1:9">
      <c r="A537">
        <v>2440</v>
      </c>
      <c r="B537" t="s">
        <v>582</v>
      </c>
      <c r="C537" t="s">
        <v>583</v>
      </c>
      <c r="D537" t="s">
        <v>113</v>
      </c>
      <c r="E537" t="s">
        <v>233</v>
      </c>
      <c r="F537" t="s">
        <v>135</v>
      </c>
      <c r="G537" t="s">
        <v>2679</v>
      </c>
      <c r="H537">
        <v>2</v>
      </c>
      <c r="I537" t="s">
        <v>126</v>
      </c>
    </row>
    <row r="538" spans="1:9">
      <c r="A538">
        <v>2444</v>
      </c>
      <c r="B538" t="s">
        <v>206</v>
      </c>
      <c r="C538" t="s">
        <v>207</v>
      </c>
      <c r="D538" t="s">
        <v>113</v>
      </c>
      <c r="E538" t="s">
        <v>208</v>
      </c>
      <c r="F538" t="s">
        <v>209</v>
      </c>
      <c r="G538" t="s">
        <v>2681</v>
      </c>
      <c r="H538">
        <v>1</v>
      </c>
      <c r="I538" t="s">
        <v>210</v>
      </c>
    </row>
    <row r="539" spans="1:9">
      <c r="A539">
        <v>2448</v>
      </c>
      <c r="B539" t="s">
        <v>822</v>
      </c>
      <c r="C539" t="s">
        <v>823</v>
      </c>
      <c r="D539" t="s">
        <v>113</v>
      </c>
      <c r="E539" t="s">
        <v>154</v>
      </c>
      <c r="F539" t="s">
        <v>63</v>
      </c>
      <c r="G539" t="s">
        <v>1896</v>
      </c>
      <c r="H539">
        <v>2</v>
      </c>
      <c r="I539" t="s">
        <v>824</v>
      </c>
    </row>
    <row r="540" spans="1:9">
      <c r="A540">
        <v>2449</v>
      </c>
      <c r="B540" t="s">
        <v>349</v>
      </c>
      <c r="C540" t="s">
        <v>350</v>
      </c>
      <c r="D540" t="s">
        <v>113</v>
      </c>
      <c r="E540" t="s">
        <v>63</v>
      </c>
      <c r="F540" t="s">
        <v>172</v>
      </c>
      <c r="G540" t="s">
        <v>2268</v>
      </c>
      <c r="I540" t="s">
        <v>126</v>
      </c>
    </row>
    <row r="541" spans="1:9">
      <c r="A541">
        <v>2454</v>
      </c>
      <c r="B541" t="s">
        <v>1139</v>
      </c>
      <c r="C541" t="s">
        <v>1140</v>
      </c>
      <c r="D541" t="s">
        <v>113</v>
      </c>
      <c r="E541" t="s">
        <v>154</v>
      </c>
      <c r="F541" t="s">
        <v>160</v>
      </c>
      <c r="G541" t="s">
        <v>1914</v>
      </c>
      <c r="H541">
        <v>3</v>
      </c>
      <c r="I541" t="s">
        <v>126</v>
      </c>
    </row>
    <row r="542" spans="1:9">
      <c r="A542">
        <v>2458</v>
      </c>
      <c r="B542" t="s">
        <v>529</v>
      </c>
      <c r="C542" t="s">
        <v>530</v>
      </c>
      <c r="D542" t="s">
        <v>113</v>
      </c>
      <c r="E542" t="s">
        <v>135</v>
      </c>
      <c r="F542" t="s">
        <v>136</v>
      </c>
      <c r="G542" t="s">
        <v>2376</v>
      </c>
      <c r="H542">
        <v>2</v>
      </c>
      <c r="I542" t="s">
        <v>531</v>
      </c>
    </row>
    <row r="543" spans="1:9">
      <c r="A543">
        <v>2459</v>
      </c>
      <c r="B543" t="s">
        <v>3234</v>
      </c>
      <c r="C543" t="s">
        <v>2687</v>
      </c>
      <c r="D543" t="s">
        <v>113</v>
      </c>
      <c r="E543" t="s">
        <v>63</v>
      </c>
      <c r="F543" t="s">
        <v>172</v>
      </c>
      <c r="G543" t="s">
        <v>2002</v>
      </c>
      <c r="I543" t="s">
        <v>126</v>
      </c>
    </row>
    <row r="544" spans="1:9">
      <c r="A544">
        <v>2463</v>
      </c>
      <c r="B544" t="s">
        <v>407</v>
      </c>
      <c r="C544" t="s">
        <v>408</v>
      </c>
      <c r="D544" t="s">
        <v>113</v>
      </c>
      <c r="E544" t="s">
        <v>42</v>
      </c>
      <c r="F544" t="s">
        <v>172</v>
      </c>
      <c r="G544" t="s">
        <v>2239</v>
      </c>
      <c r="I544" t="s">
        <v>409</v>
      </c>
    </row>
    <row r="545" spans="1:9">
      <c r="A545">
        <v>2468</v>
      </c>
      <c r="B545" t="s">
        <v>957</v>
      </c>
      <c r="C545" t="s">
        <v>958</v>
      </c>
      <c r="D545" t="s">
        <v>117</v>
      </c>
      <c r="E545" t="s">
        <v>154</v>
      </c>
      <c r="F545" t="s">
        <v>959</v>
      </c>
      <c r="G545" t="s">
        <v>2690</v>
      </c>
      <c r="I545" t="s">
        <v>126</v>
      </c>
    </row>
    <row r="546" spans="1:9">
      <c r="A546">
        <v>2472</v>
      </c>
      <c r="B546" t="s">
        <v>1039</v>
      </c>
      <c r="C546" t="s">
        <v>1040</v>
      </c>
      <c r="D546" t="s">
        <v>272</v>
      </c>
      <c r="E546" t="s">
        <v>117</v>
      </c>
      <c r="F546" t="s">
        <v>204</v>
      </c>
      <c r="G546" t="s">
        <v>2587</v>
      </c>
      <c r="I546" t="s">
        <v>126</v>
      </c>
    </row>
    <row r="547" spans="1:9">
      <c r="A547">
        <v>2474</v>
      </c>
      <c r="B547" t="s">
        <v>3235</v>
      </c>
      <c r="C547" t="s">
        <v>2693</v>
      </c>
      <c r="D547" t="s">
        <v>125</v>
      </c>
      <c r="E547" t="s">
        <v>126</v>
      </c>
      <c r="F547" t="s">
        <v>126</v>
      </c>
      <c r="G547" t="s">
        <v>2694</v>
      </c>
      <c r="I547" t="s">
        <v>126</v>
      </c>
    </row>
    <row r="548" spans="1:9">
      <c r="A548">
        <v>2478</v>
      </c>
      <c r="B548" t="s">
        <v>1377</v>
      </c>
      <c r="C548" t="s">
        <v>1378</v>
      </c>
      <c r="D548" t="s">
        <v>117</v>
      </c>
      <c r="E548" t="s">
        <v>42</v>
      </c>
      <c r="F548" t="s">
        <v>126</v>
      </c>
      <c r="G548" t="s">
        <v>1865</v>
      </c>
      <c r="I548" t="s">
        <v>126</v>
      </c>
    </row>
    <row r="549" spans="1:9">
      <c r="A549">
        <v>2479</v>
      </c>
      <c r="B549" t="s">
        <v>3236</v>
      </c>
      <c r="C549" t="s">
        <v>2697</v>
      </c>
      <c r="D549" t="s">
        <v>135</v>
      </c>
      <c r="E549" t="s">
        <v>136</v>
      </c>
      <c r="F549" t="s">
        <v>121</v>
      </c>
      <c r="G549" t="s">
        <v>2698</v>
      </c>
      <c r="H549">
        <v>1</v>
      </c>
      <c r="I549" t="s">
        <v>126</v>
      </c>
    </row>
    <row r="550" spans="1:9">
      <c r="A550">
        <v>2484</v>
      </c>
      <c r="B550" t="s">
        <v>1162</v>
      </c>
      <c r="C550" t="s">
        <v>1163</v>
      </c>
      <c r="D550" t="s">
        <v>117</v>
      </c>
      <c r="E550" t="s">
        <v>42</v>
      </c>
      <c r="F550" t="s">
        <v>126</v>
      </c>
      <c r="G550" t="s">
        <v>2073</v>
      </c>
      <c r="I550" t="s">
        <v>126</v>
      </c>
    </row>
    <row r="551" spans="1:9">
      <c r="A551">
        <v>2488</v>
      </c>
      <c r="B551" t="s">
        <v>873</v>
      </c>
      <c r="C551" t="s">
        <v>874</v>
      </c>
      <c r="D551" t="s">
        <v>113</v>
      </c>
      <c r="E551" t="s">
        <v>139</v>
      </c>
      <c r="F551" t="s">
        <v>213</v>
      </c>
      <c r="G551" t="s">
        <v>2002</v>
      </c>
      <c r="I551" t="s">
        <v>126</v>
      </c>
    </row>
    <row r="552" spans="1:9">
      <c r="A552">
        <v>2493</v>
      </c>
      <c r="B552" t="s">
        <v>202</v>
      </c>
      <c r="C552" t="s">
        <v>203</v>
      </c>
      <c r="D552" t="s">
        <v>136</v>
      </c>
      <c r="E552" t="s">
        <v>176</v>
      </c>
      <c r="F552" t="s">
        <v>204</v>
      </c>
      <c r="G552" t="s">
        <v>1833</v>
      </c>
      <c r="I552" t="s">
        <v>205</v>
      </c>
    </row>
    <row r="553" spans="1:9">
      <c r="A553">
        <v>2494</v>
      </c>
      <c r="B553" t="s">
        <v>3237</v>
      </c>
      <c r="C553" t="s">
        <v>2703</v>
      </c>
      <c r="D553" t="s">
        <v>125</v>
      </c>
      <c r="E553" t="s">
        <v>126</v>
      </c>
      <c r="F553" t="s">
        <v>126</v>
      </c>
      <c r="G553" t="s">
        <v>2519</v>
      </c>
      <c r="I553" t="s">
        <v>126</v>
      </c>
    </row>
    <row r="554" spans="1:9">
      <c r="A554">
        <v>2499</v>
      </c>
      <c r="B554" t="s">
        <v>1023</v>
      </c>
      <c r="C554" t="s">
        <v>1024</v>
      </c>
      <c r="D554" t="s">
        <v>113</v>
      </c>
      <c r="E554" t="s">
        <v>139</v>
      </c>
      <c r="F554" t="s">
        <v>63</v>
      </c>
      <c r="G554" t="s">
        <v>1702</v>
      </c>
      <c r="H554">
        <v>1</v>
      </c>
      <c r="I554" t="s">
        <v>126</v>
      </c>
    </row>
    <row r="555" spans="1:9">
      <c r="A555">
        <v>2503</v>
      </c>
      <c r="B555" t="s">
        <v>1132</v>
      </c>
      <c r="C555" t="s">
        <v>1133</v>
      </c>
      <c r="D555" t="s">
        <v>113</v>
      </c>
      <c r="E555" t="s">
        <v>272</v>
      </c>
      <c r="F555" t="s">
        <v>176</v>
      </c>
      <c r="G555" t="s">
        <v>2082</v>
      </c>
      <c r="H555">
        <v>4</v>
      </c>
      <c r="I555" t="s">
        <v>126</v>
      </c>
    </row>
    <row r="556" spans="1:9">
      <c r="A556">
        <v>2508</v>
      </c>
      <c r="B556" t="s">
        <v>1331</v>
      </c>
      <c r="C556" t="s">
        <v>1332</v>
      </c>
      <c r="D556" t="s">
        <v>139</v>
      </c>
      <c r="E556" t="s">
        <v>121</v>
      </c>
      <c r="F556" t="s">
        <v>126</v>
      </c>
      <c r="G556" t="s">
        <v>2503</v>
      </c>
      <c r="I556" t="s">
        <v>126</v>
      </c>
    </row>
    <row r="557" spans="1:9">
      <c r="A557">
        <v>2509</v>
      </c>
      <c r="B557" t="s">
        <v>458</v>
      </c>
      <c r="C557" t="s">
        <v>459</v>
      </c>
      <c r="D557" t="s">
        <v>113</v>
      </c>
      <c r="E557" t="s">
        <v>135</v>
      </c>
      <c r="F557" t="s">
        <v>460</v>
      </c>
      <c r="G557" t="s">
        <v>2000</v>
      </c>
      <c r="I557" t="s">
        <v>126</v>
      </c>
    </row>
    <row r="558" spans="1:9">
      <c r="A558">
        <v>2514</v>
      </c>
      <c r="B558" t="s">
        <v>1300</v>
      </c>
      <c r="C558" t="s">
        <v>1301</v>
      </c>
      <c r="D558" t="s">
        <v>139</v>
      </c>
      <c r="E558" t="s">
        <v>233</v>
      </c>
      <c r="F558" t="s">
        <v>117</v>
      </c>
      <c r="G558" t="s">
        <v>2505</v>
      </c>
      <c r="H558">
        <v>2</v>
      </c>
      <c r="I558" t="s">
        <v>126</v>
      </c>
    </row>
    <row r="559" spans="1:9">
      <c r="A559">
        <v>2518</v>
      </c>
      <c r="B559" t="s">
        <v>1356</v>
      </c>
      <c r="C559" t="s">
        <v>1357</v>
      </c>
      <c r="D559" t="s">
        <v>113</v>
      </c>
      <c r="E559" t="s">
        <v>42</v>
      </c>
      <c r="F559" t="s">
        <v>126</v>
      </c>
      <c r="G559" t="s">
        <v>1947</v>
      </c>
      <c r="I559" t="s">
        <v>126</v>
      </c>
    </row>
    <row r="560" spans="1:9">
      <c r="A560">
        <v>2519</v>
      </c>
      <c r="B560" t="s">
        <v>3238</v>
      </c>
      <c r="C560" t="s">
        <v>2711</v>
      </c>
      <c r="D560" t="s">
        <v>113</v>
      </c>
      <c r="E560" t="s">
        <v>154</v>
      </c>
      <c r="F560" t="s">
        <v>511</v>
      </c>
      <c r="G560" t="s">
        <v>2712</v>
      </c>
      <c r="H560">
        <v>4</v>
      </c>
      <c r="I560" t="s">
        <v>126</v>
      </c>
    </row>
    <row r="561" spans="1:9">
      <c r="A561">
        <v>2524</v>
      </c>
      <c r="B561" t="s">
        <v>3239</v>
      </c>
      <c r="C561" t="s">
        <v>2714</v>
      </c>
      <c r="D561" t="s">
        <v>113</v>
      </c>
      <c r="E561" t="s">
        <v>139</v>
      </c>
      <c r="F561" t="s">
        <v>233</v>
      </c>
      <c r="G561" t="s">
        <v>2715</v>
      </c>
      <c r="H561">
        <v>2</v>
      </c>
      <c r="I561" t="s">
        <v>126</v>
      </c>
    </row>
    <row r="562" spans="1:9">
      <c r="A562">
        <v>2528</v>
      </c>
      <c r="B562" t="s">
        <v>1342</v>
      </c>
      <c r="C562" t="s">
        <v>1343</v>
      </c>
      <c r="D562" t="s">
        <v>113</v>
      </c>
      <c r="E562" t="s">
        <v>154</v>
      </c>
      <c r="F562" t="s">
        <v>63</v>
      </c>
      <c r="G562" t="s">
        <v>1674</v>
      </c>
      <c r="H562">
        <v>3</v>
      </c>
      <c r="I562" t="s">
        <v>126</v>
      </c>
    </row>
    <row r="563" spans="1:9">
      <c r="A563">
        <v>2532</v>
      </c>
      <c r="B563" t="s">
        <v>949</v>
      </c>
      <c r="C563" t="s">
        <v>950</v>
      </c>
      <c r="D563" t="s">
        <v>113</v>
      </c>
      <c r="E563" t="s">
        <v>184</v>
      </c>
      <c r="F563" t="s">
        <v>797</v>
      </c>
      <c r="G563" t="s">
        <v>1798</v>
      </c>
      <c r="I563" t="s">
        <v>126</v>
      </c>
    </row>
    <row r="564" spans="1:9">
      <c r="A564">
        <v>2534</v>
      </c>
      <c r="B564" t="s">
        <v>3240</v>
      </c>
      <c r="C564" t="s">
        <v>2719</v>
      </c>
      <c r="D564" t="s">
        <v>113</v>
      </c>
      <c r="E564" t="s">
        <v>208</v>
      </c>
      <c r="F564" t="s">
        <v>797</v>
      </c>
      <c r="G564" t="s">
        <v>1690</v>
      </c>
      <c r="I564" t="s">
        <v>126</v>
      </c>
    </row>
    <row r="565" spans="1:9">
      <c r="A565">
        <v>2538</v>
      </c>
      <c r="B565" t="s">
        <v>1379</v>
      </c>
      <c r="C565" t="s">
        <v>1380</v>
      </c>
      <c r="D565" t="s">
        <v>113</v>
      </c>
      <c r="E565" t="s">
        <v>42</v>
      </c>
      <c r="F565" t="s">
        <v>135</v>
      </c>
      <c r="G565" t="s">
        <v>1865</v>
      </c>
      <c r="H565">
        <v>1</v>
      </c>
      <c r="I565" t="s">
        <v>126</v>
      </c>
    </row>
    <row r="566" spans="1:9">
      <c r="A566">
        <v>2543</v>
      </c>
      <c r="B566" t="s">
        <v>942</v>
      </c>
      <c r="C566" t="s">
        <v>943</v>
      </c>
      <c r="D566" t="s">
        <v>233</v>
      </c>
      <c r="E566" t="s">
        <v>58</v>
      </c>
      <c r="F566" t="s">
        <v>126</v>
      </c>
      <c r="G566" t="s">
        <v>1735</v>
      </c>
      <c r="I566" t="s">
        <v>126</v>
      </c>
    </row>
    <row r="567" spans="1:9">
      <c r="A567">
        <v>2547</v>
      </c>
      <c r="B567" t="s">
        <v>1009</v>
      </c>
      <c r="C567" t="s">
        <v>1010</v>
      </c>
      <c r="D567" t="s">
        <v>113</v>
      </c>
      <c r="E567" t="s">
        <v>139</v>
      </c>
      <c r="F567" t="s">
        <v>42</v>
      </c>
      <c r="G567" t="s">
        <v>2411</v>
      </c>
      <c r="H567">
        <v>1</v>
      </c>
      <c r="I567" t="s">
        <v>126</v>
      </c>
    </row>
    <row r="568" spans="1:9">
      <c r="A568">
        <v>2551</v>
      </c>
      <c r="B568" t="s">
        <v>235</v>
      </c>
      <c r="C568" t="s">
        <v>236</v>
      </c>
      <c r="D568" t="s">
        <v>113</v>
      </c>
      <c r="E568" t="s">
        <v>63</v>
      </c>
      <c r="F568" t="s">
        <v>172</v>
      </c>
      <c r="G568" t="s">
        <v>2724</v>
      </c>
      <c r="H568">
        <v>1</v>
      </c>
      <c r="I568" t="s">
        <v>237</v>
      </c>
    </row>
    <row r="569" spans="1:9">
      <c r="A569">
        <v>2552</v>
      </c>
      <c r="B569" t="s">
        <v>1324</v>
      </c>
      <c r="C569" t="s">
        <v>1325</v>
      </c>
      <c r="D569" t="s">
        <v>113</v>
      </c>
      <c r="E569" t="s">
        <v>42</v>
      </c>
      <c r="F569" t="s">
        <v>217</v>
      </c>
      <c r="G569" t="s">
        <v>2726</v>
      </c>
      <c r="I569" t="s">
        <v>126</v>
      </c>
    </row>
    <row r="570" spans="1:9">
      <c r="A570">
        <v>2561</v>
      </c>
      <c r="B570" t="s">
        <v>1306</v>
      </c>
      <c r="C570" t="s">
        <v>1307</v>
      </c>
      <c r="D570" t="s">
        <v>113</v>
      </c>
      <c r="E570" t="s">
        <v>139</v>
      </c>
      <c r="F570" t="s">
        <v>63</v>
      </c>
      <c r="G570" t="s">
        <v>2728</v>
      </c>
      <c r="I570" t="s">
        <v>126</v>
      </c>
    </row>
    <row r="571" spans="1:9">
      <c r="A571">
        <v>2565</v>
      </c>
      <c r="B571" t="s">
        <v>1354</v>
      </c>
      <c r="C571" t="s">
        <v>1355</v>
      </c>
      <c r="D571" t="s">
        <v>272</v>
      </c>
      <c r="E571" t="s">
        <v>117</v>
      </c>
      <c r="F571" t="s">
        <v>154</v>
      </c>
      <c r="G571" t="s">
        <v>2730</v>
      </c>
      <c r="I571" t="s">
        <v>126</v>
      </c>
    </row>
    <row r="572" spans="1:9">
      <c r="A572">
        <v>2569</v>
      </c>
      <c r="B572" t="s">
        <v>1460</v>
      </c>
      <c r="C572" t="s">
        <v>1461</v>
      </c>
      <c r="D572" t="s">
        <v>113</v>
      </c>
      <c r="E572" t="s">
        <v>156</v>
      </c>
      <c r="F572" t="s">
        <v>126</v>
      </c>
      <c r="G572" t="s">
        <v>1668</v>
      </c>
      <c r="I572" t="s">
        <v>126</v>
      </c>
    </row>
    <row r="573" spans="1:9">
      <c r="A573">
        <v>2573</v>
      </c>
      <c r="B573" t="s">
        <v>1405</v>
      </c>
      <c r="C573" t="s">
        <v>1406</v>
      </c>
      <c r="D573" t="s">
        <v>113</v>
      </c>
      <c r="E573" t="s">
        <v>117</v>
      </c>
      <c r="F573" t="s">
        <v>42</v>
      </c>
      <c r="G573" t="s">
        <v>2733</v>
      </c>
      <c r="H573">
        <v>3</v>
      </c>
      <c r="I573" t="s">
        <v>126</v>
      </c>
    </row>
    <row r="574" spans="1:9">
      <c r="A574">
        <v>2577</v>
      </c>
      <c r="B574" t="s">
        <v>473</v>
      </c>
      <c r="C574" t="s">
        <v>474</v>
      </c>
      <c r="D574" t="s">
        <v>113</v>
      </c>
      <c r="E574" t="s">
        <v>176</v>
      </c>
      <c r="F574" t="s">
        <v>121</v>
      </c>
      <c r="G574" t="s">
        <v>2632</v>
      </c>
      <c r="H574">
        <v>3</v>
      </c>
      <c r="I574" t="s">
        <v>475</v>
      </c>
    </row>
    <row r="575" spans="1:9">
      <c r="A575">
        <v>2581</v>
      </c>
      <c r="B575" t="s">
        <v>830</v>
      </c>
      <c r="C575" t="s">
        <v>831</v>
      </c>
      <c r="D575" t="s">
        <v>113</v>
      </c>
      <c r="E575" t="s">
        <v>139</v>
      </c>
      <c r="F575" t="s">
        <v>42</v>
      </c>
      <c r="G575" t="s">
        <v>2187</v>
      </c>
      <c r="H575">
        <v>2</v>
      </c>
      <c r="I575" t="s">
        <v>126</v>
      </c>
    </row>
    <row r="576" spans="1:9">
      <c r="A576">
        <v>2584</v>
      </c>
      <c r="B576" t="s">
        <v>1545</v>
      </c>
      <c r="C576" t="s">
        <v>1546</v>
      </c>
      <c r="D576" t="s">
        <v>113</v>
      </c>
      <c r="E576" t="s">
        <v>139</v>
      </c>
      <c r="F576" t="s">
        <v>233</v>
      </c>
      <c r="G576" t="s">
        <v>2737</v>
      </c>
      <c r="H576">
        <v>1</v>
      </c>
      <c r="I576" t="s">
        <v>126</v>
      </c>
    </row>
    <row r="577" spans="1:9">
      <c r="A577">
        <v>2585</v>
      </c>
      <c r="B577" t="s">
        <v>435</v>
      </c>
      <c r="C577" t="s">
        <v>436</v>
      </c>
      <c r="D577" t="s">
        <v>113</v>
      </c>
      <c r="E577" t="s">
        <v>42</v>
      </c>
      <c r="F577" t="s">
        <v>126</v>
      </c>
      <c r="G577" t="s">
        <v>2010</v>
      </c>
      <c r="I577" t="s">
        <v>126</v>
      </c>
    </row>
    <row r="578" spans="1:9">
      <c r="A578">
        <v>2589</v>
      </c>
      <c r="B578" t="s">
        <v>1166</v>
      </c>
      <c r="C578" t="s">
        <v>1167</v>
      </c>
      <c r="D578" t="s">
        <v>113</v>
      </c>
      <c r="E578" t="s">
        <v>154</v>
      </c>
      <c r="F578" t="s">
        <v>160</v>
      </c>
      <c r="G578" t="s">
        <v>2740</v>
      </c>
      <c r="H578">
        <v>2</v>
      </c>
      <c r="I578" t="s">
        <v>126</v>
      </c>
    </row>
    <row r="579" spans="1:9">
      <c r="A579">
        <v>2603</v>
      </c>
      <c r="B579" t="s">
        <v>1231</v>
      </c>
      <c r="C579" t="s">
        <v>1232</v>
      </c>
      <c r="D579" t="s">
        <v>113</v>
      </c>
      <c r="E579" t="s">
        <v>135</v>
      </c>
      <c r="F579" t="s">
        <v>121</v>
      </c>
      <c r="G579" t="s">
        <v>2742</v>
      </c>
      <c r="H579">
        <v>1</v>
      </c>
      <c r="I579" t="s">
        <v>126</v>
      </c>
    </row>
    <row r="580" spans="1:9">
      <c r="A580">
        <v>2604</v>
      </c>
      <c r="B580" t="s">
        <v>3241</v>
      </c>
      <c r="C580" t="s">
        <v>2744</v>
      </c>
      <c r="D580" t="s">
        <v>113</v>
      </c>
      <c r="E580" t="s">
        <v>272</v>
      </c>
      <c r="F580" t="s">
        <v>154</v>
      </c>
      <c r="G580" t="s">
        <v>2366</v>
      </c>
      <c r="H580">
        <v>1</v>
      </c>
      <c r="I580" t="s">
        <v>126</v>
      </c>
    </row>
    <row r="581" spans="1:9">
      <c r="A581">
        <v>2608</v>
      </c>
      <c r="B581" t="s">
        <v>1216</v>
      </c>
      <c r="C581" t="s">
        <v>1217</v>
      </c>
      <c r="D581" t="s">
        <v>176</v>
      </c>
      <c r="E581" t="s">
        <v>121</v>
      </c>
      <c r="F581" t="s">
        <v>126</v>
      </c>
      <c r="G581" t="s">
        <v>1747</v>
      </c>
      <c r="I581" t="s">
        <v>126</v>
      </c>
    </row>
    <row r="582" spans="1:9">
      <c r="A582">
        <v>2612</v>
      </c>
      <c r="B582" t="s">
        <v>1632</v>
      </c>
      <c r="C582" t="s">
        <v>1633</v>
      </c>
      <c r="D582" t="s">
        <v>113</v>
      </c>
      <c r="E582" t="s">
        <v>176</v>
      </c>
      <c r="F582" t="s">
        <v>86</v>
      </c>
      <c r="G582" t="s">
        <v>2747</v>
      </c>
      <c r="I582" t="s">
        <v>126</v>
      </c>
    </row>
    <row r="583" spans="1:9">
      <c r="A583">
        <v>2613</v>
      </c>
      <c r="B583" t="s">
        <v>3242</v>
      </c>
      <c r="C583" t="s">
        <v>2749</v>
      </c>
      <c r="D583" t="s">
        <v>113</v>
      </c>
      <c r="E583" t="s">
        <v>233</v>
      </c>
      <c r="F583" t="s">
        <v>511</v>
      </c>
      <c r="G583" t="s">
        <v>1929</v>
      </c>
      <c r="H583">
        <v>3</v>
      </c>
      <c r="I583" t="s">
        <v>126</v>
      </c>
    </row>
    <row r="584" spans="1:9">
      <c r="A584">
        <v>2617</v>
      </c>
      <c r="B584" t="s">
        <v>1552</v>
      </c>
      <c r="C584" t="s">
        <v>1553</v>
      </c>
      <c r="D584" t="s">
        <v>113</v>
      </c>
      <c r="E584" t="s">
        <v>42</v>
      </c>
      <c r="F584" t="s">
        <v>160</v>
      </c>
      <c r="G584" t="s">
        <v>1737</v>
      </c>
      <c r="H584">
        <v>5</v>
      </c>
      <c r="I584" t="s">
        <v>126</v>
      </c>
    </row>
    <row r="585" spans="1:9">
      <c r="A585">
        <v>2630</v>
      </c>
      <c r="B585" t="s">
        <v>1384</v>
      </c>
      <c r="C585" t="s">
        <v>1385</v>
      </c>
      <c r="D585" t="s">
        <v>126</v>
      </c>
      <c r="E585" t="s">
        <v>126</v>
      </c>
      <c r="F585" t="s">
        <v>126</v>
      </c>
      <c r="G585" t="s">
        <v>2476</v>
      </c>
      <c r="I585" t="s">
        <v>1386</v>
      </c>
    </row>
    <row r="586" spans="1:9">
      <c r="A586">
        <v>2642</v>
      </c>
      <c r="B586" t="s">
        <v>182</v>
      </c>
      <c r="C586" t="s">
        <v>183</v>
      </c>
      <c r="D586" t="s">
        <v>121</v>
      </c>
      <c r="E586" t="s">
        <v>155</v>
      </c>
      <c r="F586" t="s">
        <v>184</v>
      </c>
      <c r="G586" t="s">
        <v>2337</v>
      </c>
      <c r="H586">
        <v>1</v>
      </c>
      <c r="I586" t="s">
        <v>185</v>
      </c>
    </row>
    <row r="587" spans="1:9">
      <c r="A587">
        <v>2646</v>
      </c>
      <c r="B587" t="s">
        <v>814</v>
      </c>
      <c r="C587" t="s">
        <v>815</v>
      </c>
      <c r="D587" t="s">
        <v>113</v>
      </c>
      <c r="E587" t="s">
        <v>42</v>
      </c>
      <c r="F587" t="s">
        <v>135</v>
      </c>
      <c r="G587" t="s">
        <v>2491</v>
      </c>
      <c r="H587">
        <v>2</v>
      </c>
      <c r="I587" t="s">
        <v>126</v>
      </c>
    </row>
    <row r="588" spans="1:9">
      <c r="A588">
        <v>2647</v>
      </c>
      <c r="B588" t="s">
        <v>3243</v>
      </c>
      <c r="C588" t="s">
        <v>2755</v>
      </c>
      <c r="D588" t="s">
        <v>113</v>
      </c>
      <c r="E588" t="s">
        <v>233</v>
      </c>
      <c r="F588" t="s">
        <v>126</v>
      </c>
      <c r="G588" t="s">
        <v>2756</v>
      </c>
      <c r="I588" t="s">
        <v>126</v>
      </c>
    </row>
    <row r="589" spans="1:9">
      <c r="A589">
        <v>2650</v>
      </c>
      <c r="B589" t="s">
        <v>666</v>
      </c>
      <c r="C589" t="s">
        <v>667</v>
      </c>
      <c r="D589" t="s">
        <v>126</v>
      </c>
      <c r="E589" t="s">
        <v>126</v>
      </c>
      <c r="F589" t="s">
        <v>126</v>
      </c>
      <c r="G589" t="s">
        <v>2069</v>
      </c>
      <c r="I589" t="s">
        <v>126</v>
      </c>
    </row>
    <row r="590" spans="1:9">
      <c r="A590">
        <v>2659</v>
      </c>
      <c r="B590" t="s">
        <v>1525</v>
      </c>
      <c r="C590" t="s">
        <v>1526</v>
      </c>
      <c r="D590" t="s">
        <v>113</v>
      </c>
      <c r="E590" t="s">
        <v>154</v>
      </c>
      <c r="F590" t="s">
        <v>63</v>
      </c>
      <c r="G590" t="s">
        <v>2759</v>
      </c>
      <c r="H590">
        <v>4</v>
      </c>
      <c r="I590" t="s">
        <v>126</v>
      </c>
    </row>
    <row r="591" spans="1:9">
      <c r="A591">
        <v>2663</v>
      </c>
      <c r="B591" t="s">
        <v>1144</v>
      </c>
      <c r="C591" t="s">
        <v>1145</v>
      </c>
      <c r="D591" t="s">
        <v>117</v>
      </c>
      <c r="E591" t="s">
        <v>63</v>
      </c>
      <c r="F591" t="s">
        <v>126</v>
      </c>
      <c r="G591" t="s">
        <v>2761</v>
      </c>
      <c r="I591" t="s">
        <v>126</v>
      </c>
    </row>
    <row r="592" spans="1:9">
      <c r="A592">
        <v>2675</v>
      </c>
      <c r="B592" t="s">
        <v>3244</v>
      </c>
      <c r="C592" t="s">
        <v>2763</v>
      </c>
      <c r="D592" t="s">
        <v>126</v>
      </c>
      <c r="E592" t="s">
        <v>126</v>
      </c>
      <c r="F592" t="s">
        <v>126</v>
      </c>
      <c r="G592" t="s">
        <v>2641</v>
      </c>
      <c r="I592" t="s">
        <v>2764</v>
      </c>
    </row>
    <row r="593" spans="1:9">
      <c r="A593">
        <v>2681</v>
      </c>
      <c r="B593" t="s">
        <v>1407</v>
      </c>
      <c r="C593" t="s">
        <v>1408</v>
      </c>
      <c r="D593" t="s">
        <v>113</v>
      </c>
      <c r="E593" t="s">
        <v>233</v>
      </c>
      <c r="F593" t="s">
        <v>42</v>
      </c>
      <c r="G593" t="s">
        <v>2733</v>
      </c>
      <c r="H593">
        <v>2</v>
      </c>
      <c r="I593" t="s">
        <v>126</v>
      </c>
    </row>
    <row r="594" spans="1:9">
      <c r="A594">
        <v>2691</v>
      </c>
      <c r="B594" t="s">
        <v>3245</v>
      </c>
      <c r="C594" t="s">
        <v>2767</v>
      </c>
      <c r="D594" t="s">
        <v>126</v>
      </c>
      <c r="E594" t="s">
        <v>126</v>
      </c>
      <c r="F594" t="s">
        <v>126</v>
      </c>
      <c r="G594" t="s">
        <v>2768</v>
      </c>
      <c r="I594" t="s">
        <v>126</v>
      </c>
    </row>
    <row r="595" spans="1:9">
      <c r="A595">
        <v>2699</v>
      </c>
      <c r="B595" t="s">
        <v>490</v>
      </c>
      <c r="C595" t="s">
        <v>491</v>
      </c>
      <c r="D595" t="s">
        <v>121</v>
      </c>
      <c r="E595" t="s">
        <v>184</v>
      </c>
      <c r="F595" t="s">
        <v>83</v>
      </c>
      <c r="G595" t="s">
        <v>1727</v>
      </c>
      <c r="I595" t="s">
        <v>492</v>
      </c>
    </row>
    <row r="596" spans="1:9">
      <c r="A596">
        <v>2701</v>
      </c>
      <c r="B596" t="s">
        <v>3246</v>
      </c>
      <c r="C596" t="s">
        <v>2771</v>
      </c>
      <c r="D596" t="s">
        <v>125</v>
      </c>
      <c r="E596" t="s">
        <v>126</v>
      </c>
      <c r="F596" t="s">
        <v>126</v>
      </c>
      <c r="G596" t="s">
        <v>2726</v>
      </c>
      <c r="I596" t="s">
        <v>2772</v>
      </c>
    </row>
    <row r="597" spans="1:9">
      <c r="A597">
        <v>2702</v>
      </c>
      <c r="B597" t="s">
        <v>3247</v>
      </c>
      <c r="C597" t="s">
        <v>2774</v>
      </c>
      <c r="D597" t="s">
        <v>113</v>
      </c>
      <c r="E597" t="s">
        <v>154</v>
      </c>
      <c r="F597" t="s">
        <v>126</v>
      </c>
      <c r="G597" t="s">
        <v>2587</v>
      </c>
      <c r="I597" t="s">
        <v>126</v>
      </c>
    </row>
    <row r="598" spans="1:9">
      <c r="A598">
        <v>2709</v>
      </c>
      <c r="B598" t="s">
        <v>988</v>
      </c>
      <c r="C598" t="s">
        <v>989</v>
      </c>
      <c r="D598" t="s">
        <v>113</v>
      </c>
      <c r="E598" t="s">
        <v>233</v>
      </c>
      <c r="F598" t="s">
        <v>180</v>
      </c>
      <c r="G598" t="s">
        <v>2088</v>
      </c>
      <c r="H598">
        <v>1</v>
      </c>
      <c r="I598" t="s">
        <v>990</v>
      </c>
    </row>
    <row r="599" spans="1:9">
      <c r="A599">
        <v>2713</v>
      </c>
      <c r="B599" t="s">
        <v>1420</v>
      </c>
      <c r="C599" t="s">
        <v>1421</v>
      </c>
      <c r="D599" t="s">
        <v>113</v>
      </c>
      <c r="E599" t="s">
        <v>139</v>
      </c>
      <c r="F599" t="s">
        <v>154</v>
      </c>
      <c r="G599" t="s">
        <v>2777</v>
      </c>
      <c r="H599">
        <v>5</v>
      </c>
      <c r="I599" t="s">
        <v>126</v>
      </c>
    </row>
    <row r="600" spans="1:9">
      <c r="A600">
        <v>2714</v>
      </c>
      <c r="B600" t="s">
        <v>3248</v>
      </c>
      <c r="C600" t="s">
        <v>2779</v>
      </c>
      <c r="D600" t="s">
        <v>121</v>
      </c>
      <c r="E600" t="s">
        <v>184</v>
      </c>
      <c r="F600" t="s">
        <v>83</v>
      </c>
      <c r="G600" t="s">
        <v>2780</v>
      </c>
      <c r="I600" t="s">
        <v>126</v>
      </c>
    </row>
    <row r="601" spans="1:9">
      <c r="A601">
        <v>2719</v>
      </c>
      <c r="B601" t="s">
        <v>1277</v>
      </c>
      <c r="C601" t="s">
        <v>1278</v>
      </c>
      <c r="D601" t="s">
        <v>233</v>
      </c>
      <c r="E601" t="s">
        <v>117</v>
      </c>
      <c r="F601" t="s">
        <v>42</v>
      </c>
      <c r="G601" t="s">
        <v>2715</v>
      </c>
      <c r="I601" t="s">
        <v>126</v>
      </c>
    </row>
    <row r="602" spans="1:9">
      <c r="A602">
        <v>2720</v>
      </c>
      <c r="B602" t="s">
        <v>3249</v>
      </c>
      <c r="C602" t="s">
        <v>2783</v>
      </c>
      <c r="D602" t="s">
        <v>125</v>
      </c>
      <c r="E602" t="s">
        <v>126</v>
      </c>
      <c r="F602" t="s">
        <v>126</v>
      </c>
      <c r="G602" t="s">
        <v>2784</v>
      </c>
      <c r="I602" t="s">
        <v>2785</v>
      </c>
    </row>
    <row r="603" spans="1:9">
      <c r="A603">
        <v>2732</v>
      </c>
      <c r="B603" t="s">
        <v>857</v>
      </c>
      <c r="C603" t="s">
        <v>858</v>
      </c>
      <c r="D603" t="s">
        <v>113</v>
      </c>
      <c r="E603" t="s">
        <v>139</v>
      </c>
      <c r="F603" t="s">
        <v>82</v>
      </c>
      <c r="G603" t="s">
        <v>2526</v>
      </c>
      <c r="H603">
        <v>1</v>
      </c>
    </row>
    <row r="604" spans="1:9">
      <c r="A604">
        <v>2736</v>
      </c>
      <c r="B604" t="s">
        <v>1446</v>
      </c>
      <c r="C604" t="s">
        <v>1447</v>
      </c>
      <c r="D604" t="s">
        <v>113</v>
      </c>
      <c r="E604" t="s">
        <v>154</v>
      </c>
      <c r="F604" t="s">
        <v>160</v>
      </c>
      <c r="G604" t="s">
        <v>2511</v>
      </c>
      <c r="H604">
        <v>4</v>
      </c>
    </row>
    <row r="605" spans="1:9">
      <c r="A605">
        <v>2742</v>
      </c>
      <c r="B605" t="s">
        <v>676</v>
      </c>
      <c r="C605" t="s">
        <v>677</v>
      </c>
      <c r="D605" t="s">
        <v>113</v>
      </c>
      <c r="E605" t="s">
        <v>42</v>
      </c>
      <c r="F605" t="s">
        <v>126</v>
      </c>
      <c r="G605" t="s">
        <v>3030</v>
      </c>
    </row>
    <row r="606" spans="1:9">
      <c r="A606">
        <v>2751</v>
      </c>
      <c r="B606" t="s">
        <v>485</v>
      </c>
      <c r="C606" t="s">
        <v>486</v>
      </c>
      <c r="D606" t="s">
        <v>113</v>
      </c>
      <c r="E606" t="s">
        <v>160</v>
      </c>
      <c r="F606" t="s">
        <v>172</v>
      </c>
      <c r="G606" t="s">
        <v>3032</v>
      </c>
      <c r="H606">
        <v>1</v>
      </c>
    </row>
    <row r="607" spans="1:9">
      <c r="A607">
        <v>2752</v>
      </c>
      <c r="B607" t="s">
        <v>3250</v>
      </c>
      <c r="C607" t="s">
        <v>2791</v>
      </c>
      <c r="D607" t="s">
        <v>125</v>
      </c>
      <c r="E607" t="s">
        <v>126</v>
      </c>
      <c r="F607" t="s">
        <v>126</v>
      </c>
      <c r="G607" t="s">
        <v>1733</v>
      </c>
    </row>
    <row r="608" spans="1:9">
      <c r="A608">
        <v>2753</v>
      </c>
      <c r="B608" t="s">
        <v>3251</v>
      </c>
      <c r="C608" t="s">
        <v>2793</v>
      </c>
      <c r="D608" t="s">
        <v>126</v>
      </c>
      <c r="E608" t="s">
        <v>126</v>
      </c>
      <c r="F608" t="s">
        <v>126</v>
      </c>
      <c r="G608" t="s">
        <v>1953</v>
      </c>
    </row>
    <row r="609" spans="1:8">
      <c r="A609">
        <v>2756</v>
      </c>
      <c r="B609" t="s">
        <v>3252</v>
      </c>
      <c r="C609" t="s">
        <v>2795</v>
      </c>
      <c r="D609" t="s">
        <v>126</v>
      </c>
      <c r="E609" t="s">
        <v>126</v>
      </c>
      <c r="F609" t="s">
        <v>126</v>
      </c>
      <c r="G609" t="s">
        <v>2345</v>
      </c>
    </row>
    <row r="610" spans="1:8">
      <c r="A610">
        <v>2759</v>
      </c>
      <c r="B610" t="s">
        <v>3253</v>
      </c>
      <c r="C610" t="s">
        <v>2797</v>
      </c>
      <c r="D610" t="s">
        <v>126</v>
      </c>
      <c r="E610" t="s">
        <v>126</v>
      </c>
      <c r="F610" t="s">
        <v>126</v>
      </c>
      <c r="G610" t="s">
        <v>2798</v>
      </c>
    </row>
    <row r="611" spans="1:8">
      <c r="A611">
        <v>2763</v>
      </c>
      <c r="B611" t="s">
        <v>861</v>
      </c>
      <c r="C611" t="s">
        <v>862</v>
      </c>
      <c r="D611" t="s">
        <v>113</v>
      </c>
      <c r="E611" t="s">
        <v>139</v>
      </c>
      <c r="F611" t="s">
        <v>86</v>
      </c>
      <c r="G611" t="s">
        <v>1978</v>
      </c>
    </row>
    <row r="612" spans="1:8">
      <c r="A612">
        <v>2781</v>
      </c>
      <c r="B612" t="s">
        <v>1174</v>
      </c>
      <c r="C612" t="s">
        <v>1175</v>
      </c>
      <c r="D612" t="s">
        <v>113</v>
      </c>
      <c r="E612" t="s">
        <v>139</v>
      </c>
      <c r="F612" t="s">
        <v>117</v>
      </c>
      <c r="G612" t="s">
        <v>3035</v>
      </c>
      <c r="H612">
        <v>1</v>
      </c>
    </row>
    <row r="613" spans="1:8">
      <c r="A613">
        <v>2790</v>
      </c>
      <c r="B613" t="s">
        <v>1594</v>
      </c>
      <c r="C613" t="s">
        <v>1595</v>
      </c>
      <c r="D613" t="s">
        <v>113</v>
      </c>
      <c r="E613" t="s">
        <v>233</v>
      </c>
      <c r="F613" t="s">
        <v>154</v>
      </c>
      <c r="G613" t="s">
        <v>3037</v>
      </c>
      <c r="H613">
        <v>2</v>
      </c>
    </row>
    <row r="614" spans="1:8">
      <c r="A614">
        <v>2791</v>
      </c>
      <c r="B614" t="s">
        <v>774</v>
      </c>
      <c r="C614" t="s">
        <v>775</v>
      </c>
      <c r="D614" t="s">
        <v>42</v>
      </c>
      <c r="E614" t="s">
        <v>82</v>
      </c>
      <c r="F614" t="s">
        <v>217</v>
      </c>
      <c r="G614" t="s">
        <v>2694</v>
      </c>
    </row>
    <row r="615" spans="1:8">
      <c r="A615">
        <v>2792</v>
      </c>
      <c r="B615" t="s">
        <v>3254</v>
      </c>
      <c r="C615" t="s">
        <v>2800</v>
      </c>
      <c r="D615" t="s">
        <v>511</v>
      </c>
      <c r="E615" t="s">
        <v>135</v>
      </c>
      <c r="F615" t="s">
        <v>204</v>
      </c>
      <c r="G615" t="s">
        <v>1951</v>
      </c>
    </row>
    <row r="616" spans="1:8">
      <c r="A616">
        <v>2793</v>
      </c>
      <c r="B616" t="s">
        <v>3255</v>
      </c>
      <c r="C616" t="s">
        <v>2802</v>
      </c>
      <c r="D616" t="s">
        <v>126</v>
      </c>
      <c r="E616" t="s">
        <v>126</v>
      </c>
      <c r="F616" t="s">
        <v>126</v>
      </c>
      <c r="G616" t="s">
        <v>2803</v>
      </c>
    </row>
    <row r="617" spans="1:8">
      <c r="A617">
        <v>2801</v>
      </c>
      <c r="B617" t="s">
        <v>1479</v>
      </c>
      <c r="C617" t="s">
        <v>1480</v>
      </c>
      <c r="D617" t="s">
        <v>117</v>
      </c>
      <c r="E617" t="s">
        <v>42</v>
      </c>
      <c r="F617" t="s">
        <v>126</v>
      </c>
      <c r="G617" t="s">
        <v>3040</v>
      </c>
    </row>
    <row r="618" spans="1:8">
      <c r="A618">
        <v>2809</v>
      </c>
      <c r="B618" t="s">
        <v>1487</v>
      </c>
      <c r="C618" t="s">
        <v>1488</v>
      </c>
      <c r="D618" t="s">
        <v>113</v>
      </c>
      <c r="E618" t="s">
        <v>42</v>
      </c>
      <c r="F618" t="s">
        <v>172</v>
      </c>
      <c r="G618" t="s">
        <v>3042</v>
      </c>
    </row>
    <row r="619" spans="1:8">
      <c r="A619">
        <v>2813</v>
      </c>
      <c r="B619" t="s">
        <v>1363</v>
      </c>
      <c r="C619" t="s">
        <v>1364</v>
      </c>
      <c r="D619" t="s">
        <v>113</v>
      </c>
      <c r="E619" t="s">
        <v>139</v>
      </c>
      <c r="F619" t="s">
        <v>160</v>
      </c>
      <c r="G619" t="s">
        <v>2061</v>
      </c>
      <c r="H619">
        <v>3</v>
      </c>
    </row>
    <row r="620" spans="1:8">
      <c r="A620">
        <v>2814</v>
      </c>
      <c r="B620" t="s">
        <v>3256</v>
      </c>
      <c r="C620" t="s">
        <v>2805</v>
      </c>
      <c r="D620" t="s">
        <v>113</v>
      </c>
      <c r="E620" t="s">
        <v>176</v>
      </c>
      <c r="F620" t="s">
        <v>65</v>
      </c>
      <c r="G620" t="s">
        <v>2297</v>
      </c>
    </row>
    <row r="621" spans="1:8">
      <c r="A621">
        <v>2818</v>
      </c>
      <c r="B621" t="s">
        <v>1365</v>
      </c>
      <c r="C621" t="s">
        <v>1366</v>
      </c>
      <c r="D621" t="s">
        <v>113</v>
      </c>
      <c r="E621" t="s">
        <v>233</v>
      </c>
      <c r="F621" t="s">
        <v>160</v>
      </c>
      <c r="G621" t="s">
        <v>2061</v>
      </c>
      <c r="H621">
        <v>4</v>
      </c>
    </row>
    <row r="622" spans="1:8">
      <c r="A622">
        <v>2819</v>
      </c>
      <c r="B622" t="s">
        <v>3257</v>
      </c>
      <c r="C622" t="s">
        <v>2807</v>
      </c>
      <c r="D622" t="s">
        <v>113</v>
      </c>
      <c r="E622" t="s">
        <v>154</v>
      </c>
      <c r="F622" t="s">
        <v>172</v>
      </c>
      <c r="G622" t="s">
        <v>2568</v>
      </c>
      <c r="H622">
        <v>1</v>
      </c>
    </row>
    <row r="623" spans="1:8">
      <c r="A623">
        <v>2827</v>
      </c>
      <c r="B623" t="s">
        <v>1602</v>
      </c>
      <c r="C623" t="s">
        <v>1603</v>
      </c>
      <c r="D623" t="s">
        <v>233</v>
      </c>
      <c r="E623" t="s">
        <v>42</v>
      </c>
      <c r="F623" t="s">
        <v>126</v>
      </c>
      <c r="G623" t="s">
        <v>3046</v>
      </c>
    </row>
    <row r="624" spans="1:8">
      <c r="A624">
        <v>2835</v>
      </c>
      <c r="B624" t="s">
        <v>1371</v>
      </c>
      <c r="C624" t="s">
        <v>1372</v>
      </c>
      <c r="D624" t="s">
        <v>113</v>
      </c>
      <c r="E624" t="s">
        <v>63</v>
      </c>
      <c r="F624" t="s">
        <v>82</v>
      </c>
      <c r="G624" t="s">
        <v>3012</v>
      </c>
    </row>
    <row r="625" spans="1:8">
      <c r="A625">
        <v>2836</v>
      </c>
      <c r="B625" t="s">
        <v>1409</v>
      </c>
      <c r="C625" t="s">
        <v>1410</v>
      </c>
      <c r="D625" t="s">
        <v>113</v>
      </c>
      <c r="E625" t="s">
        <v>42</v>
      </c>
      <c r="F625" t="s">
        <v>82</v>
      </c>
      <c r="G625" t="s">
        <v>2733</v>
      </c>
    </row>
    <row r="626" spans="1:8">
      <c r="A626">
        <v>2842</v>
      </c>
      <c r="B626" t="s">
        <v>1448</v>
      </c>
      <c r="C626" t="s">
        <v>1449</v>
      </c>
      <c r="D626" t="s">
        <v>139</v>
      </c>
      <c r="E626" t="s">
        <v>233</v>
      </c>
      <c r="F626" t="s">
        <v>117</v>
      </c>
      <c r="G626" t="s">
        <v>2511</v>
      </c>
      <c r="H626">
        <v>2</v>
      </c>
    </row>
    <row r="627" spans="1:8">
      <c r="A627">
        <v>2846</v>
      </c>
      <c r="B627" t="s">
        <v>932</v>
      </c>
      <c r="C627" t="s">
        <v>933</v>
      </c>
      <c r="D627" t="s">
        <v>113</v>
      </c>
      <c r="E627" t="s">
        <v>135</v>
      </c>
      <c r="F627" t="s">
        <v>121</v>
      </c>
      <c r="G627" t="s">
        <v>2347</v>
      </c>
      <c r="H627">
        <v>1</v>
      </c>
    </row>
    <row r="628" spans="1:8">
      <c r="A628">
        <v>2851</v>
      </c>
      <c r="B628" t="s">
        <v>1426</v>
      </c>
      <c r="C628" t="s">
        <v>1427</v>
      </c>
      <c r="D628" t="s">
        <v>233</v>
      </c>
      <c r="E628" t="s">
        <v>117</v>
      </c>
      <c r="F628" t="s">
        <v>42</v>
      </c>
      <c r="G628" t="s">
        <v>2912</v>
      </c>
      <c r="H628">
        <v>1</v>
      </c>
    </row>
    <row r="629" spans="1:8">
      <c r="A629">
        <v>2858</v>
      </c>
      <c r="B629" t="s">
        <v>461</v>
      </c>
      <c r="C629" t="s">
        <v>462</v>
      </c>
      <c r="D629" t="s">
        <v>42</v>
      </c>
      <c r="E629" t="s">
        <v>136</v>
      </c>
      <c r="F629" t="s">
        <v>204</v>
      </c>
      <c r="G629" t="s">
        <v>2000</v>
      </c>
    </row>
    <row r="630" spans="1:8">
      <c r="A630">
        <v>2862</v>
      </c>
      <c r="B630" t="s">
        <v>955</v>
      </c>
      <c r="C630" t="s">
        <v>956</v>
      </c>
      <c r="D630" t="s">
        <v>113</v>
      </c>
      <c r="E630" t="s">
        <v>233</v>
      </c>
      <c r="F630" t="s">
        <v>58</v>
      </c>
      <c r="G630" t="s">
        <v>2273</v>
      </c>
    </row>
    <row r="631" spans="1:8">
      <c r="A631">
        <v>2867</v>
      </c>
      <c r="B631" t="s">
        <v>1270</v>
      </c>
      <c r="C631" t="s">
        <v>1271</v>
      </c>
      <c r="D631" t="s">
        <v>233</v>
      </c>
      <c r="E631" t="s">
        <v>42</v>
      </c>
      <c r="F631" t="s">
        <v>135</v>
      </c>
      <c r="G631" t="s">
        <v>2303</v>
      </c>
      <c r="H631">
        <v>2</v>
      </c>
    </row>
    <row r="632" spans="1:8">
      <c r="A632">
        <v>2868</v>
      </c>
      <c r="B632" t="s">
        <v>3258</v>
      </c>
      <c r="C632" t="s">
        <v>2809</v>
      </c>
      <c r="D632" t="s">
        <v>113</v>
      </c>
      <c r="E632" t="s">
        <v>233</v>
      </c>
      <c r="F632" t="s">
        <v>272</v>
      </c>
      <c r="G632" t="s">
        <v>2810</v>
      </c>
      <c r="H632">
        <v>3</v>
      </c>
    </row>
    <row r="633" spans="1:8">
      <c r="A633">
        <v>2872</v>
      </c>
      <c r="B633" t="s">
        <v>192</v>
      </c>
      <c r="C633" t="s">
        <v>193</v>
      </c>
      <c r="D633" t="s">
        <v>135</v>
      </c>
      <c r="E633" t="s">
        <v>136</v>
      </c>
      <c r="F633" t="s">
        <v>126</v>
      </c>
      <c r="G633" t="s">
        <v>3056</v>
      </c>
    </row>
    <row r="634" spans="1:8">
      <c r="A634">
        <v>2876</v>
      </c>
      <c r="B634" t="s">
        <v>1344</v>
      </c>
      <c r="C634" t="s">
        <v>1345</v>
      </c>
      <c r="D634" t="s">
        <v>42</v>
      </c>
      <c r="E634" t="s">
        <v>121</v>
      </c>
      <c r="F634" t="s">
        <v>256</v>
      </c>
      <c r="G634" t="s">
        <v>1674</v>
      </c>
    </row>
    <row r="635" spans="1:8">
      <c r="A635">
        <v>2897</v>
      </c>
      <c r="B635" t="s">
        <v>863</v>
      </c>
      <c r="C635" t="s">
        <v>864</v>
      </c>
      <c r="D635" t="s">
        <v>113</v>
      </c>
      <c r="E635" t="s">
        <v>139</v>
      </c>
      <c r="F635" t="s">
        <v>63</v>
      </c>
      <c r="G635" t="s">
        <v>1978</v>
      </c>
      <c r="H635">
        <v>1</v>
      </c>
    </row>
    <row r="636" spans="1:8">
      <c r="A636">
        <v>2902</v>
      </c>
      <c r="B636" t="s">
        <v>1570</v>
      </c>
      <c r="C636" t="s">
        <v>1571</v>
      </c>
      <c r="D636" t="s">
        <v>113</v>
      </c>
      <c r="E636" t="s">
        <v>139</v>
      </c>
      <c r="F636" t="s">
        <v>42</v>
      </c>
      <c r="G636" t="s">
        <v>3060</v>
      </c>
      <c r="H636">
        <v>1</v>
      </c>
    </row>
    <row r="637" spans="1:8">
      <c r="A637">
        <v>2911</v>
      </c>
      <c r="B637" t="s">
        <v>1256</v>
      </c>
      <c r="C637" t="s">
        <v>1257</v>
      </c>
      <c r="D637" t="s">
        <v>272</v>
      </c>
      <c r="E637" t="s">
        <v>117</v>
      </c>
      <c r="F637" t="s">
        <v>42</v>
      </c>
      <c r="G637" t="s">
        <v>2066</v>
      </c>
    </row>
    <row r="638" spans="1:8">
      <c r="A638">
        <v>2912</v>
      </c>
      <c r="B638" t="s">
        <v>3259</v>
      </c>
      <c r="C638" t="s">
        <v>2812</v>
      </c>
      <c r="D638" t="s">
        <v>233</v>
      </c>
      <c r="E638" t="s">
        <v>42</v>
      </c>
      <c r="F638" t="s">
        <v>263</v>
      </c>
      <c r="G638" t="s">
        <v>2813</v>
      </c>
    </row>
    <row r="639" spans="1:8">
      <c r="A639">
        <v>2916</v>
      </c>
      <c r="B639" t="s">
        <v>1568</v>
      </c>
      <c r="C639" t="s">
        <v>1569</v>
      </c>
      <c r="D639" t="s">
        <v>113</v>
      </c>
      <c r="E639" t="s">
        <v>42</v>
      </c>
      <c r="F639" t="s">
        <v>204</v>
      </c>
      <c r="G639" t="s">
        <v>3063</v>
      </c>
    </row>
    <row r="640" spans="1:8">
      <c r="A640">
        <v>2920</v>
      </c>
      <c r="B640" t="s">
        <v>1229</v>
      </c>
      <c r="C640" t="s">
        <v>1230</v>
      </c>
      <c r="D640" t="s">
        <v>113</v>
      </c>
      <c r="E640" t="s">
        <v>42</v>
      </c>
      <c r="F640" t="s">
        <v>147</v>
      </c>
      <c r="G640" t="s">
        <v>2251</v>
      </c>
    </row>
    <row r="641" spans="1:8">
      <c r="A641">
        <v>2921</v>
      </c>
      <c r="B641" t="s">
        <v>3260</v>
      </c>
      <c r="C641" t="s">
        <v>2815</v>
      </c>
      <c r="D641" t="s">
        <v>113</v>
      </c>
      <c r="E641" t="s">
        <v>300</v>
      </c>
      <c r="F641" t="s">
        <v>156</v>
      </c>
      <c r="G641" t="s">
        <v>2031</v>
      </c>
    </row>
    <row r="642" spans="1:8">
      <c r="A642">
        <v>2926</v>
      </c>
      <c r="B642" t="s">
        <v>1539</v>
      </c>
      <c r="C642" t="s">
        <v>1540</v>
      </c>
      <c r="D642" t="s">
        <v>113</v>
      </c>
      <c r="E642" t="s">
        <v>154</v>
      </c>
      <c r="F642" t="s">
        <v>217</v>
      </c>
      <c r="G642" t="s">
        <v>2556</v>
      </c>
    </row>
    <row r="643" spans="1:8">
      <c r="A643">
        <v>2927</v>
      </c>
      <c r="B643" t="s">
        <v>3261</v>
      </c>
      <c r="C643" t="s">
        <v>2817</v>
      </c>
      <c r="D643" t="s">
        <v>233</v>
      </c>
      <c r="E643" t="s">
        <v>263</v>
      </c>
      <c r="F643" t="s">
        <v>126</v>
      </c>
      <c r="G643" t="s">
        <v>1721</v>
      </c>
    </row>
    <row r="644" spans="1:8">
      <c r="A644">
        <v>2931</v>
      </c>
      <c r="B644" t="s">
        <v>351</v>
      </c>
      <c r="C644" t="s">
        <v>352</v>
      </c>
      <c r="D644" t="s">
        <v>113</v>
      </c>
      <c r="E644" t="s">
        <v>63</v>
      </c>
      <c r="F644" t="s">
        <v>172</v>
      </c>
      <c r="G644" t="s">
        <v>2268</v>
      </c>
      <c r="H644">
        <v>2</v>
      </c>
    </row>
    <row r="645" spans="1:8">
      <c r="A645">
        <v>2935</v>
      </c>
      <c r="B645" t="s">
        <v>1430</v>
      </c>
      <c r="C645" t="s">
        <v>1431</v>
      </c>
      <c r="D645" t="s">
        <v>113</v>
      </c>
      <c r="E645" t="s">
        <v>139</v>
      </c>
      <c r="F645" t="s">
        <v>82</v>
      </c>
      <c r="G645" t="s">
        <v>3068</v>
      </c>
      <c r="H645">
        <v>2</v>
      </c>
    </row>
    <row r="646" spans="1:8">
      <c r="A646">
        <v>2940</v>
      </c>
      <c r="B646" t="s">
        <v>592</v>
      </c>
      <c r="C646" t="s">
        <v>593</v>
      </c>
      <c r="D646" t="s">
        <v>113</v>
      </c>
      <c r="E646" t="s">
        <v>154</v>
      </c>
      <c r="F646" t="s">
        <v>160</v>
      </c>
      <c r="G646" t="s">
        <v>1765</v>
      </c>
      <c r="H646">
        <v>4</v>
      </c>
    </row>
    <row r="647" spans="1:8">
      <c r="A647">
        <v>2941</v>
      </c>
      <c r="B647" t="s">
        <v>3262</v>
      </c>
      <c r="C647" t="s">
        <v>2819</v>
      </c>
      <c r="D647" t="s">
        <v>113</v>
      </c>
      <c r="E647" t="s">
        <v>233</v>
      </c>
      <c r="F647" t="s">
        <v>154</v>
      </c>
      <c r="G647" t="s">
        <v>2431</v>
      </c>
      <c r="H647">
        <v>1</v>
      </c>
    </row>
    <row r="648" spans="1:8">
      <c r="A648">
        <v>2945</v>
      </c>
      <c r="B648" t="s">
        <v>1628</v>
      </c>
      <c r="C648" t="s">
        <v>1629</v>
      </c>
      <c r="D648" t="s">
        <v>113</v>
      </c>
      <c r="E648" t="s">
        <v>154</v>
      </c>
      <c r="F648" t="s">
        <v>938</v>
      </c>
      <c r="G648" t="s">
        <v>2963</v>
      </c>
    </row>
    <row r="649" spans="1:8">
      <c r="A649">
        <v>2949</v>
      </c>
      <c r="B649" t="s">
        <v>1510</v>
      </c>
      <c r="C649" t="s">
        <v>1511</v>
      </c>
      <c r="D649" t="s">
        <v>139</v>
      </c>
      <c r="E649" t="s">
        <v>233</v>
      </c>
      <c r="F649" t="s">
        <v>117</v>
      </c>
      <c r="G649" t="s">
        <v>3072</v>
      </c>
      <c r="H649">
        <v>2</v>
      </c>
    </row>
    <row r="650" spans="1:8">
      <c r="A650">
        <v>2953</v>
      </c>
      <c r="B650" t="s">
        <v>1481</v>
      </c>
      <c r="C650" t="s">
        <v>1482</v>
      </c>
      <c r="D650" t="s">
        <v>139</v>
      </c>
      <c r="E650" t="s">
        <v>117</v>
      </c>
      <c r="F650" t="s">
        <v>209</v>
      </c>
      <c r="G650" t="s">
        <v>3074</v>
      </c>
    </row>
    <row r="651" spans="1:8">
      <c r="A651">
        <v>2954</v>
      </c>
      <c r="B651" t="s">
        <v>1266</v>
      </c>
      <c r="C651" t="s">
        <v>1267</v>
      </c>
      <c r="D651" t="s">
        <v>113</v>
      </c>
      <c r="E651" t="s">
        <v>233</v>
      </c>
      <c r="F651" t="s">
        <v>263</v>
      </c>
      <c r="G651" t="s">
        <v>1676</v>
      </c>
    </row>
    <row r="652" spans="1:8">
      <c r="A652">
        <v>2959</v>
      </c>
      <c r="B652" t="s">
        <v>658</v>
      </c>
      <c r="C652" t="s">
        <v>659</v>
      </c>
      <c r="D652" t="s">
        <v>82</v>
      </c>
      <c r="E652" t="s">
        <v>121</v>
      </c>
      <c r="F652" t="s">
        <v>217</v>
      </c>
      <c r="G652" t="s">
        <v>3077</v>
      </c>
    </row>
    <row r="653" spans="1:8">
      <c r="A653">
        <v>2963</v>
      </c>
      <c r="B653" t="s">
        <v>776</v>
      </c>
      <c r="C653" t="s">
        <v>777</v>
      </c>
      <c r="D653" t="s">
        <v>113</v>
      </c>
      <c r="E653" t="s">
        <v>139</v>
      </c>
      <c r="F653" t="s">
        <v>233</v>
      </c>
      <c r="G653" t="s">
        <v>2694</v>
      </c>
      <c r="H653">
        <v>1</v>
      </c>
    </row>
    <row r="654" spans="1:8">
      <c r="A654">
        <v>2968</v>
      </c>
      <c r="B654" t="s">
        <v>1200</v>
      </c>
      <c r="C654" t="s">
        <v>1201</v>
      </c>
      <c r="D654" t="s">
        <v>113</v>
      </c>
      <c r="E654" t="s">
        <v>154</v>
      </c>
      <c r="F654" t="s">
        <v>209</v>
      </c>
      <c r="G654" t="s">
        <v>3080</v>
      </c>
      <c r="H654">
        <v>2</v>
      </c>
    </row>
    <row r="655" spans="1:8">
      <c r="A655">
        <v>2969</v>
      </c>
      <c r="B655" t="s">
        <v>3263</v>
      </c>
      <c r="C655" t="s">
        <v>2821</v>
      </c>
      <c r="D655" t="s">
        <v>113</v>
      </c>
      <c r="E655" t="s">
        <v>42</v>
      </c>
      <c r="F655" t="s">
        <v>208</v>
      </c>
      <c r="G655" t="s">
        <v>2822</v>
      </c>
      <c r="H655">
        <v>2</v>
      </c>
    </row>
    <row r="656" spans="1:8">
      <c r="A656">
        <v>2972</v>
      </c>
      <c r="B656" t="s">
        <v>1104</v>
      </c>
      <c r="C656" t="s">
        <v>1105</v>
      </c>
      <c r="D656" t="s">
        <v>113</v>
      </c>
      <c r="E656" t="s">
        <v>272</v>
      </c>
      <c r="F656" t="s">
        <v>154</v>
      </c>
      <c r="G656" t="s">
        <v>2317</v>
      </c>
    </row>
    <row r="657" spans="1:8">
      <c r="A657">
        <v>2973</v>
      </c>
      <c r="B657" t="s">
        <v>1222</v>
      </c>
      <c r="C657" t="s">
        <v>1223</v>
      </c>
      <c r="D657" t="s">
        <v>42</v>
      </c>
      <c r="E657" t="s">
        <v>135</v>
      </c>
      <c r="F657" t="s">
        <v>217</v>
      </c>
      <c r="G657" t="s">
        <v>1755</v>
      </c>
    </row>
    <row r="658" spans="1:8">
      <c r="A658">
        <v>2977</v>
      </c>
      <c r="B658" t="s">
        <v>1516</v>
      </c>
      <c r="C658" t="s">
        <v>1517</v>
      </c>
      <c r="D658" t="s">
        <v>113</v>
      </c>
      <c r="E658" t="s">
        <v>117</v>
      </c>
      <c r="F658" t="s">
        <v>42</v>
      </c>
      <c r="G658" t="s">
        <v>2534</v>
      </c>
      <c r="H658">
        <v>3</v>
      </c>
    </row>
    <row r="659" spans="1:8">
      <c r="A659">
        <v>2983</v>
      </c>
      <c r="B659" t="s">
        <v>1523</v>
      </c>
      <c r="C659" t="s">
        <v>1524</v>
      </c>
      <c r="D659" t="s">
        <v>139</v>
      </c>
      <c r="E659" t="s">
        <v>117</v>
      </c>
      <c r="F659" t="s">
        <v>213</v>
      </c>
      <c r="G659" t="s">
        <v>2037</v>
      </c>
    </row>
    <row r="660" spans="1:8">
      <c r="A660">
        <v>2991</v>
      </c>
      <c r="B660" t="s">
        <v>3264</v>
      </c>
      <c r="C660" t="s">
        <v>2824</v>
      </c>
      <c r="D660" t="s">
        <v>125</v>
      </c>
      <c r="E660" t="s">
        <v>126</v>
      </c>
      <c r="F660" t="s">
        <v>126</v>
      </c>
      <c r="G660" t="s">
        <v>2825</v>
      </c>
    </row>
    <row r="661" spans="1:8">
      <c r="A661">
        <v>2994</v>
      </c>
      <c r="B661" t="s">
        <v>3265</v>
      </c>
      <c r="C661" t="s">
        <v>2827</v>
      </c>
      <c r="D661" t="s">
        <v>125</v>
      </c>
      <c r="E661" t="s">
        <v>126</v>
      </c>
      <c r="F661" t="s">
        <v>126</v>
      </c>
      <c r="G661" t="s">
        <v>2828</v>
      </c>
    </row>
    <row r="662" spans="1:8">
      <c r="A662">
        <v>2995</v>
      </c>
      <c r="B662" t="s">
        <v>3266</v>
      </c>
      <c r="C662" t="s">
        <v>2830</v>
      </c>
      <c r="D662" t="s">
        <v>125</v>
      </c>
      <c r="E662" t="s">
        <v>126</v>
      </c>
      <c r="F662" t="s">
        <v>126</v>
      </c>
      <c r="G662" t="s">
        <v>2831</v>
      </c>
    </row>
    <row r="663" spans="1:8">
      <c r="A663">
        <v>2999</v>
      </c>
      <c r="B663" t="s">
        <v>1504</v>
      </c>
      <c r="C663" t="s">
        <v>1505</v>
      </c>
      <c r="D663" t="s">
        <v>233</v>
      </c>
      <c r="E663" t="s">
        <v>117</v>
      </c>
      <c r="F663" t="s">
        <v>42</v>
      </c>
      <c r="G663" t="s">
        <v>3086</v>
      </c>
    </row>
    <row r="664" spans="1:8">
      <c r="A664">
        <v>3003</v>
      </c>
      <c r="B664" t="s">
        <v>1493</v>
      </c>
      <c r="C664" t="s">
        <v>1494</v>
      </c>
      <c r="D664" t="s">
        <v>117</v>
      </c>
      <c r="E664" t="s">
        <v>42</v>
      </c>
      <c r="F664" t="s">
        <v>204</v>
      </c>
      <c r="G664" t="s">
        <v>3088</v>
      </c>
    </row>
    <row r="665" spans="1:8">
      <c r="A665">
        <v>3008</v>
      </c>
      <c r="B665" t="s">
        <v>1518</v>
      </c>
      <c r="C665" t="s">
        <v>1519</v>
      </c>
      <c r="D665" t="s">
        <v>272</v>
      </c>
      <c r="E665" t="s">
        <v>117</v>
      </c>
      <c r="F665" t="s">
        <v>154</v>
      </c>
      <c r="G665" t="s">
        <v>2534</v>
      </c>
      <c r="H665">
        <v>3</v>
      </c>
    </row>
    <row r="666" spans="1:8">
      <c r="A666">
        <v>3009</v>
      </c>
      <c r="B666" t="s">
        <v>3267</v>
      </c>
      <c r="C666" t="s">
        <v>2833</v>
      </c>
      <c r="D666" t="s">
        <v>113</v>
      </c>
      <c r="E666" t="s">
        <v>233</v>
      </c>
      <c r="F666" t="s">
        <v>300</v>
      </c>
      <c r="G666" t="s">
        <v>2834</v>
      </c>
      <c r="H666">
        <v>1</v>
      </c>
    </row>
    <row r="667" spans="1:8">
      <c r="A667">
        <v>3013</v>
      </c>
      <c r="B667" t="s">
        <v>1413</v>
      </c>
      <c r="C667" t="s">
        <v>1414</v>
      </c>
      <c r="D667" t="s">
        <v>113</v>
      </c>
      <c r="E667" t="s">
        <v>139</v>
      </c>
      <c r="F667" t="s">
        <v>209</v>
      </c>
      <c r="G667" t="s">
        <v>2954</v>
      </c>
      <c r="H667">
        <v>1</v>
      </c>
    </row>
    <row r="668" spans="1:8">
      <c r="A668">
        <v>3017</v>
      </c>
      <c r="B668" t="s">
        <v>1581</v>
      </c>
      <c r="C668" t="s">
        <v>1582</v>
      </c>
      <c r="D668" t="s">
        <v>121</v>
      </c>
      <c r="E668" t="s">
        <v>213</v>
      </c>
      <c r="F668" t="s">
        <v>126</v>
      </c>
      <c r="G668" t="s">
        <v>2485</v>
      </c>
    </row>
    <row r="669" spans="1:8">
      <c r="A669">
        <v>3018</v>
      </c>
      <c r="B669" t="s">
        <v>3268</v>
      </c>
      <c r="C669" t="s">
        <v>2836</v>
      </c>
      <c r="D669" t="s">
        <v>113</v>
      </c>
      <c r="E669" t="s">
        <v>42</v>
      </c>
      <c r="F669" t="s">
        <v>126</v>
      </c>
      <c r="G669" t="s">
        <v>2768</v>
      </c>
    </row>
    <row r="670" spans="1:8">
      <c r="A670">
        <v>3022</v>
      </c>
      <c r="B670" t="s">
        <v>1422</v>
      </c>
      <c r="C670" t="s">
        <v>1423</v>
      </c>
      <c r="D670" t="s">
        <v>113</v>
      </c>
      <c r="E670" t="s">
        <v>63</v>
      </c>
      <c r="F670" t="s">
        <v>82</v>
      </c>
      <c r="G670" t="s">
        <v>2777</v>
      </c>
    </row>
    <row r="671" spans="1:8">
      <c r="A671">
        <v>3027</v>
      </c>
      <c r="B671" t="s">
        <v>799</v>
      </c>
      <c r="C671" t="s">
        <v>800</v>
      </c>
      <c r="D671" t="s">
        <v>113</v>
      </c>
      <c r="E671" t="s">
        <v>233</v>
      </c>
      <c r="F671" t="s">
        <v>624</v>
      </c>
      <c r="G671" t="s">
        <v>3094</v>
      </c>
      <c r="H671">
        <v>2</v>
      </c>
    </row>
    <row r="672" spans="1:8">
      <c r="A672">
        <v>3031</v>
      </c>
      <c r="B672" t="s">
        <v>1284</v>
      </c>
      <c r="C672" t="s">
        <v>1285</v>
      </c>
      <c r="D672" t="s">
        <v>117</v>
      </c>
      <c r="E672" t="s">
        <v>647</v>
      </c>
      <c r="F672" t="s">
        <v>768</v>
      </c>
      <c r="G672" t="s">
        <v>3096</v>
      </c>
      <c r="H672">
        <v>1</v>
      </c>
    </row>
    <row r="673" spans="1:8">
      <c r="A673">
        <v>3036</v>
      </c>
      <c r="B673" t="s">
        <v>1367</v>
      </c>
      <c r="C673" t="s">
        <v>1368</v>
      </c>
      <c r="D673" t="s">
        <v>113</v>
      </c>
      <c r="E673" t="s">
        <v>647</v>
      </c>
      <c r="F673" t="s">
        <v>768</v>
      </c>
      <c r="G673" t="s">
        <v>2061</v>
      </c>
      <c r="H673">
        <v>1</v>
      </c>
    </row>
    <row r="674" spans="1:8">
      <c r="A674">
        <v>3037</v>
      </c>
      <c r="B674" t="s">
        <v>3269</v>
      </c>
      <c r="C674" t="s">
        <v>2838</v>
      </c>
      <c r="D674" t="s">
        <v>113</v>
      </c>
      <c r="E674" t="s">
        <v>209</v>
      </c>
      <c r="F674" t="s">
        <v>647</v>
      </c>
      <c r="G674" t="s">
        <v>2839</v>
      </c>
      <c r="H674">
        <v>2</v>
      </c>
    </row>
    <row r="675" spans="1:8">
      <c r="A675">
        <v>3041</v>
      </c>
      <c r="B675" t="s">
        <v>1411</v>
      </c>
      <c r="C675" t="s">
        <v>1412</v>
      </c>
      <c r="D675" t="s">
        <v>113</v>
      </c>
      <c r="E675" t="s">
        <v>42</v>
      </c>
      <c r="F675" t="s">
        <v>172</v>
      </c>
      <c r="G675" t="s">
        <v>3099</v>
      </c>
    </row>
    <row r="676" spans="1:8">
      <c r="A676">
        <v>3045</v>
      </c>
      <c r="B676" t="s">
        <v>1483</v>
      </c>
      <c r="C676" t="s">
        <v>1484</v>
      </c>
      <c r="D676" t="s">
        <v>113</v>
      </c>
      <c r="E676" t="s">
        <v>117</v>
      </c>
      <c r="F676" t="s">
        <v>67</v>
      </c>
      <c r="G676" t="s">
        <v>3074</v>
      </c>
      <c r="H676">
        <v>3</v>
      </c>
    </row>
    <row r="677" spans="1:8">
      <c r="A677">
        <v>3049</v>
      </c>
      <c r="B677" t="s">
        <v>1586</v>
      </c>
      <c r="C677" t="s">
        <v>1587</v>
      </c>
      <c r="D677" t="s">
        <v>113</v>
      </c>
      <c r="E677" t="s">
        <v>154</v>
      </c>
      <c r="F677" t="s">
        <v>63</v>
      </c>
      <c r="G677" t="s">
        <v>1692</v>
      </c>
      <c r="H677">
        <v>1</v>
      </c>
    </row>
    <row r="678" spans="1:8">
      <c r="A678">
        <v>3052</v>
      </c>
      <c r="B678" t="s">
        <v>3270</v>
      </c>
      <c r="C678" t="s">
        <v>2841</v>
      </c>
      <c r="D678" t="s">
        <v>125</v>
      </c>
      <c r="E678" t="s">
        <v>126</v>
      </c>
      <c r="F678" t="s">
        <v>126</v>
      </c>
      <c r="G678" t="s">
        <v>2842</v>
      </c>
    </row>
    <row r="679" spans="1:8">
      <c r="A679">
        <v>3057</v>
      </c>
      <c r="B679" t="s">
        <v>3271</v>
      </c>
      <c r="C679" t="s">
        <v>2844</v>
      </c>
      <c r="D679" t="s">
        <v>125</v>
      </c>
      <c r="E679" t="s">
        <v>126</v>
      </c>
      <c r="F679" t="s">
        <v>126</v>
      </c>
      <c r="G679" t="s">
        <v>2845</v>
      </c>
    </row>
    <row r="680" spans="1:8">
      <c r="A680">
        <v>3060</v>
      </c>
      <c r="B680" t="s">
        <v>3272</v>
      </c>
      <c r="C680" t="s">
        <v>2847</v>
      </c>
      <c r="D680" t="s">
        <v>125</v>
      </c>
      <c r="E680" t="s">
        <v>126</v>
      </c>
      <c r="F680" t="s">
        <v>126</v>
      </c>
      <c r="G680" t="s">
        <v>1781</v>
      </c>
    </row>
    <row r="681" spans="1:8">
      <c r="A681">
        <v>3061</v>
      </c>
      <c r="B681" t="s">
        <v>3273</v>
      </c>
      <c r="C681" t="s">
        <v>2849</v>
      </c>
      <c r="D681" t="s">
        <v>125</v>
      </c>
      <c r="E681" t="s">
        <v>126</v>
      </c>
      <c r="F681" t="s">
        <v>126</v>
      </c>
      <c r="G681" t="s">
        <v>2106</v>
      </c>
    </row>
    <row r="682" spans="1:8">
      <c r="A682">
        <v>3068</v>
      </c>
      <c r="B682" t="s">
        <v>241</v>
      </c>
      <c r="C682" t="s">
        <v>242</v>
      </c>
      <c r="D682" t="s">
        <v>113</v>
      </c>
      <c r="E682" t="s">
        <v>42</v>
      </c>
      <c r="F682" t="s">
        <v>63</v>
      </c>
      <c r="G682" t="s">
        <v>2371</v>
      </c>
      <c r="H682">
        <v>3</v>
      </c>
    </row>
    <row r="683" spans="1:8">
      <c r="A683">
        <v>3072</v>
      </c>
      <c r="B683" t="s">
        <v>1485</v>
      </c>
      <c r="C683" t="s">
        <v>1486</v>
      </c>
      <c r="D683" t="s">
        <v>113</v>
      </c>
      <c r="E683" t="s">
        <v>300</v>
      </c>
      <c r="F683" t="s">
        <v>156</v>
      </c>
      <c r="G683" t="s">
        <v>3074</v>
      </c>
      <c r="H683">
        <v>1</v>
      </c>
    </row>
    <row r="684" spans="1:8">
      <c r="A684">
        <v>3077</v>
      </c>
      <c r="B684" t="s">
        <v>1498</v>
      </c>
      <c r="C684" t="s">
        <v>1499</v>
      </c>
      <c r="D684" t="s">
        <v>113</v>
      </c>
      <c r="E684" t="s">
        <v>42</v>
      </c>
      <c r="F684" t="s">
        <v>213</v>
      </c>
      <c r="G684" t="s">
        <v>1710</v>
      </c>
    </row>
    <row r="685" spans="1:8">
      <c r="A685">
        <v>3082</v>
      </c>
      <c r="B685" t="s">
        <v>1218</v>
      </c>
      <c r="C685" t="s">
        <v>1219</v>
      </c>
      <c r="D685" t="s">
        <v>113</v>
      </c>
      <c r="E685" t="s">
        <v>42</v>
      </c>
      <c r="F685" t="s">
        <v>126</v>
      </c>
      <c r="G685" t="s">
        <v>3106</v>
      </c>
    </row>
    <row r="686" spans="1:8">
      <c r="A686">
        <v>3086</v>
      </c>
      <c r="B686" t="s">
        <v>1564</v>
      </c>
      <c r="C686" t="s">
        <v>1565</v>
      </c>
      <c r="D686" t="s">
        <v>113</v>
      </c>
      <c r="E686" t="s">
        <v>63</v>
      </c>
      <c r="F686" t="s">
        <v>209</v>
      </c>
      <c r="G686" t="s">
        <v>3108</v>
      </c>
      <c r="H686">
        <v>1</v>
      </c>
    </row>
    <row r="687" spans="1:8">
      <c r="A687">
        <v>3088</v>
      </c>
      <c r="B687" t="s">
        <v>3274</v>
      </c>
      <c r="C687" t="s">
        <v>2851</v>
      </c>
      <c r="D687" t="s">
        <v>117</v>
      </c>
      <c r="E687" t="s">
        <v>63</v>
      </c>
      <c r="F687" t="s">
        <v>172</v>
      </c>
      <c r="G687" t="s">
        <v>2160</v>
      </c>
      <c r="H687">
        <v>1</v>
      </c>
    </row>
    <row r="688" spans="1:8">
      <c r="A688">
        <v>3093</v>
      </c>
      <c r="B688" t="s">
        <v>1178</v>
      </c>
      <c r="C688" t="s">
        <v>1179</v>
      </c>
      <c r="D688" t="s">
        <v>113</v>
      </c>
      <c r="E688" t="s">
        <v>117</v>
      </c>
      <c r="F688" t="s">
        <v>67</v>
      </c>
      <c r="G688" t="s">
        <v>3110</v>
      </c>
    </row>
    <row r="689" spans="1:8">
      <c r="A689">
        <v>3098</v>
      </c>
      <c r="B689" t="s">
        <v>1533</v>
      </c>
      <c r="C689" t="s">
        <v>1534</v>
      </c>
      <c r="D689" t="s">
        <v>113</v>
      </c>
      <c r="E689" t="s">
        <v>42</v>
      </c>
      <c r="F689" t="s">
        <v>172</v>
      </c>
      <c r="G689" t="s">
        <v>2930</v>
      </c>
    </row>
    <row r="690" spans="1:8">
      <c r="A690">
        <v>3102</v>
      </c>
      <c r="B690" t="s">
        <v>1397</v>
      </c>
      <c r="C690" t="s">
        <v>1398</v>
      </c>
      <c r="D690" t="s">
        <v>113</v>
      </c>
      <c r="E690" t="s">
        <v>233</v>
      </c>
      <c r="F690" t="s">
        <v>624</v>
      </c>
      <c r="G690" t="s">
        <v>3113</v>
      </c>
      <c r="H690">
        <v>2</v>
      </c>
    </row>
    <row r="691" spans="1:8">
      <c r="A691">
        <v>3103</v>
      </c>
      <c r="B691" t="s">
        <v>3275</v>
      </c>
      <c r="C691" t="s">
        <v>2853</v>
      </c>
      <c r="D691" t="s">
        <v>125</v>
      </c>
      <c r="E691" t="s">
        <v>126</v>
      </c>
      <c r="F691" t="s">
        <v>126</v>
      </c>
      <c r="G691" t="s">
        <v>2421</v>
      </c>
    </row>
    <row r="692" spans="1:8">
      <c r="A692">
        <v>3104</v>
      </c>
      <c r="B692" t="s">
        <v>3276</v>
      </c>
      <c r="C692" t="s">
        <v>2855</v>
      </c>
      <c r="D692" t="s">
        <v>139</v>
      </c>
      <c r="E692" t="s">
        <v>117</v>
      </c>
      <c r="F692" t="s">
        <v>154</v>
      </c>
      <c r="G692" t="s">
        <v>2444</v>
      </c>
      <c r="H692">
        <v>1</v>
      </c>
    </row>
    <row r="693" spans="1:8">
      <c r="A693">
        <v>3108</v>
      </c>
      <c r="B693" t="s">
        <v>859</v>
      </c>
      <c r="C693" t="s">
        <v>860</v>
      </c>
      <c r="D693" t="s">
        <v>113</v>
      </c>
      <c r="E693" t="s">
        <v>82</v>
      </c>
      <c r="F693" t="s">
        <v>180</v>
      </c>
      <c r="G693" t="s">
        <v>2526</v>
      </c>
      <c r="H693">
        <v>1</v>
      </c>
    </row>
    <row r="694" spans="1:8">
      <c r="A694">
        <v>3113</v>
      </c>
      <c r="B694" t="s">
        <v>1432</v>
      </c>
      <c r="C694" t="s">
        <v>1433</v>
      </c>
      <c r="D694" t="s">
        <v>113</v>
      </c>
      <c r="E694" t="s">
        <v>154</v>
      </c>
      <c r="F694" t="s">
        <v>160</v>
      </c>
      <c r="G694" t="s">
        <v>3116</v>
      </c>
      <c r="H694">
        <v>1</v>
      </c>
    </row>
    <row r="695" spans="1:8">
      <c r="A695">
        <v>3116</v>
      </c>
      <c r="B695" t="s">
        <v>1624</v>
      </c>
      <c r="C695" t="s">
        <v>1625</v>
      </c>
      <c r="D695" t="s">
        <v>113</v>
      </c>
      <c r="E695" t="s">
        <v>233</v>
      </c>
      <c r="F695" t="s">
        <v>154</v>
      </c>
      <c r="G695" t="s">
        <v>3118</v>
      </c>
      <c r="H695">
        <v>3</v>
      </c>
    </row>
    <row r="696" spans="1:8">
      <c r="A696">
        <v>3117</v>
      </c>
      <c r="B696" t="s">
        <v>1491</v>
      </c>
      <c r="C696" t="s">
        <v>1492</v>
      </c>
      <c r="D696" t="s">
        <v>113</v>
      </c>
      <c r="E696" t="s">
        <v>154</v>
      </c>
      <c r="F696" t="s">
        <v>147</v>
      </c>
      <c r="G696" t="s">
        <v>2638</v>
      </c>
    </row>
    <row r="697" spans="1:8">
      <c r="A697">
        <v>3123</v>
      </c>
      <c r="B697" t="s">
        <v>832</v>
      </c>
      <c r="C697" t="s">
        <v>833</v>
      </c>
      <c r="D697" t="s">
        <v>136</v>
      </c>
      <c r="E697" t="s">
        <v>176</v>
      </c>
      <c r="F697" t="s">
        <v>217</v>
      </c>
      <c r="G697" t="s">
        <v>3121</v>
      </c>
    </row>
    <row r="698" spans="1:8">
      <c r="A698">
        <v>3130</v>
      </c>
      <c r="B698" t="s">
        <v>1502</v>
      </c>
      <c r="C698" t="s">
        <v>1503</v>
      </c>
      <c r="D698" t="s">
        <v>42</v>
      </c>
      <c r="E698" t="s">
        <v>213</v>
      </c>
      <c r="F698" t="s">
        <v>126</v>
      </c>
      <c r="G698" t="s">
        <v>3123</v>
      </c>
    </row>
    <row r="699" spans="1:8">
      <c r="A699">
        <v>3134</v>
      </c>
      <c r="B699" t="s">
        <v>1464</v>
      </c>
      <c r="C699" t="s">
        <v>1465</v>
      </c>
      <c r="D699" t="s">
        <v>113</v>
      </c>
      <c r="E699" t="s">
        <v>139</v>
      </c>
      <c r="F699" t="s">
        <v>154</v>
      </c>
      <c r="G699" t="s">
        <v>3125</v>
      </c>
      <c r="H699">
        <v>1</v>
      </c>
    </row>
    <row r="700" spans="1:8">
      <c r="A700">
        <v>3139</v>
      </c>
      <c r="B700" t="s">
        <v>1620</v>
      </c>
      <c r="C700" t="s">
        <v>1621</v>
      </c>
      <c r="D700" t="s">
        <v>113</v>
      </c>
      <c r="E700" t="s">
        <v>63</v>
      </c>
      <c r="F700" t="s">
        <v>959</v>
      </c>
      <c r="G700" t="s">
        <v>3024</v>
      </c>
    </row>
    <row r="701" spans="1:8">
      <c r="A701">
        <v>3141</v>
      </c>
      <c r="B701" t="s">
        <v>3277</v>
      </c>
      <c r="C701" t="s">
        <v>2857</v>
      </c>
      <c r="D701" t="s">
        <v>113</v>
      </c>
      <c r="E701" t="s">
        <v>82</v>
      </c>
      <c r="F701" t="s">
        <v>176</v>
      </c>
      <c r="G701" t="s">
        <v>2858</v>
      </c>
    </row>
    <row r="702" spans="1:8">
      <c r="A702">
        <v>3145</v>
      </c>
      <c r="B702" t="s">
        <v>1558</v>
      </c>
      <c r="C702" t="s">
        <v>1559</v>
      </c>
      <c r="D702" t="s">
        <v>113</v>
      </c>
      <c r="E702" t="s">
        <v>154</v>
      </c>
      <c r="F702" t="s">
        <v>82</v>
      </c>
      <c r="G702" t="s">
        <v>3128</v>
      </c>
    </row>
    <row r="703" spans="1:8">
      <c r="A703">
        <v>3149</v>
      </c>
      <c r="B703" t="s">
        <v>1560</v>
      </c>
      <c r="C703" t="s">
        <v>1561</v>
      </c>
      <c r="D703" t="s">
        <v>113</v>
      </c>
      <c r="E703" t="s">
        <v>42</v>
      </c>
      <c r="F703" t="s">
        <v>204</v>
      </c>
      <c r="G703" t="s">
        <v>2905</v>
      </c>
    </row>
    <row r="704" spans="1:8">
      <c r="A704">
        <v>3154</v>
      </c>
      <c r="B704" t="s">
        <v>1233</v>
      </c>
      <c r="C704" t="s">
        <v>1234</v>
      </c>
      <c r="D704" t="s">
        <v>233</v>
      </c>
      <c r="E704" t="s">
        <v>42</v>
      </c>
      <c r="F704" t="s">
        <v>217</v>
      </c>
      <c r="G704" t="s">
        <v>2742</v>
      </c>
    </row>
    <row r="705" spans="1:8">
      <c r="A705">
        <v>3156</v>
      </c>
      <c r="B705" t="s">
        <v>3278</v>
      </c>
      <c r="C705" t="s">
        <v>2860</v>
      </c>
      <c r="D705" t="s">
        <v>125</v>
      </c>
      <c r="E705" t="s">
        <v>126</v>
      </c>
      <c r="F705" t="s">
        <v>126</v>
      </c>
      <c r="G705" t="s">
        <v>1927</v>
      </c>
    </row>
    <row r="706" spans="1:8">
      <c r="A706">
        <v>3161</v>
      </c>
      <c r="B706" t="s">
        <v>1638</v>
      </c>
      <c r="C706" t="s">
        <v>1639</v>
      </c>
      <c r="D706" t="s">
        <v>113</v>
      </c>
      <c r="E706" t="s">
        <v>154</v>
      </c>
      <c r="F706" t="s">
        <v>300</v>
      </c>
      <c r="G706" t="s">
        <v>2908</v>
      </c>
      <c r="H706">
        <v>1</v>
      </c>
    </row>
    <row r="707" spans="1:8">
      <c r="A707">
        <v>3165</v>
      </c>
      <c r="B707" t="s">
        <v>1636</v>
      </c>
      <c r="C707" t="s">
        <v>1637</v>
      </c>
      <c r="D707" t="s">
        <v>113</v>
      </c>
      <c r="E707" t="s">
        <v>511</v>
      </c>
      <c r="F707" t="s">
        <v>204</v>
      </c>
      <c r="G707" t="s">
        <v>2910</v>
      </c>
    </row>
    <row r="708" spans="1:8">
      <c r="A708">
        <v>3171</v>
      </c>
      <c r="B708" t="s">
        <v>1428</v>
      </c>
      <c r="C708" t="s">
        <v>1429</v>
      </c>
      <c r="D708" t="s">
        <v>113</v>
      </c>
      <c r="E708" t="s">
        <v>154</v>
      </c>
      <c r="F708" t="s">
        <v>82</v>
      </c>
      <c r="G708" t="s">
        <v>2912</v>
      </c>
      <c r="H708">
        <v>1</v>
      </c>
    </row>
    <row r="709" spans="1:8">
      <c r="A709">
        <v>3177</v>
      </c>
      <c r="B709" t="s">
        <v>1541</v>
      </c>
      <c r="C709" t="s">
        <v>1542</v>
      </c>
      <c r="D709" t="s">
        <v>113</v>
      </c>
      <c r="E709" t="s">
        <v>139</v>
      </c>
      <c r="F709" t="s">
        <v>42</v>
      </c>
      <c r="G709" t="s">
        <v>2914</v>
      </c>
    </row>
    <row r="710" spans="1:8">
      <c r="A710">
        <v>3181</v>
      </c>
      <c r="B710" t="s">
        <v>1588</v>
      </c>
      <c r="C710" t="s">
        <v>1589</v>
      </c>
      <c r="D710" t="s">
        <v>113</v>
      </c>
      <c r="E710" t="s">
        <v>42</v>
      </c>
      <c r="F710" t="s">
        <v>82</v>
      </c>
      <c r="G710" t="s">
        <v>2916</v>
      </c>
    </row>
    <row r="711" spans="1:8">
      <c r="A711">
        <v>3187</v>
      </c>
      <c r="B711" t="s">
        <v>1508</v>
      </c>
      <c r="C711" t="s">
        <v>1509</v>
      </c>
      <c r="D711" t="s">
        <v>113</v>
      </c>
      <c r="E711" t="s">
        <v>300</v>
      </c>
      <c r="F711" t="s">
        <v>156</v>
      </c>
      <c r="G711" t="s">
        <v>2558</v>
      </c>
    </row>
    <row r="712" spans="1:8">
      <c r="A712">
        <v>3188</v>
      </c>
      <c r="B712" t="s">
        <v>3279</v>
      </c>
      <c r="C712" t="s">
        <v>2862</v>
      </c>
      <c r="D712" t="s">
        <v>125</v>
      </c>
      <c r="E712" t="s">
        <v>126</v>
      </c>
      <c r="F712" t="s">
        <v>126</v>
      </c>
      <c r="G712" t="s">
        <v>1861</v>
      </c>
    </row>
    <row r="713" spans="1:8">
      <c r="A713">
        <v>3193</v>
      </c>
      <c r="B713" t="s">
        <v>1333</v>
      </c>
      <c r="C713" t="s">
        <v>1334</v>
      </c>
      <c r="D713" t="s">
        <v>113</v>
      </c>
      <c r="E713" t="s">
        <v>42</v>
      </c>
      <c r="F713" t="s">
        <v>126</v>
      </c>
      <c r="G713" t="s">
        <v>2919</v>
      </c>
    </row>
    <row r="714" spans="1:8">
      <c r="A714">
        <v>3197</v>
      </c>
      <c r="B714" t="s">
        <v>1242</v>
      </c>
      <c r="C714" t="s">
        <v>1243</v>
      </c>
      <c r="D714" t="s">
        <v>113</v>
      </c>
      <c r="E714" t="s">
        <v>65</v>
      </c>
      <c r="F714" t="s">
        <v>959</v>
      </c>
      <c r="G714" t="s">
        <v>2603</v>
      </c>
    </row>
    <row r="715" spans="1:8">
      <c r="A715">
        <v>3203</v>
      </c>
      <c r="B715" t="s">
        <v>437</v>
      </c>
      <c r="C715" t="s">
        <v>438</v>
      </c>
      <c r="D715" t="s">
        <v>135</v>
      </c>
      <c r="E715" t="s">
        <v>136</v>
      </c>
      <c r="F715" t="s">
        <v>204</v>
      </c>
      <c r="G715" t="s">
        <v>2922</v>
      </c>
    </row>
    <row r="716" spans="1:8">
      <c r="A716">
        <v>3209</v>
      </c>
      <c r="B716" t="s">
        <v>1315</v>
      </c>
      <c r="C716" t="s">
        <v>1316</v>
      </c>
      <c r="D716" t="s">
        <v>113</v>
      </c>
      <c r="E716" t="s">
        <v>154</v>
      </c>
      <c r="F716" t="s">
        <v>82</v>
      </c>
      <c r="G716" t="s">
        <v>2924</v>
      </c>
      <c r="H716">
        <v>1</v>
      </c>
    </row>
    <row r="717" spans="1:8">
      <c r="A717">
        <v>3213</v>
      </c>
      <c r="B717" t="s">
        <v>1598</v>
      </c>
      <c r="C717" t="s">
        <v>1599</v>
      </c>
      <c r="D717" t="s">
        <v>113</v>
      </c>
      <c r="E717" t="s">
        <v>117</v>
      </c>
      <c r="F717" t="s">
        <v>42</v>
      </c>
      <c r="G717" t="s">
        <v>2926</v>
      </c>
      <c r="H717">
        <v>1</v>
      </c>
    </row>
    <row r="718" spans="1:8">
      <c r="A718">
        <v>3214</v>
      </c>
      <c r="B718" t="s">
        <v>3280</v>
      </c>
      <c r="C718" t="s">
        <v>2864</v>
      </c>
      <c r="D718" t="s">
        <v>125</v>
      </c>
      <c r="E718" t="s">
        <v>126</v>
      </c>
      <c r="F718" t="s">
        <v>126</v>
      </c>
      <c r="G718" t="s">
        <v>1765</v>
      </c>
    </row>
    <row r="719" spans="1:8">
      <c r="A719">
        <v>3219</v>
      </c>
      <c r="B719" t="s">
        <v>524</v>
      </c>
      <c r="C719" t="s">
        <v>525</v>
      </c>
      <c r="D719" t="s">
        <v>113</v>
      </c>
      <c r="E719" t="s">
        <v>63</v>
      </c>
      <c r="F719" t="s">
        <v>172</v>
      </c>
      <c r="G719" t="s">
        <v>2928</v>
      </c>
    </row>
    <row r="720" spans="1:8">
      <c r="A720">
        <v>3225</v>
      </c>
      <c r="B720" t="s">
        <v>1535</v>
      </c>
      <c r="C720" t="s">
        <v>1536</v>
      </c>
      <c r="D720" t="s">
        <v>113</v>
      </c>
      <c r="E720" t="s">
        <v>42</v>
      </c>
      <c r="F720" t="s">
        <v>65</v>
      </c>
      <c r="G720" t="s">
        <v>2930</v>
      </c>
      <c r="H720">
        <v>1</v>
      </c>
    </row>
    <row r="721" spans="1:8">
      <c r="A721">
        <v>3229</v>
      </c>
      <c r="B721" t="s">
        <v>1168</v>
      </c>
      <c r="C721" t="s">
        <v>1169</v>
      </c>
      <c r="D721" t="s">
        <v>113</v>
      </c>
      <c r="E721" t="s">
        <v>42</v>
      </c>
      <c r="F721" t="s">
        <v>160</v>
      </c>
      <c r="G721" t="s">
        <v>2740</v>
      </c>
      <c r="H721">
        <v>2</v>
      </c>
    </row>
    <row r="722" spans="1:8">
      <c r="A722">
        <v>3231</v>
      </c>
      <c r="B722" t="s">
        <v>3281</v>
      </c>
      <c r="C722" t="s">
        <v>2866</v>
      </c>
      <c r="D722" t="s">
        <v>113</v>
      </c>
      <c r="E722" t="s">
        <v>154</v>
      </c>
      <c r="F722" t="s">
        <v>126</v>
      </c>
      <c r="G722" t="s">
        <v>2690</v>
      </c>
    </row>
    <row r="723" spans="1:8">
      <c r="A723">
        <v>3235</v>
      </c>
      <c r="B723" t="s">
        <v>1512</v>
      </c>
      <c r="C723" t="s">
        <v>1513</v>
      </c>
      <c r="D723" t="s">
        <v>113</v>
      </c>
      <c r="E723" t="s">
        <v>233</v>
      </c>
      <c r="F723" t="s">
        <v>136</v>
      </c>
      <c r="G723" t="s">
        <v>2933</v>
      </c>
      <c r="H723">
        <v>3</v>
      </c>
    </row>
    <row r="724" spans="1:8">
      <c r="A724">
        <v>3236</v>
      </c>
      <c r="B724" t="s">
        <v>3282</v>
      </c>
      <c r="C724" t="s">
        <v>2868</v>
      </c>
      <c r="D724" t="s">
        <v>125</v>
      </c>
      <c r="E724" t="s">
        <v>126</v>
      </c>
      <c r="F724" t="s">
        <v>126</v>
      </c>
      <c r="G724" t="s">
        <v>2545</v>
      </c>
    </row>
    <row r="725" spans="1:8">
      <c r="A725">
        <v>3241</v>
      </c>
      <c r="B725" t="s">
        <v>1529</v>
      </c>
      <c r="C725" t="s">
        <v>1530</v>
      </c>
      <c r="D725" t="s">
        <v>42</v>
      </c>
      <c r="E725" t="s">
        <v>135</v>
      </c>
      <c r="F725" t="s">
        <v>204</v>
      </c>
      <c r="G725" t="s">
        <v>2935</v>
      </c>
    </row>
    <row r="726" spans="1:8">
      <c r="A726">
        <v>3244</v>
      </c>
      <c r="B726" t="s">
        <v>1527</v>
      </c>
      <c r="C726" t="s">
        <v>1528</v>
      </c>
      <c r="D726" t="s">
        <v>113</v>
      </c>
      <c r="E726" t="s">
        <v>63</v>
      </c>
      <c r="F726" t="s">
        <v>121</v>
      </c>
      <c r="G726" t="s">
        <v>2937</v>
      </c>
      <c r="H726">
        <v>1</v>
      </c>
    </row>
    <row r="727" spans="1:8">
      <c r="A727">
        <v>3245</v>
      </c>
      <c r="B727" t="s">
        <v>1652</v>
      </c>
      <c r="C727" t="s">
        <v>1653</v>
      </c>
      <c r="D727" t="s">
        <v>113</v>
      </c>
      <c r="E727" t="s">
        <v>300</v>
      </c>
      <c r="F727" t="s">
        <v>126</v>
      </c>
      <c r="G727" t="s">
        <v>2939</v>
      </c>
    </row>
    <row r="728" spans="1:8">
      <c r="A728">
        <v>3250</v>
      </c>
      <c r="B728" t="s">
        <v>825</v>
      </c>
      <c r="C728" t="s">
        <v>826</v>
      </c>
      <c r="D728" t="s">
        <v>113</v>
      </c>
      <c r="E728" t="s">
        <v>233</v>
      </c>
      <c r="F728" t="s">
        <v>42</v>
      </c>
      <c r="G728" t="s">
        <v>1896</v>
      </c>
      <c r="H728">
        <v>2</v>
      </c>
    </row>
    <row r="729" spans="1:8">
      <c r="A729">
        <v>3251</v>
      </c>
      <c r="B729" t="s">
        <v>1556</v>
      </c>
      <c r="C729" t="s">
        <v>1557</v>
      </c>
      <c r="D729" t="s">
        <v>113</v>
      </c>
      <c r="E729" t="s">
        <v>233</v>
      </c>
      <c r="F729" t="s">
        <v>42</v>
      </c>
      <c r="G729" t="s">
        <v>2942</v>
      </c>
      <c r="H729">
        <v>2</v>
      </c>
    </row>
    <row r="730" spans="1:8">
      <c r="A730">
        <v>3256</v>
      </c>
      <c r="B730" t="s">
        <v>1650</v>
      </c>
      <c r="C730" t="s">
        <v>1651</v>
      </c>
      <c r="D730" t="s">
        <v>113</v>
      </c>
      <c r="E730" t="s">
        <v>42</v>
      </c>
      <c r="F730" t="s">
        <v>65</v>
      </c>
      <c r="G730" t="s">
        <v>2944</v>
      </c>
      <c r="H730">
        <v>1</v>
      </c>
    </row>
    <row r="731" spans="1:8">
      <c r="A731">
        <v>3257</v>
      </c>
      <c r="B731" t="s">
        <v>1500</v>
      </c>
      <c r="C731" t="s">
        <v>1501</v>
      </c>
      <c r="D731" t="s">
        <v>113</v>
      </c>
      <c r="E731" t="s">
        <v>42</v>
      </c>
      <c r="F731" t="s">
        <v>65</v>
      </c>
      <c r="G731" t="s">
        <v>1710</v>
      </c>
      <c r="H731">
        <v>1</v>
      </c>
    </row>
    <row r="732" spans="1:8">
      <c r="A732">
        <v>3260</v>
      </c>
      <c r="B732" t="s">
        <v>1648</v>
      </c>
      <c r="C732" t="s">
        <v>1649</v>
      </c>
      <c r="D732" t="s">
        <v>233</v>
      </c>
      <c r="E732" t="s">
        <v>117</v>
      </c>
      <c r="F732" t="s">
        <v>42</v>
      </c>
      <c r="G732" t="s">
        <v>2947</v>
      </c>
      <c r="H732">
        <v>2</v>
      </c>
    </row>
    <row r="733" spans="1:8">
      <c r="A733">
        <v>3261</v>
      </c>
      <c r="B733" t="s">
        <v>1566</v>
      </c>
      <c r="C733" t="s">
        <v>1567</v>
      </c>
      <c r="D733" t="s">
        <v>113</v>
      </c>
      <c r="E733" t="s">
        <v>117</v>
      </c>
      <c r="F733" t="s">
        <v>154</v>
      </c>
      <c r="G733" t="s">
        <v>2949</v>
      </c>
      <c r="H733">
        <v>2</v>
      </c>
    </row>
    <row r="734" spans="1:8">
      <c r="A734">
        <v>3266</v>
      </c>
      <c r="B734" t="s">
        <v>1660</v>
      </c>
      <c r="C734" t="s">
        <v>1661</v>
      </c>
      <c r="D734" t="s">
        <v>113</v>
      </c>
      <c r="E734" t="s">
        <v>184</v>
      </c>
      <c r="F734" t="s">
        <v>797</v>
      </c>
      <c r="G734" t="s">
        <v>2951</v>
      </c>
    </row>
    <row r="735" spans="1:8">
      <c r="A735">
        <v>3267</v>
      </c>
      <c r="B735" t="s">
        <v>1576</v>
      </c>
      <c r="C735" t="s">
        <v>1577</v>
      </c>
      <c r="D735" t="s">
        <v>113</v>
      </c>
      <c r="E735" t="s">
        <v>139</v>
      </c>
      <c r="F735" t="s">
        <v>172</v>
      </c>
      <c r="G735" t="s">
        <v>2509</v>
      </c>
      <c r="H735">
        <v>2</v>
      </c>
    </row>
    <row r="736" spans="1:8">
      <c r="A736">
        <v>3268</v>
      </c>
      <c r="B736" t="s">
        <v>3283</v>
      </c>
      <c r="C736" t="s">
        <v>2870</v>
      </c>
      <c r="D736" t="s">
        <v>125</v>
      </c>
      <c r="E736" t="s">
        <v>126</v>
      </c>
      <c r="F736" t="s">
        <v>126</v>
      </c>
      <c r="G736" t="s">
        <v>2150</v>
      </c>
    </row>
    <row r="737" spans="1:8">
      <c r="A737">
        <v>3269</v>
      </c>
      <c r="B737" t="s">
        <v>3284</v>
      </c>
      <c r="C737" t="s">
        <v>2872</v>
      </c>
      <c r="D737" t="s">
        <v>113</v>
      </c>
      <c r="E737" t="s">
        <v>42</v>
      </c>
      <c r="F737" t="s">
        <v>126</v>
      </c>
      <c r="G737" t="s">
        <v>2111</v>
      </c>
    </row>
    <row r="738" spans="1:8">
      <c r="A738">
        <v>3272</v>
      </c>
      <c r="B738" t="s">
        <v>1415</v>
      </c>
      <c r="C738" t="s">
        <v>1416</v>
      </c>
      <c r="D738" t="s">
        <v>139</v>
      </c>
      <c r="E738" t="s">
        <v>233</v>
      </c>
      <c r="F738" t="s">
        <v>263</v>
      </c>
      <c r="G738" t="s">
        <v>2954</v>
      </c>
      <c r="H738">
        <v>1</v>
      </c>
    </row>
    <row r="739" spans="1:8">
      <c r="A739">
        <v>3273</v>
      </c>
      <c r="B739" t="s">
        <v>1164</v>
      </c>
      <c r="C739" t="s">
        <v>1165</v>
      </c>
      <c r="D739" t="s">
        <v>113</v>
      </c>
      <c r="E739" t="s">
        <v>63</v>
      </c>
      <c r="F739" t="s">
        <v>172</v>
      </c>
      <c r="G739" t="s">
        <v>2956</v>
      </c>
    </row>
    <row r="740" spans="1:8">
      <c r="A740">
        <v>3276</v>
      </c>
      <c r="B740" t="s">
        <v>1656</v>
      </c>
      <c r="C740" t="s">
        <v>1657</v>
      </c>
      <c r="D740" t="s">
        <v>113</v>
      </c>
      <c r="E740" t="s">
        <v>42</v>
      </c>
      <c r="F740" t="s">
        <v>217</v>
      </c>
      <c r="G740" t="s">
        <v>2958</v>
      </c>
    </row>
    <row r="741" spans="1:8">
      <c r="A741">
        <v>3277</v>
      </c>
      <c r="B741" t="s">
        <v>925</v>
      </c>
      <c r="C741" t="s">
        <v>926</v>
      </c>
      <c r="D741" t="s">
        <v>113</v>
      </c>
      <c r="E741" t="s">
        <v>42</v>
      </c>
      <c r="F741" t="s">
        <v>126</v>
      </c>
      <c r="G741" t="s">
        <v>1788</v>
      </c>
    </row>
    <row r="742" spans="1:8">
      <c r="A742">
        <v>3279</v>
      </c>
      <c r="B742" t="s">
        <v>3285</v>
      </c>
      <c r="C742" t="s">
        <v>2874</v>
      </c>
      <c r="D742" t="s">
        <v>113</v>
      </c>
      <c r="E742" t="s">
        <v>139</v>
      </c>
      <c r="F742" t="s">
        <v>117</v>
      </c>
      <c r="G742" t="s">
        <v>2376</v>
      </c>
      <c r="H742">
        <v>3</v>
      </c>
    </row>
    <row r="743" spans="1:8">
      <c r="A743">
        <v>3283</v>
      </c>
      <c r="B743" t="s">
        <v>1350</v>
      </c>
      <c r="C743" t="s">
        <v>1351</v>
      </c>
      <c r="D743" t="s">
        <v>113</v>
      </c>
      <c r="E743" t="s">
        <v>233</v>
      </c>
      <c r="F743" t="s">
        <v>82</v>
      </c>
      <c r="G743" t="s">
        <v>2255</v>
      </c>
      <c r="H743">
        <v>3</v>
      </c>
    </row>
    <row r="744" spans="1:8">
      <c r="A744">
        <v>3287</v>
      </c>
      <c r="B744" t="s">
        <v>1616</v>
      </c>
      <c r="C744" t="s">
        <v>1617</v>
      </c>
      <c r="D744" t="s">
        <v>113</v>
      </c>
      <c r="E744" t="s">
        <v>42</v>
      </c>
      <c r="F744" t="s">
        <v>82</v>
      </c>
      <c r="G744" t="s">
        <v>2355</v>
      </c>
    </row>
    <row r="745" spans="1:8">
      <c r="A745">
        <v>3288</v>
      </c>
      <c r="B745" t="s">
        <v>1630</v>
      </c>
      <c r="C745" t="s">
        <v>1631</v>
      </c>
      <c r="D745" t="s">
        <v>113</v>
      </c>
      <c r="E745" t="s">
        <v>154</v>
      </c>
      <c r="F745" t="s">
        <v>172</v>
      </c>
      <c r="G745" t="s">
        <v>2963</v>
      </c>
    </row>
    <row r="746" spans="1:8">
      <c r="A746">
        <v>3292</v>
      </c>
      <c r="B746" t="s">
        <v>1618</v>
      </c>
      <c r="C746" t="s">
        <v>1619</v>
      </c>
      <c r="D746" t="s">
        <v>113</v>
      </c>
      <c r="E746" t="s">
        <v>117</v>
      </c>
      <c r="F746" t="s">
        <v>154</v>
      </c>
      <c r="G746" t="s">
        <v>2965</v>
      </c>
      <c r="H746">
        <v>5</v>
      </c>
    </row>
    <row r="747" spans="1:8">
      <c r="A747">
        <v>3298</v>
      </c>
      <c r="B747" t="s">
        <v>439</v>
      </c>
      <c r="C747" t="s">
        <v>440</v>
      </c>
      <c r="D747" t="s">
        <v>139</v>
      </c>
      <c r="E747" t="s">
        <v>117</v>
      </c>
      <c r="F747" t="s">
        <v>209</v>
      </c>
      <c r="G747" t="s">
        <v>2922</v>
      </c>
    </row>
    <row r="748" spans="1:8">
      <c r="A748">
        <v>3299</v>
      </c>
      <c r="B748" t="s">
        <v>3286</v>
      </c>
      <c r="C748" t="s">
        <v>2876</v>
      </c>
      <c r="D748" t="s">
        <v>113</v>
      </c>
      <c r="E748" t="s">
        <v>139</v>
      </c>
      <c r="F748" t="s">
        <v>42</v>
      </c>
      <c r="G748" t="s">
        <v>1916</v>
      </c>
    </row>
    <row r="749" spans="1:8">
      <c r="A749">
        <v>3303</v>
      </c>
      <c r="B749" t="s">
        <v>1658</v>
      </c>
      <c r="C749" t="s">
        <v>1659</v>
      </c>
      <c r="D749" t="s">
        <v>117</v>
      </c>
      <c r="E749" t="s">
        <v>768</v>
      </c>
      <c r="F749" t="s">
        <v>126</v>
      </c>
      <c r="G749" t="s">
        <v>2968</v>
      </c>
    </row>
    <row r="750" spans="1:8">
      <c r="A750">
        <v>3307</v>
      </c>
      <c r="B750" t="s">
        <v>1434</v>
      </c>
      <c r="C750" t="s">
        <v>1435</v>
      </c>
      <c r="D750" t="s">
        <v>233</v>
      </c>
      <c r="E750" t="s">
        <v>82</v>
      </c>
      <c r="F750" t="s">
        <v>84</v>
      </c>
      <c r="G750" t="s">
        <v>2970</v>
      </c>
    </row>
    <row r="751" spans="1:8">
      <c r="A751">
        <v>3311</v>
      </c>
      <c r="B751" t="s">
        <v>1424</v>
      </c>
      <c r="C751" t="s">
        <v>1425</v>
      </c>
      <c r="D751" t="s">
        <v>113</v>
      </c>
      <c r="E751" t="s">
        <v>139</v>
      </c>
      <c r="F751" t="s">
        <v>121</v>
      </c>
      <c r="G751" t="s">
        <v>2777</v>
      </c>
      <c r="H751">
        <v>1</v>
      </c>
    </row>
    <row r="752" spans="1:8">
      <c r="A752">
        <v>3312</v>
      </c>
      <c r="B752" t="s">
        <v>1600</v>
      </c>
      <c r="C752" t="s">
        <v>1601</v>
      </c>
      <c r="D752" t="s">
        <v>113</v>
      </c>
      <c r="E752" t="s">
        <v>139</v>
      </c>
      <c r="F752" t="s">
        <v>233</v>
      </c>
      <c r="G752" t="s">
        <v>2973</v>
      </c>
      <c r="H752">
        <v>5</v>
      </c>
    </row>
    <row r="753" spans="1:8">
      <c r="A753">
        <v>3313</v>
      </c>
      <c r="B753" t="s">
        <v>3287</v>
      </c>
      <c r="C753" t="s">
        <v>2878</v>
      </c>
      <c r="D753" t="s">
        <v>135</v>
      </c>
      <c r="E753" t="s">
        <v>136</v>
      </c>
      <c r="F753" t="s">
        <v>126</v>
      </c>
      <c r="G753" t="s">
        <v>1742</v>
      </c>
    </row>
    <row r="754" spans="1:8">
      <c r="A754">
        <v>3317</v>
      </c>
      <c r="B754" t="s">
        <v>1187</v>
      </c>
      <c r="C754" t="s">
        <v>1188</v>
      </c>
      <c r="D754" t="s">
        <v>233</v>
      </c>
      <c r="E754" t="s">
        <v>42</v>
      </c>
      <c r="F754" t="s">
        <v>263</v>
      </c>
      <c r="G754" t="s">
        <v>1994</v>
      </c>
    </row>
    <row r="755" spans="1:8">
      <c r="A755">
        <v>3320</v>
      </c>
      <c r="B755" t="s">
        <v>1369</v>
      </c>
      <c r="C755" t="s">
        <v>1370</v>
      </c>
      <c r="D755" t="s">
        <v>117</v>
      </c>
      <c r="E755" t="s">
        <v>42</v>
      </c>
      <c r="F755" t="s">
        <v>126</v>
      </c>
      <c r="G755" t="s">
        <v>2061</v>
      </c>
    </row>
    <row r="756" spans="1:8">
      <c r="A756">
        <v>3321</v>
      </c>
      <c r="B756" t="s">
        <v>1642</v>
      </c>
      <c r="C756" t="s">
        <v>1643</v>
      </c>
      <c r="D756" t="s">
        <v>113</v>
      </c>
      <c r="E756" t="s">
        <v>139</v>
      </c>
      <c r="F756" t="s">
        <v>209</v>
      </c>
      <c r="G756" t="s">
        <v>2977</v>
      </c>
      <c r="H756">
        <v>1</v>
      </c>
    </row>
    <row r="757" spans="1:8">
      <c r="A757">
        <v>3327</v>
      </c>
      <c r="B757" t="s">
        <v>1596</v>
      </c>
      <c r="C757" t="s">
        <v>1597</v>
      </c>
      <c r="D757" t="s">
        <v>113</v>
      </c>
      <c r="E757" t="s">
        <v>139</v>
      </c>
      <c r="F757" t="s">
        <v>117</v>
      </c>
      <c r="G757" t="s">
        <v>2979</v>
      </c>
      <c r="H757">
        <v>3</v>
      </c>
    </row>
    <row r="758" spans="1:8">
      <c r="A758">
        <v>3329</v>
      </c>
      <c r="B758" t="s">
        <v>3288</v>
      </c>
      <c r="C758" t="s">
        <v>2880</v>
      </c>
      <c r="D758" t="s">
        <v>139</v>
      </c>
      <c r="E758" t="s">
        <v>117</v>
      </c>
      <c r="F758" t="s">
        <v>209</v>
      </c>
      <c r="G758" t="s">
        <v>2881</v>
      </c>
    </row>
    <row r="759" spans="1:8">
      <c r="A759">
        <v>3333</v>
      </c>
      <c r="B759" t="s">
        <v>1644</v>
      </c>
      <c r="C759" t="s">
        <v>1645</v>
      </c>
      <c r="D759" t="s">
        <v>117</v>
      </c>
      <c r="E759" t="s">
        <v>42</v>
      </c>
      <c r="F759" t="s">
        <v>213</v>
      </c>
      <c r="G759" t="s">
        <v>2981</v>
      </c>
    </row>
    <row r="760" spans="1:8">
      <c r="A760">
        <v>3336</v>
      </c>
      <c r="B760" t="s">
        <v>1153</v>
      </c>
      <c r="C760" t="s">
        <v>1154</v>
      </c>
      <c r="D760" t="s">
        <v>113</v>
      </c>
      <c r="E760" t="s">
        <v>233</v>
      </c>
      <c r="F760" t="s">
        <v>42</v>
      </c>
      <c r="G760" t="s">
        <v>1861</v>
      </c>
      <c r="H760">
        <v>1</v>
      </c>
    </row>
    <row r="761" spans="1:8">
      <c r="A761">
        <v>3337</v>
      </c>
      <c r="B761" t="s">
        <v>1352</v>
      </c>
      <c r="C761" t="s">
        <v>1353</v>
      </c>
      <c r="D761" t="s">
        <v>139</v>
      </c>
      <c r="E761" t="s">
        <v>233</v>
      </c>
      <c r="F761" t="s">
        <v>117</v>
      </c>
      <c r="G761" t="s">
        <v>2255</v>
      </c>
      <c r="H761">
        <v>2</v>
      </c>
    </row>
    <row r="762" spans="1:8">
      <c r="A762">
        <v>3343</v>
      </c>
      <c r="B762" t="s">
        <v>1640</v>
      </c>
      <c r="C762" t="s">
        <v>1641</v>
      </c>
      <c r="D762" t="s">
        <v>233</v>
      </c>
      <c r="E762" t="s">
        <v>117</v>
      </c>
      <c r="F762" t="s">
        <v>42</v>
      </c>
      <c r="G762" t="s">
        <v>2908</v>
      </c>
      <c r="H762">
        <v>1</v>
      </c>
    </row>
    <row r="763" spans="1:8">
      <c r="A763">
        <v>3347</v>
      </c>
      <c r="B763" t="s">
        <v>1146</v>
      </c>
      <c r="C763" t="s">
        <v>1147</v>
      </c>
      <c r="D763" t="s">
        <v>113</v>
      </c>
      <c r="E763" t="s">
        <v>154</v>
      </c>
      <c r="F763" t="s">
        <v>209</v>
      </c>
      <c r="G763" t="s">
        <v>2986</v>
      </c>
      <c r="H763">
        <v>2</v>
      </c>
    </row>
    <row r="764" spans="1:8">
      <c r="A764">
        <v>3348</v>
      </c>
      <c r="B764" t="s">
        <v>1662</v>
      </c>
      <c r="C764" t="s">
        <v>1663</v>
      </c>
      <c r="D764" t="s">
        <v>233</v>
      </c>
      <c r="E764" t="s">
        <v>117</v>
      </c>
      <c r="F764" t="s">
        <v>44</v>
      </c>
      <c r="G764" t="s">
        <v>2988</v>
      </c>
      <c r="H764">
        <v>2</v>
      </c>
    </row>
    <row r="765" spans="1:8">
      <c r="A765">
        <v>3351</v>
      </c>
      <c r="B765" t="s">
        <v>1438</v>
      </c>
      <c r="C765" t="s">
        <v>1439</v>
      </c>
      <c r="D765" t="s">
        <v>113</v>
      </c>
      <c r="E765" t="s">
        <v>139</v>
      </c>
      <c r="F765" t="s">
        <v>42</v>
      </c>
      <c r="G765" t="s">
        <v>2589</v>
      </c>
    </row>
    <row r="766" spans="1:8">
      <c r="A766">
        <v>3352</v>
      </c>
      <c r="B766" t="s">
        <v>1466</v>
      </c>
      <c r="C766" t="s">
        <v>1467</v>
      </c>
      <c r="D766" t="s">
        <v>233</v>
      </c>
      <c r="E766" t="s">
        <v>117</v>
      </c>
      <c r="F766" t="s">
        <v>42</v>
      </c>
      <c r="G766" t="s">
        <v>2991</v>
      </c>
      <c r="H766">
        <v>1</v>
      </c>
    </row>
    <row r="767" spans="1:8">
      <c r="A767">
        <v>3357</v>
      </c>
      <c r="B767" t="s">
        <v>1646</v>
      </c>
      <c r="C767" t="s">
        <v>1647</v>
      </c>
      <c r="D767" t="s">
        <v>113</v>
      </c>
      <c r="E767" t="s">
        <v>154</v>
      </c>
      <c r="F767" t="s">
        <v>63</v>
      </c>
      <c r="G767" t="s">
        <v>2993</v>
      </c>
    </row>
    <row r="768" spans="1:8">
      <c r="A768">
        <v>3359</v>
      </c>
      <c r="B768" t="s">
        <v>3289</v>
      </c>
      <c r="C768" t="s">
        <v>2883</v>
      </c>
      <c r="D768" t="s">
        <v>113</v>
      </c>
      <c r="E768" t="s">
        <v>160</v>
      </c>
      <c r="F768" t="s">
        <v>65</v>
      </c>
      <c r="G768" t="s">
        <v>2046</v>
      </c>
      <c r="H768">
        <v>1</v>
      </c>
    </row>
    <row r="769" spans="1:8">
      <c r="A769">
        <v>3363</v>
      </c>
      <c r="B769" t="s">
        <v>1074</v>
      </c>
      <c r="C769" t="s">
        <v>1075</v>
      </c>
      <c r="D769" t="s">
        <v>113</v>
      </c>
      <c r="E769" t="s">
        <v>42</v>
      </c>
      <c r="F769" t="s">
        <v>65</v>
      </c>
      <c r="G769" t="s">
        <v>2310</v>
      </c>
    </row>
    <row r="770" spans="1:8">
      <c r="A770">
        <v>3367</v>
      </c>
      <c r="B770" t="s">
        <v>1442</v>
      </c>
      <c r="C770" t="s">
        <v>1443</v>
      </c>
      <c r="D770" t="s">
        <v>42</v>
      </c>
      <c r="E770" t="s">
        <v>135</v>
      </c>
      <c r="F770" t="s">
        <v>136</v>
      </c>
      <c r="G770" t="s">
        <v>2570</v>
      </c>
    </row>
    <row r="771" spans="1:8">
      <c r="A771">
        <v>3368</v>
      </c>
      <c r="B771" t="s">
        <v>3290</v>
      </c>
      <c r="C771" t="s">
        <v>2885</v>
      </c>
      <c r="D771" t="s">
        <v>125</v>
      </c>
      <c r="E771" t="s">
        <v>126</v>
      </c>
      <c r="F771" t="s">
        <v>126</v>
      </c>
      <c r="G771" t="s">
        <v>2886</v>
      </c>
    </row>
    <row r="772" spans="1:8">
      <c r="A772">
        <v>3369</v>
      </c>
      <c r="B772" t="s">
        <v>3291</v>
      </c>
      <c r="C772" t="s">
        <v>2888</v>
      </c>
      <c r="D772" t="s">
        <v>139</v>
      </c>
      <c r="E772" t="s">
        <v>154</v>
      </c>
      <c r="F772" t="s">
        <v>155</v>
      </c>
      <c r="G772" t="s">
        <v>1790</v>
      </c>
      <c r="H772">
        <v>4</v>
      </c>
    </row>
    <row r="773" spans="1:8">
      <c r="A773">
        <v>3373</v>
      </c>
      <c r="B773" t="s">
        <v>444</v>
      </c>
      <c r="C773" t="s">
        <v>445</v>
      </c>
      <c r="D773" t="s">
        <v>135</v>
      </c>
      <c r="E773" t="s">
        <v>136</v>
      </c>
      <c r="F773" t="s">
        <v>176</v>
      </c>
      <c r="G773" t="s">
        <v>2177</v>
      </c>
    </row>
    <row r="774" spans="1:8">
      <c r="A774">
        <v>3374</v>
      </c>
      <c r="B774" t="s">
        <v>123</v>
      </c>
      <c r="C774" t="s">
        <v>124</v>
      </c>
      <c r="D774" t="s">
        <v>125</v>
      </c>
      <c r="E774" t="s">
        <v>126</v>
      </c>
      <c r="F774" t="s">
        <v>126</v>
      </c>
      <c r="G774" t="s">
        <v>2803</v>
      </c>
    </row>
    <row r="775" spans="1:8">
      <c r="A775">
        <v>3378</v>
      </c>
      <c r="B775" t="s">
        <v>1468</v>
      </c>
      <c r="C775" t="s">
        <v>1469</v>
      </c>
      <c r="D775" t="s">
        <v>113</v>
      </c>
      <c r="E775" t="s">
        <v>139</v>
      </c>
      <c r="F775" t="s">
        <v>233</v>
      </c>
      <c r="G775" t="s">
        <v>2991</v>
      </c>
      <c r="H775">
        <v>2</v>
      </c>
    </row>
    <row r="776" spans="1:8">
      <c r="A776">
        <v>3382</v>
      </c>
      <c r="B776" t="s">
        <v>1590</v>
      </c>
      <c r="C776" t="s">
        <v>1591</v>
      </c>
      <c r="D776" t="s">
        <v>113</v>
      </c>
      <c r="E776" t="s">
        <v>233</v>
      </c>
      <c r="F776" t="s">
        <v>300</v>
      </c>
      <c r="G776" t="s">
        <v>3000</v>
      </c>
      <c r="H776">
        <v>3</v>
      </c>
    </row>
    <row r="777" spans="1:8">
      <c r="A777">
        <v>3383</v>
      </c>
      <c r="B777" t="s">
        <v>3292</v>
      </c>
      <c r="C777" t="s">
        <v>2890</v>
      </c>
      <c r="D777" t="s">
        <v>113</v>
      </c>
      <c r="E777" t="s">
        <v>136</v>
      </c>
      <c r="F777" t="s">
        <v>147</v>
      </c>
      <c r="G777" t="s">
        <v>2265</v>
      </c>
    </row>
    <row r="778" spans="1:8">
      <c r="A778">
        <v>3384</v>
      </c>
      <c r="B778" t="s">
        <v>3293</v>
      </c>
      <c r="C778" t="s">
        <v>2892</v>
      </c>
      <c r="D778" t="s">
        <v>125</v>
      </c>
      <c r="E778" t="s">
        <v>126</v>
      </c>
      <c r="F778" t="s">
        <v>126</v>
      </c>
      <c r="G778" t="s">
        <v>2893</v>
      </c>
    </row>
    <row r="779" spans="1:8">
      <c r="A779">
        <v>3385</v>
      </c>
      <c r="B779" t="s">
        <v>3294</v>
      </c>
      <c r="C779" t="s">
        <v>2895</v>
      </c>
      <c r="D779" t="s">
        <v>113</v>
      </c>
      <c r="E779" t="s">
        <v>136</v>
      </c>
      <c r="F779" t="s">
        <v>121</v>
      </c>
      <c r="G779" t="s">
        <v>1908</v>
      </c>
    </row>
    <row r="780" spans="1:8">
      <c r="A780">
        <v>3389</v>
      </c>
      <c r="B780" t="s">
        <v>1547</v>
      </c>
      <c r="C780" t="s">
        <v>1548</v>
      </c>
      <c r="D780" t="s">
        <v>139</v>
      </c>
      <c r="E780" t="s">
        <v>117</v>
      </c>
      <c r="F780" t="s">
        <v>42</v>
      </c>
      <c r="G780" t="s">
        <v>3002</v>
      </c>
      <c r="H780">
        <v>2</v>
      </c>
    </row>
    <row r="781" spans="1:8">
      <c r="A781">
        <v>3390</v>
      </c>
      <c r="B781" t="s">
        <v>3295</v>
      </c>
      <c r="C781" t="s">
        <v>2897</v>
      </c>
      <c r="D781" t="s">
        <v>125</v>
      </c>
      <c r="E781" t="s">
        <v>126</v>
      </c>
      <c r="F781" t="s">
        <v>126</v>
      </c>
      <c r="G781" t="s">
        <v>1886</v>
      </c>
    </row>
    <row r="782" spans="1:8">
      <c r="A782">
        <v>3395</v>
      </c>
      <c r="B782" t="s">
        <v>1626</v>
      </c>
      <c r="C782" t="s">
        <v>1627</v>
      </c>
      <c r="D782" t="s">
        <v>113</v>
      </c>
      <c r="E782" t="s">
        <v>139</v>
      </c>
      <c r="F782" t="s">
        <v>233</v>
      </c>
      <c r="G782" t="s">
        <v>3004</v>
      </c>
      <c r="H782">
        <v>1</v>
      </c>
    </row>
    <row r="783" spans="1:8">
      <c r="A783">
        <v>3398</v>
      </c>
      <c r="B783" t="s">
        <v>1604</v>
      </c>
      <c r="C783" t="s">
        <v>1605</v>
      </c>
      <c r="D783" t="s">
        <v>113</v>
      </c>
      <c r="E783" t="s">
        <v>154</v>
      </c>
      <c r="F783" t="s">
        <v>959</v>
      </c>
      <c r="G783" t="s">
        <v>3006</v>
      </c>
    </row>
    <row r="784" spans="1:8">
      <c r="A784">
        <v>3399</v>
      </c>
      <c r="B784" t="s">
        <v>907</v>
      </c>
      <c r="C784" t="s">
        <v>908</v>
      </c>
      <c r="D784" t="s">
        <v>117</v>
      </c>
      <c r="E784" t="s">
        <v>154</v>
      </c>
      <c r="F784" t="s">
        <v>126</v>
      </c>
      <c r="G784" t="s">
        <v>1716</v>
      </c>
    </row>
    <row r="785" spans="1:8">
      <c r="A785">
        <v>3401</v>
      </c>
      <c r="B785" t="s">
        <v>3296</v>
      </c>
      <c r="C785" t="s">
        <v>2899</v>
      </c>
      <c r="D785" t="s">
        <v>125</v>
      </c>
      <c r="E785" t="s">
        <v>126</v>
      </c>
      <c r="F785" t="s">
        <v>126</v>
      </c>
      <c r="G785" t="s">
        <v>2086</v>
      </c>
    </row>
    <row r="786" spans="1:8">
      <c r="A786">
        <v>3405</v>
      </c>
      <c r="B786" t="s">
        <v>1198</v>
      </c>
      <c r="C786" t="s">
        <v>1199</v>
      </c>
      <c r="D786" t="s">
        <v>233</v>
      </c>
      <c r="E786" t="s">
        <v>263</v>
      </c>
      <c r="F786" t="s">
        <v>126</v>
      </c>
      <c r="G786" t="s">
        <v>1806</v>
      </c>
    </row>
    <row r="787" spans="1:8">
      <c r="A787">
        <v>3406</v>
      </c>
      <c r="B787" t="s">
        <v>3297</v>
      </c>
      <c r="C787" t="s">
        <v>2901</v>
      </c>
      <c r="D787" t="s">
        <v>272</v>
      </c>
      <c r="E787" t="s">
        <v>117</v>
      </c>
      <c r="F787" t="s">
        <v>126</v>
      </c>
      <c r="G787" t="s">
        <v>1796</v>
      </c>
    </row>
    <row r="788" spans="1:8">
      <c r="A788">
        <v>3410</v>
      </c>
      <c r="B788" t="s">
        <v>1610</v>
      </c>
      <c r="C788" t="s">
        <v>1611</v>
      </c>
      <c r="D788" t="s">
        <v>113</v>
      </c>
      <c r="E788" t="s">
        <v>42</v>
      </c>
      <c r="F788" t="s">
        <v>156</v>
      </c>
      <c r="G788" t="s">
        <v>3010</v>
      </c>
    </row>
    <row r="789" spans="1:8">
      <c r="A789">
        <v>3414</v>
      </c>
      <c r="B789" t="s">
        <v>1373</v>
      </c>
      <c r="C789" t="s">
        <v>1374</v>
      </c>
      <c r="D789" t="s">
        <v>113</v>
      </c>
      <c r="E789" t="s">
        <v>154</v>
      </c>
      <c r="F789" t="s">
        <v>204</v>
      </c>
      <c r="G789" t="s">
        <v>3012</v>
      </c>
    </row>
    <row r="790" spans="1:8">
      <c r="A790">
        <v>3416</v>
      </c>
      <c r="B790" t="s">
        <v>3298</v>
      </c>
      <c r="C790" t="s">
        <v>2903</v>
      </c>
      <c r="D790" t="s">
        <v>113</v>
      </c>
      <c r="E790" t="s">
        <v>139</v>
      </c>
      <c r="F790" t="s">
        <v>233</v>
      </c>
      <c r="G790" t="s">
        <v>1729</v>
      </c>
      <c r="H790">
        <v>1</v>
      </c>
    </row>
    <row r="791" spans="1:8">
      <c r="A791">
        <v>3420</v>
      </c>
      <c r="B791" t="s">
        <v>1592</v>
      </c>
      <c r="C791" t="s">
        <v>1593</v>
      </c>
      <c r="D791" t="s">
        <v>113</v>
      </c>
      <c r="E791" t="s">
        <v>160</v>
      </c>
      <c r="F791" t="s">
        <v>156</v>
      </c>
      <c r="G791" t="s">
        <v>3014</v>
      </c>
      <c r="H791">
        <v>4</v>
      </c>
    </row>
    <row r="792" spans="1:8">
      <c r="A792">
        <v>3425</v>
      </c>
      <c r="B792" t="s">
        <v>1606</v>
      </c>
      <c r="C792" t="s">
        <v>1607</v>
      </c>
      <c r="D792" t="s">
        <v>113</v>
      </c>
      <c r="E792" t="s">
        <v>139</v>
      </c>
      <c r="F792" t="s">
        <v>135</v>
      </c>
      <c r="G792" t="s">
        <v>3016</v>
      </c>
      <c r="H792">
        <v>2</v>
      </c>
    </row>
    <row r="793" spans="1:8">
      <c r="A793">
        <v>3426</v>
      </c>
      <c r="B793" t="s">
        <v>1279</v>
      </c>
      <c r="C793" t="s">
        <v>1280</v>
      </c>
      <c r="D793" t="s">
        <v>233</v>
      </c>
      <c r="E793" t="s">
        <v>263</v>
      </c>
      <c r="F793" t="s">
        <v>126</v>
      </c>
      <c r="G793" t="s">
        <v>2715</v>
      </c>
    </row>
    <row r="794" spans="1:8">
      <c r="A794">
        <v>3430</v>
      </c>
      <c r="B794" t="s">
        <v>1554</v>
      </c>
      <c r="C794" t="s">
        <v>1555</v>
      </c>
      <c r="D794" t="s">
        <v>113</v>
      </c>
      <c r="E794" t="s">
        <v>233</v>
      </c>
      <c r="F794" t="s">
        <v>160</v>
      </c>
      <c r="G794" t="s">
        <v>1737</v>
      </c>
      <c r="H794">
        <v>1</v>
      </c>
    </row>
    <row r="795" spans="1:8">
      <c r="A795">
        <v>3435</v>
      </c>
      <c r="B795" t="s">
        <v>1562</v>
      </c>
      <c r="C795" t="s">
        <v>1563</v>
      </c>
      <c r="D795" t="s">
        <v>113</v>
      </c>
      <c r="E795" t="s">
        <v>117</v>
      </c>
      <c r="F795" t="s">
        <v>82</v>
      </c>
      <c r="G795" t="s">
        <v>2905</v>
      </c>
      <c r="H795">
        <v>3</v>
      </c>
    </row>
    <row r="796" spans="1:8">
      <c r="A796">
        <v>3441</v>
      </c>
      <c r="B796" t="s">
        <v>1634</v>
      </c>
      <c r="C796" t="s">
        <v>1635</v>
      </c>
      <c r="D796" t="s">
        <v>117</v>
      </c>
      <c r="E796" t="s">
        <v>42</v>
      </c>
      <c r="F796" t="s">
        <v>126</v>
      </c>
      <c r="G796" t="s">
        <v>2747</v>
      </c>
    </row>
    <row r="797" spans="1:8">
      <c r="A797">
        <v>3444</v>
      </c>
      <c r="B797" t="s">
        <v>1543</v>
      </c>
      <c r="C797" t="s">
        <v>1544</v>
      </c>
      <c r="D797" t="s">
        <v>113</v>
      </c>
      <c r="E797" t="s">
        <v>233</v>
      </c>
      <c r="F797" t="s">
        <v>42</v>
      </c>
      <c r="G797" t="s">
        <v>2914</v>
      </c>
      <c r="H797">
        <v>3</v>
      </c>
    </row>
    <row r="798" spans="1:8">
      <c r="A798">
        <v>3445</v>
      </c>
      <c r="B798" t="s">
        <v>1612</v>
      </c>
      <c r="C798" t="s">
        <v>1613</v>
      </c>
      <c r="D798" t="s">
        <v>117</v>
      </c>
      <c r="E798" t="s">
        <v>209</v>
      </c>
      <c r="F798" t="s">
        <v>959</v>
      </c>
      <c r="G798" t="s">
        <v>3010</v>
      </c>
      <c r="H798">
        <v>1</v>
      </c>
    </row>
    <row r="799" spans="1:8">
      <c r="A799">
        <v>3448</v>
      </c>
      <c r="B799" t="s">
        <v>1622</v>
      </c>
      <c r="C799" t="s">
        <v>1623</v>
      </c>
      <c r="D799" t="s">
        <v>117</v>
      </c>
      <c r="E799" t="s">
        <v>42</v>
      </c>
      <c r="F799" t="s">
        <v>126</v>
      </c>
      <c r="G799" t="s">
        <v>3024</v>
      </c>
    </row>
    <row r="800" spans="1:8">
      <c r="A800">
        <v>3449</v>
      </c>
      <c r="B800" t="s">
        <v>1572</v>
      </c>
      <c r="C800" t="s">
        <v>1573</v>
      </c>
      <c r="D800" t="s">
        <v>113</v>
      </c>
      <c r="E800" t="s">
        <v>154</v>
      </c>
      <c r="F800" t="s">
        <v>63</v>
      </c>
      <c r="G800" t="s">
        <v>3026</v>
      </c>
    </row>
  </sheetData>
  <phoneticPr fontId="1" type="noConversion"/>
  <conditionalFormatting sqref="A1:A1048576">
    <cfRule type="duplicateValues" dxfId="2" priority="1"/>
    <cfRule type="duplicateValues" dxfId="1" priority="2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423B9-B759-4724-91E1-910AC9BCDF8F}">
  <sheetPr codeName="Sheet17"/>
  <dimension ref="A1:M203"/>
  <sheetViews>
    <sheetView workbookViewId="0">
      <selection activeCell="C6" sqref="C6"/>
    </sheetView>
  </sheetViews>
  <sheetFormatPr defaultRowHeight="14.5"/>
  <cols>
    <col min="1" max="1" width="52.453125" bestFit="1" customWidth="1"/>
    <col min="2" max="3" width="65.7265625" bestFit="1" customWidth="1"/>
    <col min="4" max="4" width="10.7265625" bestFit="1" customWidth="1"/>
    <col min="5" max="5" width="48.453125" bestFit="1" customWidth="1"/>
    <col min="6" max="6" width="65.7265625" bestFit="1" customWidth="1"/>
    <col min="7" max="9" width="19.1796875" bestFit="1" customWidth="1"/>
    <col min="10" max="10" width="65.7265625" bestFit="1" customWidth="1"/>
    <col min="11" max="11" width="7.26953125" bestFit="1" customWidth="1"/>
    <col min="12" max="12" width="10.54296875" bestFit="1" customWidth="1"/>
    <col min="13" max="13" width="13" bestFit="1" customWidth="1"/>
  </cols>
  <sheetData>
    <row r="1" spans="1:13">
      <c r="A1" t="s">
        <v>108</v>
      </c>
      <c r="B1" t="s">
        <v>3299</v>
      </c>
      <c r="C1" t="s">
        <v>3300</v>
      </c>
      <c r="D1" t="s">
        <v>3301</v>
      </c>
      <c r="E1" t="s">
        <v>101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1664</v>
      </c>
      <c r="L1" t="s">
        <v>109</v>
      </c>
      <c r="M1" t="s">
        <v>110</v>
      </c>
    </row>
    <row r="2" spans="1:13">
      <c r="A2" t="s">
        <v>101</v>
      </c>
      <c r="B2" t="s">
        <v>103</v>
      </c>
      <c r="C2" t="s">
        <v>107</v>
      </c>
      <c r="D2" t="s">
        <v>1664</v>
      </c>
    </row>
    <row r="3" spans="1:13">
      <c r="A3" t="s">
        <v>1892</v>
      </c>
      <c r="B3" t="s">
        <v>1393</v>
      </c>
      <c r="C3" t="s">
        <v>1394</v>
      </c>
      <c r="D3" t="s">
        <v>1871</v>
      </c>
    </row>
    <row r="4" spans="1:13">
      <c r="A4" t="s">
        <v>1893</v>
      </c>
      <c r="B4" t="s">
        <v>1894</v>
      </c>
      <c r="C4" t="s">
        <v>1895</v>
      </c>
      <c r="D4" t="s">
        <v>1896</v>
      </c>
    </row>
    <row r="5" spans="1:13">
      <c r="A5" t="s">
        <v>1897</v>
      </c>
      <c r="B5" t="s">
        <v>1898</v>
      </c>
      <c r="C5" t="s">
        <v>1899</v>
      </c>
      <c r="D5" t="s">
        <v>1900</v>
      </c>
    </row>
    <row r="6" spans="1:13">
      <c r="A6" t="s">
        <v>1901</v>
      </c>
      <c r="B6" t="s">
        <v>1902</v>
      </c>
      <c r="C6" t="s">
        <v>126</v>
      </c>
      <c r="D6" t="s">
        <v>1903</v>
      </c>
    </row>
    <row r="7" spans="1:13">
      <c r="A7" t="s">
        <v>1904</v>
      </c>
      <c r="B7" t="s">
        <v>1905</v>
      </c>
      <c r="C7" t="s">
        <v>1906</v>
      </c>
      <c r="D7" t="s">
        <v>1886</v>
      </c>
    </row>
    <row r="8" spans="1:13">
      <c r="A8" t="s">
        <v>1907</v>
      </c>
      <c r="B8" t="s">
        <v>623</v>
      </c>
      <c r="C8" t="s">
        <v>625</v>
      </c>
      <c r="D8" t="s">
        <v>1908</v>
      </c>
    </row>
    <row r="9" spans="1:13">
      <c r="A9" t="s">
        <v>1909</v>
      </c>
      <c r="B9" t="s">
        <v>1910</v>
      </c>
      <c r="C9" t="s">
        <v>1911</v>
      </c>
      <c r="D9" t="s">
        <v>1912</v>
      </c>
    </row>
    <row r="10" spans="1:13">
      <c r="A10" t="s">
        <v>1913</v>
      </c>
      <c r="B10" t="s">
        <v>1135</v>
      </c>
      <c r="C10" t="s">
        <v>1136</v>
      </c>
      <c r="D10" t="s">
        <v>1914</v>
      </c>
    </row>
    <row r="11" spans="1:13">
      <c r="A11" t="s">
        <v>1915</v>
      </c>
      <c r="B11" t="s">
        <v>1088</v>
      </c>
      <c r="C11" t="s">
        <v>1089</v>
      </c>
      <c r="D11" t="s">
        <v>1916</v>
      </c>
    </row>
    <row r="12" spans="1:13">
      <c r="A12" t="s">
        <v>1917</v>
      </c>
      <c r="B12" t="s">
        <v>713</v>
      </c>
      <c r="C12" t="s">
        <v>714</v>
      </c>
      <c r="D12" t="s">
        <v>1918</v>
      </c>
    </row>
    <row r="13" spans="1:13">
      <c r="A13" t="s">
        <v>1919</v>
      </c>
      <c r="B13" t="s">
        <v>1920</v>
      </c>
      <c r="C13" t="s">
        <v>1921</v>
      </c>
      <c r="D13" t="s">
        <v>1922</v>
      </c>
    </row>
    <row r="14" spans="1:13">
      <c r="A14" t="s">
        <v>1923</v>
      </c>
      <c r="B14" t="s">
        <v>1924</v>
      </c>
      <c r="C14" t="s">
        <v>1925</v>
      </c>
      <c r="D14" t="s">
        <v>1678</v>
      </c>
    </row>
    <row r="15" spans="1:13">
      <c r="A15" t="s">
        <v>1926</v>
      </c>
      <c r="B15" t="s">
        <v>724</v>
      </c>
      <c r="C15" t="s">
        <v>725</v>
      </c>
      <c r="D15" t="s">
        <v>1927</v>
      </c>
    </row>
    <row r="16" spans="1:13">
      <c r="A16" t="s">
        <v>1928</v>
      </c>
      <c r="B16" t="s">
        <v>1065</v>
      </c>
      <c r="C16" t="s">
        <v>1066</v>
      </c>
      <c r="D16" t="s">
        <v>1929</v>
      </c>
    </row>
    <row r="17" spans="1:4">
      <c r="A17" t="s">
        <v>1930</v>
      </c>
      <c r="B17" t="s">
        <v>1931</v>
      </c>
      <c r="C17" t="s">
        <v>1932</v>
      </c>
      <c r="D17" t="s">
        <v>1721</v>
      </c>
    </row>
    <row r="18" spans="1:4">
      <c r="A18" t="s">
        <v>1933</v>
      </c>
      <c r="B18" t="s">
        <v>198</v>
      </c>
      <c r="C18" t="s">
        <v>199</v>
      </c>
      <c r="D18" t="s">
        <v>1934</v>
      </c>
    </row>
    <row r="19" spans="1:4">
      <c r="A19" t="s">
        <v>1935</v>
      </c>
      <c r="B19" t="s">
        <v>1403</v>
      </c>
      <c r="C19" t="s">
        <v>1404</v>
      </c>
      <c r="D19" t="s">
        <v>1936</v>
      </c>
    </row>
    <row r="20" spans="1:4">
      <c r="A20" t="s">
        <v>1937</v>
      </c>
      <c r="B20" t="s">
        <v>1938</v>
      </c>
      <c r="C20" t="s">
        <v>1939</v>
      </c>
      <c r="D20" t="s">
        <v>1940</v>
      </c>
    </row>
    <row r="21" spans="1:4">
      <c r="A21" t="s">
        <v>1941</v>
      </c>
      <c r="B21" t="s">
        <v>1942</v>
      </c>
      <c r="C21" t="s">
        <v>1943</v>
      </c>
      <c r="D21" t="s">
        <v>1806</v>
      </c>
    </row>
    <row r="22" spans="1:4">
      <c r="A22" t="s">
        <v>1944</v>
      </c>
      <c r="B22" t="s">
        <v>1945</v>
      </c>
      <c r="C22" t="s">
        <v>1946</v>
      </c>
      <c r="D22" t="s">
        <v>1947</v>
      </c>
    </row>
    <row r="23" spans="1:4">
      <c r="A23" t="s">
        <v>1948</v>
      </c>
      <c r="B23" t="s">
        <v>1949</v>
      </c>
      <c r="C23" t="s">
        <v>1950</v>
      </c>
      <c r="D23" t="s">
        <v>1951</v>
      </c>
    </row>
    <row r="24" spans="1:4">
      <c r="A24" t="s">
        <v>1952</v>
      </c>
      <c r="B24" t="s">
        <v>360</v>
      </c>
      <c r="C24" t="s">
        <v>361</v>
      </c>
      <c r="D24" t="s">
        <v>1953</v>
      </c>
    </row>
    <row r="25" spans="1:4">
      <c r="A25" t="s">
        <v>1954</v>
      </c>
      <c r="B25" t="s">
        <v>604</v>
      </c>
      <c r="C25" t="s">
        <v>605</v>
      </c>
      <c r="D25" t="s">
        <v>1955</v>
      </c>
    </row>
    <row r="26" spans="1:4">
      <c r="A26" t="s">
        <v>1956</v>
      </c>
      <c r="B26" t="s">
        <v>1282</v>
      </c>
      <c r="C26" t="s">
        <v>1283</v>
      </c>
      <c r="D26" t="s">
        <v>1957</v>
      </c>
    </row>
    <row r="27" spans="1:4">
      <c r="A27" t="s">
        <v>1958</v>
      </c>
      <c r="B27" t="s">
        <v>698</v>
      </c>
      <c r="C27" t="s">
        <v>699</v>
      </c>
      <c r="D27" t="s">
        <v>1959</v>
      </c>
    </row>
    <row r="28" spans="1:4">
      <c r="A28" t="s">
        <v>1960</v>
      </c>
      <c r="B28" t="s">
        <v>1961</v>
      </c>
      <c r="C28" t="s">
        <v>1962</v>
      </c>
      <c r="D28" t="s">
        <v>1806</v>
      </c>
    </row>
    <row r="29" spans="1:4">
      <c r="A29" t="s">
        <v>1963</v>
      </c>
      <c r="B29" t="s">
        <v>1290</v>
      </c>
      <c r="C29" t="s">
        <v>1291</v>
      </c>
      <c r="D29" t="s">
        <v>1714</v>
      </c>
    </row>
    <row r="30" spans="1:4">
      <c r="A30" t="s">
        <v>1964</v>
      </c>
      <c r="B30" t="s">
        <v>398</v>
      </c>
      <c r="C30" t="s">
        <v>399</v>
      </c>
      <c r="D30" t="s">
        <v>1777</v>
      </c>
    </row>
    <row r="31" spans="1:4">
      <c r="A31" t="s">
        <v>1965</v>
      </c>
      <c r="B31" t="s">
        <v>690</v>
      </c>
      <c r="C31" t="s">
        <v>691</v>
      </c>
      <c r="D31" t="s">
        <v>1966</v>
      </c>
    </row>
    <row r="32" spans="1:4">
      <c r="A32" t="s">
        <v>1967</v>
      </c>
      <c r="B32" t="s">
        <v>838</v>
      </c>
      <c r="C32" t="s">
        <v>839</v>
      </c>
      <c r="D32" t="s">
        <v>1729</v>
      </c>
    </row>
    <row r="33" spans="1:4">
      <c r="A33" t="s">
        <v>1968</v>
      </c>
      <c r="B33" t="s">
        <v>1321</v>
      </c>
      <c r="C33" t="s">
        <v>126</v>
      </c>
      <c r="D33" t="s">
        <v>1969</v>
      </c>
    </row>
    <row r="34" spans="1:4">
      <c r="A34" t="s">
        <v>1970</v>
      </c>
      <c r="B34" t="s">
        <v>1971</v>
      </c>
      <c r="C34" t="s">
        <v>1972</v>
      </c>
      <c r="D34" t="s">
        <v>1973</v>
      </c>
    </row>
    <row r="35" spans="1:4">
      <c r="A35" t="s">
        <v>1974</v>
      </c>
      <c r="B35" t="s">
        <v>915</v>
      </c>
      <c r="C35" t="s">
        <v>916</v>
      </c>
      <c r="D35" t="s">
        <v>1721</v>
      </c>
    </row>
    <row r="36" spans="1:4">
      <c r="A36" t="s">
        <v>1975</v>
      </c>
      <c r="B36" t="s">
        <v>1976</v>
      </c>
      <c r="C36" t="s">
        <v>1977</v>
      </c>
      <c r="D36" t="s">
        <v>1978</v>
      </c>
    </row>
    <row r="37" spans="1:4">
      <c r="A37" t="s">
        <v>1979</v>
      </c>
      <c r="B37" t="s">
        <v>844</v>
      </c>
      <c r="C37" t="s">
        <v>845</v>
      </c>
      <c r="D37" t="s">
        <v>1980</v>
      </c>
    </row>
    <row r="38" spans="1:4">
      <c r="A38" t="s">
        <v>1981</v>
      </c>
      <c r="B38" t="s">
        <v>252</v>
      </c>
      <c r="C38" t="s">
        <v>253</v>
      </c>
      <c r="D38" t="s">
        <v>1982</v>
      </c>
    </row>
    <row r="39" spans="1:4">
      <c r="A39" t="s">
        <v>1983</v>
      </c>
      <c r="B39" t="s">
        <v>1984</v>
      </c>
      <c r="C39" t="s">
        <v>1985</v>
      </c>
      <c r="D39" t="s">
        <v>1986</v>
      </c>
    </row>
    <row r="40" spans="1:4">
      <c r="A40" t="s">
        <v>1987</v>
      </c>
      <c r="B40" t="s">
        <v>817</v>
      </c>
      <c r="C40" t="s">
        <v>818</v>
      </c>
      <c r="D40" t="s">
        <v>1988</v>
      </c>
    </row>
    <row r="41" spans="1:4">
      <c r="A41" t="s">
        <v>1989</v>
      </c>
      <c r="B41" t="s">
        <v>153</v>
      </c>
      <c r="C41" t="s">
        <v>157</v>
      </c>
      <c r="D41" t="s">
        <v>1990</v>
      </c>
    </row>
    <row r="42" spans="1:4">
      <c r="A42" t="s">
        <v>1991</v>
      </c>
      <c r="B42" t="s">
        <v>612</v>
      </c>
      <c r="C42" t="s">
        <v>613</v>
      </c>
      <c r="D42" t="s">
        <v>1992</v>
      </c>
    </row>
    <row r="43" spans="1:4">
      <c r="A43" t="s">
        <v>1993</v>
      </c>
      <c r="B43" t="s">
        <v>1183</v>
      </c>
      <c r="C43" t="s">
        <v>1184</v>
      </c>
      <c r="D43" t="s">
        <v>1994</v>
      </c>
    </row>
    <row r="44" spans="1:4">
      <c r="A44" t="s">
        <v>1995</v>
      </c>
      <c r="B44" t="s">
        <v>1029</v>
      </c>
      <c r="C44" t="s">
        <v>1030</v>
      </c>
      <c r="D44" t="s">
        <v>1996</v>
      </c>
    </row>
    <row r="45" spans="1:4">
      <c r="A45" t="s">
        <v>1997</v>
      </c>
      <c r="B45" t="s">
        <v>631</v>
      </c>
      <c r="C45" t="s">
        <v>632</v>
      </c>
      <c r="D45" t="s">
        <v>1998</v>
      </c>
    </row>
    <row r="46" spans="1:4">
      <c r="A46" t="s">
        <v>1999</v>
      </c>
      <c r="B46" t="s">
        <v>456</v>
      </c>
      <c r="C46" t="s">
        <v>457</v>
      </c>
      <c r="D46" t="s">
        <v>2000</v>
      </c>
    </row>
    <row r="47" spans="1:4">
      <c r="A47" t="s">
        <v>2001</v>
      </c>
      <c r="B47" t="s">
        <v>871</v>
      </c>
      <c r="C47" t="s">
        <v>872</v>
      </c>
      <c r="D47" t="s">
        <v>2002</v>
      </c>
    </row>
    <row r="48" spans="1:4">
      <c r="A48" t="s">
        <v>2003</v>
      </c>
      <c r="B48" t="s">
        <v>2004</v>
      </c>
      <c r="C48" t="s">
        <v>2005</v>
      </c>
      <c r="D48" t="s">
        <v>2006</v>
      </c>
    </row>
    <row r="49" spans="1:4">
      <c r="A49" t="s">
        <v>2007</v>
      </c>
      <c r="B49" t="s">
        <v>296</v>
      </c>
      <c r="C49" t="s">
        <v>297</v>
      </c>
      <c r="D49" t="s">
        <v>2008</v>
      </c>
    </row>
    <row r="50" spans="1:4">
      <c r="A50" t="s">
        <v>2009</v>
      </c>
      <c r="B50" t="s">
        <v>431</v>
      </c>
      <c r="C50" t="s">
        <v>432</v>
      </c>
      <c r="D50" t="s">
        <v>2010</v>
      </c>
    </row>
    <row r="51" spans="1:4">
      <c r="A51" t="s">
        <v>2011</v>
      </c>
      <c r="B51" t="s">
        <v>564</v>
      </c>
      <c r="C51" t="s">
        <v>565</v>
      </c>
      <c r="D51" t="s">
        <v>2012</v>
      </c>
    </row>
    <row r="52" spans="1:4">
      <c r="A52" t="s">
        <v>2013</v>
      </c>
      <c r="B52" t="s">
        <v>533</v>
      </c>
      <c r="C52" t="s">
        <v>534</v>
      </c>
      <c r="D52" t="s">
        <v>2014</v>
      </c>
    </row>
    <row r="53" spans="1:4">
      <c r="A53" t="s">
        <v>2015</v>
      </c>
      <c r="B53" t="s">
        <v>2016</v>
      </c>
      <c r="C53" t="s">
        <v>2017</v>
      </c>
      <c r="D53" t="s">
        <v>2018</v>
      </c>
    </row>
    <row r="54" spans="1:4">
      <c r="A54" t="s">
        <v>2019</v>
      </c>
      <c r="B54" t="s">
        <v>146</v>
      </c>
      <c r="C54" t="s">
        <v>148</v>
      </c>
      <c r="D54" t="s">
        <v>2020</v>
      </c>
    </row>
    <row r="55" spans="1:4">
      <c r="A55" t="s">
        <v>2021</v>
      </c>
      <c r="B55" t="s">
        <v>2022</v>
      </c>
      <c r="C55" t="s">
        <v>2023</v>
      </c>
      <c r="D55" t="s">
        <v>1700</v>
      </c>
    </row>
    <row r="56" spans="1:4">
      <c r="A56" t="s">
        <v>2024</v>
      </c>
      <c r="B56" t="s">
        <v>321</v>
      </c>
      <c r="C56" t="s">
        <v>322</v>
      </c>
      <c r="D56" t="s">
        <v>2025</v>
      </c>
    </row>
    <row r="57" spans="1:4">
      <c r="A57" t="s">
        <v>2026</v>
      </c>
      <c r="B57" t="s">
        <v>1327</v>
      </c>
      <c r="C57" t="s">
        <v>1328</v>
      </c>
      <c r="D57" t="s">
        <v>2027</v>
      </c>
    </row>
    <row r="58" spans="1:4">
      <c r="A58" t="s">
        <v>2028</v>
      </c>
      <c r="B58" t="s">
        <v>669</v>
      </c>
      <c r="C58" t="s">
        <v>670</v>
      </c>
      <c r="D58" t="s">
        <v>2029</v>
      </c>
    </row>
    <row r="59" spans="1:4">
      <c r="A59" t="s">
        <v>2030</v>
      </c>
      <c r="B59" t="s">
        <v>849</v>
      </c>
      <c r="C59" t="s">
        <v>850</v>
      </c>
      <c r="D59" t="s">
        <v>2031</v>
      </c>
    </row>
    <row r="60" spans="1:4">
      <c r="A60" t="s">
        <v>2032</v>
      </c>
      <c r="B60" t="s">
        <v>637</v>
      </c>
      <c r="C60" t="s">
        <v>638</v>
      </c>
      <c r="D60" t="s">
        <v>2018</v>
      </c>
    </row>
    <row r="61" spans="1:4">
      <c r="A61" t="s">
        <v>2033</v>
      </c>
      <c r="B61" t="s">
        <v>1059</v>
      </c>
      <c r="C61" t="s">
        <v>1060</v>
      </c>
      <c r="D61" t="s">
        <v>1680</v>
      </c>
    </row>
    <row r="62" spans="1:4">
      <c r="A62" t="s">
        <v>2034</v>
      </c>
      <c r="B62" t="s">
        <v>1273</v>
      </c>
      <c r="C62" t="s">
        <v>1274</v>
      </c>
      <c r="D62" t="s">
        <v>2035</v>
      </c>
    </row>
    <row r="63" spans="1:4">
      <c r="A63" t="s">
        <v>2036</v>
      </c>
      <c r="B63" t="s">
        <v>1521</v>
      </c>
      <c r="C63" t="s">
        <v>1522</v>
      </c>
      <c r="D63" t="s">
        <v>2037</v>
      </c>
    </row>
    <row r="64" spans="1:4">
      <c r="A64" t="s">
        <v>2038</v>
      </c>
      <c r="B64" t="s">
        <v>327</v>
      </c>
      <c r="C64" t="s">
        <v>328</v>
      </c>
      <c r="D64" t="s">
        <v>2039</v>
      </c>
    </row>
    <row r="65" spans="1:4">
      <c r="A65" t="s">
        <v>2040</v>
      </c>
      <c r="B65" t="s">
        <v>782</v>
      </c>
      <c r="C65" t="s">
        <v>783</v>
      </c>
      <c r="D65" t="s">
        <v>2041</v>
      </c>
    </row>
    <row r="66" spans="1:4">
      <c r="A66" t="s">
        <v>2042</v>
      </c>
      <c r="B66" t="s">
        <v>918</v>
      </c>
      <c r="C66" t="s">
        <v>919</v>
      </c>
      <c r="D66" t="s">
        <v>1721</v>
      </c>
    </row>
    <row r="67" spans="1:4">
      <c r="A67" t="s">
        <v>2043</v>
      </c>
      <c r="B67" t="s">
        <v>555</v>
      </c>
      <c r="C67" t="s">
        <v>556</v>
      </c>
      <c r="D67" t="s">
        <v>2044</v>
      </c>
    </row>
    <row r="68" spans="1:4">
      <c r="A68" t="s">
        <v>2045</v>
      </c>
      <c r="B68" t="s">
        <v>595</v>
      </c>
      <c r="C68" t="s">
        <v>596</v>
      </c>
      <c r="D68" t="s">
        <v>2046</v>
      </c>
    </row>
    <row r="69" spans="1:4">
      <c r="A69" t="s">
        <v>2047</v>
      </c>
      <c r="B69" t="s">
        <v>998</v>
      </c>
      <c r="C69" t="s">
        <v>999</v>
      </c>
      <c r="D69" t="s">
        <v>1841</v>
      </c>
    </row>
    <row r="70" spans="1:4">
      <c r="A70" t="s">
        <v>2048</v>
      </c>
      <c r="B70" t="s">
        <v>247</v>
      </c>
      <c r="C70" t="s">
        <v>248</v>
      </c>
      <c r="D70" t="s">
        <v>2049</v>
      </c>
    </row>
    <row r="71" spans="1:4">
      <c r="A71" t="s">
        <v>2050</v>
      </c>
      <c r="B71" t="s">
        <v>519</v>
      </c>
      <c r="C71" t="s">
        <v>520</v>
      </c>
      <c r="D71" t="s">
        <v>2051</v>
      </c>
    </row>
    <row r="72" spans="1:4">
      <c r="A72" t="s">
        <v>2052</v>
      </c>
      <c r="B72" t="s">
        <v>1171</v>
      </c>
      <c r="C72" t="s">
        <v>126</v>
      </c>
      <c r="D72" t="s">
        <v>2053</v>
      </c>
    </row>
    <row r="73" spans="1:4">
      <c r="A73" t="s">
        <v>2054</v>
      </c>
      <c r="B73" t="s">
        <v>244</v>
      </c>
      <c r="C73" t="s">
        <v>245</v>
      </c>
      <c r="D73" t="s">
        <v>2055</v>
      </c>
    </row>
    <row r="74" spans="1:4">
      <c r="A74" t="s">
        <v>2056</v>
      </c>
      <c r="B74" t="s">
        <v>549</v>
      </c>
      <c r="C74" t="s">
        <v>551</v>
      </c>
      <c r="D74" t="s">
        <v>1973</v>
      </c>
    </row>
    <row r="75" spans="1:4">
      <c r="A75" t="s">
        <v>2057</v>
      </c>
      <c r="B75" t="s">
        <v>1098</v>
      </c>
      <c r="C75" t="s">
        <v>1099</v>
      </c>
      <c r="D75" t="s">
        <v>1781</v>
      </c>
    </row>
    <row r="76" spans="1:4">
      <c r="A76" t="s">
        <v>2058</v>
      </c>
      <c r="B76" t="s">
        <v>288</v>
      </c>
      <c r="C76" t="s">
        <v>289</v>
      </c>
      <c r="D76" t="s">
        <v>2059</v>
      </c>
    </row>
    <row r="77" spans="1:4">
      <c r="A77" t="s">
        <v>2060</v>
      </c>
      <c r="B77" t="s">
        <v>1359</v>
      </c>
      <c r="C77" t="s">
        <v>1360</v>
      </c>
      <c r="D77" t="s">
        <v>2061</v>
      </c>
    </row>
    <row r="78" spans="1:4">
      <c r="A78" t="s">
        <v>2062</v>
      </c>
      <c r="B78" t="s">
        <v>567</v>
      </c>
      <c r="C78" t="s">
        <v>568</v>
      </c>
      <c r="D78" t="s">
        <v>2063</v>
      </c>
    </row>
    <row r="79" spans="1:4">
      <c r="A79" t="s">
        <v>2064</v>
      </c>
      <c r="B79" t="s">
        <v>1068</v>
      </c>
      <c r="C79" t="s">
        <v>1069</v>
      </c>
      <c r="D79" t="s">
        <v>1929</v>
      </c>
    </row>
    <row r="80" spans="1:4">
      <c r="A80" t="s">
        <v>2065</v>
      </c>
      <c r="B80" t="s">
        <v>1252</v>
      </c>
      <c r="C80" t="s">
        <v>1253</v>
      </c>
      <c r="D80" t="s">
        <v>2066</v>
      </c>
    </row>
    <row r="81" spans="1:4">
      <c r="A81" t="s">
        <v>2067</v>
      </c>
      <c r="B81" t="s">
        <v>758</v>
      </c>
      <c r="C81" t="s">
        <v>759</v>
      </c>
      <c r="D81" t="s">
        <v>1912</v>
      </c>
    </row>
    <row r="82" spans="1:4">
      <c r="A82" t="s">
        <v>2068</v>
      </c>
      <c r="B82" t="s">
        <v>661</v>
      </c>
      <c r="C82" t="s">
        <v>662</v>
      </c>
      <c r="D82" t="s">
        <v>2069</v>
      </c>
    </row>
    <row r="83" spans="1:4">
      <c r="A83" t="s">
        <v>2070</v>
      </c>
      <c r="B83" t="s">
        <v>1471</v>
      </c>
      <c r="C83" t="s">
        <v>1472</v>
      </c>
      <c r="D83" t="s">
        <v>2071</v>
      </c>
    </row>
    <row r="84" spans="1:4">
      <c r="A84" t="s">
        <v>2072</v>
      </c>
      <c r="B84" t="s">
        <v>1160</v>
      </c>
      <c r="C84" t="s">
        <v>1161</v>
      </c>
      <c r="D84" t="s">
        <v>2073</v>
      </c>
    </row>
    <row r="85" spans="1:4">
      <c r="A85" t="s">
        <v>2074</v>
      </c>
      <c r="B85" t="s">
        <v>225</v>
      </c>
      <c r="C85" t="s">
        <v>226</v>
      </c>
      <c r="D85" t="s">
        <v>2075</v>
      </c>
    </row>
    <row r="86" spans="1:4">
      <c r="A86" t="s">
        <v>2076</v>
      </c>
      <c r="B86" t="s">
        <v>232</v>
      </c>
      <c r="C86" t="s">
        <v>234</v>
      </c>
      <c r="D86" t="s">
        <v>1900</v>
      </c>
    </row>
    <row r="87" spans="1:4">
      <c r="A87" t="s">
        <v>2077</v>
      </c>
      <c r="B87" t="s">
        <v>961</v>
      </c>
      <c r="C87" t="s">
        <v>962</v>
      </c>
      <c r="D87" t="s">
        <v>2078</v>
      </c>
    </row>
    <row r="88" spans="1:4">
      <c r="A88" t="s">
        <v>2079</v>
      </c>
      <c r="B88" t="s">
        <v>480</v>
      </c>
      <c r="C88" t="s">
        <v>481</v>
      </c>
      <c r="D88" t="s">
        <v>2080</v>
      </c>
    </row>
    <row r="89" spans="1:4">
      <c r="A89" t="s">
        <v>2081</v>
      </c>
      <c r="B89" t="s">
        <v>1126</v>
      </c>
      <c r="C89" t="s">
        <v>1127</v>
      </c>
      <c r="D89" t="s">
        <v>2082</v>
      </c>
    </row>
    <row r="90" spans="1:4">
      <c r="A90" t="s">
        <v>2083</v>
      </c>
      <c r="B90" t="s">
        <v>1318</v>
      </c>
      <c r="C90" t="s">
        <v>1319</v>
      </c>
      <c r="D90" t="s">
        <v>2084</v>
      </c>
    </row>
    <row r="91" spans="1:4">
      <c r="A91" t="s">
        <v>2085</v>
      </c>
      <c r="B91" t="s">
        <v>379</v>
      </c>
      <c r="C91" t="s">
        <v>380</v>
      </c>
      <c r="D91" t="s">
        <v>2086</v>
      </c>
    </row>
    <row r="92" spans="1:4">
      <c r="A92" t="s">
        <v>2087</v>
      </c>
      <c r="B92" t="s">
        <v>986</v>
      </c>
      <c r="C92" t="s">
        <v>987</v>
      </c>
      <c r="D92" t="s">
        <v>2088</v>
      </c>
    </row>
    <row r="93" spans="1:4">
      <c r="A93" t="s">
        <v>2089</v>
      </c>
      <c r="B93" t="s">
        <v>1091</v>
      </c>
      <c r="C93" t="s">
        <v>1092</v>
      </c>
      <c r="D93" t="s">
        <v>1916</v>
      </c>
    </row>
    <row r="94" spans="1:4">
      <c r="A94" t="s">
        <v>2090</v>
      </c>
      <c r="B94" t="s">
        <v>895</v>
      </c>
      <c r="C94" t="s">
        <v>896</v>
      </c>
      <c r="D94" t="s">
        <v>1812</v>
      </c>
    </row>
    <row r="95" spans="1:4">
      <c r="A95" t="s">
        <v>2091</v>
      </c>
      <c r="B95" t="s">
        <v>315</v>
      </c>
      <c r="C95" t="s">
        <v>316</v>
      </c>
      <c r="D95" t="s">
        <v>2092</v>
      </c>
    </row>
    <row r="96" spans="1:4">
      <c r="A96" t="s">
        <v>2093</v>
      </c>
      <c r="B96" t="s">
        <v>947</v>
      </c>
      <c r="C96" t="s">
        <v>948</v>
      </c>
      <c r="D96" t="s">
        <v>1798</v>
      </c>
    </row>
    <row r="97" spans="1:13">
      <c r="A97" t="s">
        <v>2094</v>
      </c>
      <c r="B97" t="s">
        <v>898</v>
      </c>
      <c r="C97" t="s">
        <v>899</v>
      </c>
      <c r="D97" t="s">
        <v>1812</v>
      </c>
    </row>
    <row r="98" spans="1:13">
      <c r="A98" t="s">
        <v>2095</v>
      </c>
      <c r="B98" t="s">
        <v>1032</v>
      </c>
      <c r="C98" t="s">
        <v>1033</v>
      </c>
      <c r="D98" t="s">
        <v>1996</v>
      </c>
    </row>
    <row r="99" spans="1:13">
      <c r="A99" t="s">
        <v>2096</v>
      </c>
      <c r="B99" t="s">
        <v>634</v>
      </c>
      <c r="C99" t="s">
        <v>635</v>
      </c>
      <c r="D99" t="s">
        <v>1998</v>
      </c>
    </row>
    <row r="100" spans="1:13">
      <c r="A100" t="s">
        <v>2097</v>
      </c>
      <c r="B100" t="s">
        <v>423</v>
      </c>
      <c r="C100" t="s">
        <v>424</v>
      </c>
      <c r="D100" t="s">
        <v>2098</v>
      </c>
    </row>
    <row r="101" spans="1:13">
      <c r="A101" t="s">
        <v>2099</v>
      </c>
      <c r="B101" t="s">
        <v>746</v>
      </c>
      <c r="C101" t="s">
        <v>747</v>
      </c>
      <c r="D101" t="s">
        <v>2100</v>
      </c>
    </row>
    <row r="102" spans="1:13">
      <c r="A102" t="s">
        <v>2101</v>
      </c>
      <c r="B102" t="s">
        <v>790</v>
      </c>
      <c r="C102" t="s">
        <v>791</v>
      </c>
      <c r="D102" t="s">
        <v>2102</v>
      </c>
    </row>
    <row r="103" spans="1:13">
      <c r="E103" t="s">
        <v>2786</v>
      </c>
      <c r="F103" t="s">
        <v>2787</v>
      </c>
      <c r="G103" t="s">
        <v>117</v>
      </c>
      <c r="H103" t="s">
        <v>160</v>
      </c>
      <c r="I103" t="s">
        <v>797</v>
      </c>
      <c r="J103" t="s">
        <v>2788</v>
      </c>
      <c r="K103" t="s">
        <v>2789</v>
      </c>
      <c r="L103" t="s">
        <v>126</v>
      </c>
    </row>
    <row r="104" spans="1:13">
      <c r="E104" t="s">
        <v>1665</v>
      </c>
      <c r="F104" t="s">
        <v>970</v>
      </c>
      <c r="G104" t="s">
        <v>113</v>
      </c>
      <c r="H104" t="s">
        <v>154</v>
      </c>
      <c r="I104" t="s">
        <v>511</v>
      </c>
      <c r="J104" t="s">
        <v>971</v>
      </c>
      <c r="K104" t="s">
        <v>1666</v>
      </c>
      <c r="L104" t="s">
        <v>27</v>
      </c>
    </row>
    <row r="105" spans="1:13">
      <c r="E105" t="s">
        <v>1667</v>
      </c>
      <c r="F105" t="s">
        <v>1458</v>
      </c>
      <c r="G105" t="s">
        <v>117</v>
      </c>
      <c r="H105" t="s">
        <v>42</v>
      </c>
      <c r="I105" t="s">
        <v>84</v>
      </c>
      <c r="J105" t="s">
        <v>1459</v>
      </c>
      <c r="K105" t="s">
        <v>1668</v>
      </c>
      <c r="L105" t="s">
        <v>27</v>
      </c>
    </row>
    <row r="106" spans="1:13">
      <c r="E106" t="s">
        <v>1669</v>
      </c>
      <c r="F106" t="s">
        <v>510</v>
      </c>
      <c r="G106" t="s">
        <v>43</v>
      </c>
      <c r="H106" t="s">
        <v>511</v>
      </c>
      <c r="I106" t="s">
        <v>204</v>
      </c>
      <c r="J106" t="s">
        <v>512</v>
      </c>
      <c r="K106" t="s">
        <v>1670</v>
      </c>
      <c r="L106" t="s">
        <v>27</v>
      </c>
    </row>
    <row r="107" spans="1:13">
      <c r="E107" t="s">
        <v>1671</v>
      </c>
      <c r="F107" t="s">
        <v>334</v>
      </c>
      <c r="G107" t="s">
        <v>43</v>
      </c>
      <c r="H107" t="s">
        <v>84</v>
      </c>
      <c r="I107" t="s">
        <v>126</v>
      </c>
      <c r="J107" t="s">
        <v>335</v>
      </c>
      <c r="K107" t="s">
        <v>1672</v>
      </c>
      <c r="L107" t="s">
        <v>27</v>
      </c>
    </row>
    <row r="108" spans="1:13">
      <c r="E108" t="s">
        <v>1673</v>
      </c>
      <c r="F108" t="s">
        <v>1336</v>
      </c>
      <c r="G108" t="s">
        <v>139</v>
      </c>
      <c r="H108" t="s">
        <v>117</v>
      </c>
      <c r="I108" t="s">
        <v>209</v>
      </c>
      <c r="J108" t="s">
        <v>1337</v>
      </c>
      <c r="K108" t="s">
        <v>1674</v>
      </c>
      <c r="L108" t="s">
        <v>27</v>
      </c>
    </row>
    <row r="109" spans="1:13">
      <c r="E109" t="s">
        <v>1675</v>
      </c>
      <c r="F109" t="s">
        <v>1259</v>
      </c>
      <c r="G109" t="s">
        <v>117</v>
      </c>
      <c r="H109" t="s">
        <v>42</v>
      </c>
      <c r="I109" t="s">
        <v>160</v>
      </c>
      <c r="J109" t="s">
        <v>1260</v>
      </c>
      <c r="K109" t="s">
        <v>1676</v>
      </c>
      <c r="L109" t="s">
        <v>27</v>
      </c>
    </row>
    <row r="110" spans="1:13">
      <c r="E110" t="s">
        <v>1677</v>
      </c>
      <c r="F110" t="s">
        <v>285</v>
      </c>
      <c r="G110" t="s">
        <v>113</v>
      </c>
      <c r="H110" t="s">
        <v>139</v>
      </c>
      <c r="I110" t="s">
        <v>44</v>
      </c>
      <c r="J110" t="s">
        <v>286</v>
      </c>
      <c r="K110" t="s">
        <v>1678</v>
      </c>
      <c r="L110" t="s">
        <v>27</v>
      </c>
      <c r="M110">
        <v>1</v>
      </c>
    </row>
    <row r="111" spans="1:13">
      <c r="E111" t="s">
        <v>1679</v>
      </c>
      <c r="F111" t="s">
        <v>1056</v>
      </c>
      <c r="G111" t="s">
        <v>113</v>
      </c>
      <c r="H111" t="s">
        <v>139</v>
      </c>
      <c r="I111" t="s">
        <v>126</v>
      </c>
      <c r="J111" t="s">
        <v>1057</v>
      </c>
      <c r="K111" t="s">
        <v>1680</v>
      </c>
      <c r="L111" t="s">
        <v>27</v>
      </c>
    </row>
    <row r="112" spans="1:13">
      <c r="E112" t="s">
        <v>1681</v>
      </c>
      <c r="F112" t="s">
        <v>275</v>
      </c>
      <c r="G112" t="s">
        <v>113</v>
      </c>
      <c r="H112" t="s">
        <v>272</v>
      </c>
      <c r="I112" t="s">
        <v>217</v>
      </c>
      <c r="J112" t="s">
        <v>276</v>
      </c>
      <c r="K112" t="s">
        <v>1682</v>
      </c>
      <c r="L112" t="s">
        <v>27</v>
      </c>
    </row>
    <row r="113" spans="5:13">
      <c r="E113" t="s">
        <v>1683</v>
      </c>
      <c r="F113" t="s">
        <v>1453</v>
      </c>
      <c r="G113" t="s">
        <v>117</v>
      </c>
      <c r="H113" t="s">
        <v>42</v>
      </c>
      <c r="I113" t="s">
        <v>63</v>
      </c>
      <c r="J113" t="s">
        <v>1454</v>
      </c>
      <c r="K113" t="s">
        <v>1684</v>
      </c>
      <c r="L113" t="s">
        <v>27</v>
      </c>
      <c r="M113">
        <v>1</v>
      </c>
    </row>
    <row r="114" spans="5:13">
      <c r="E114" t="s">
        <v>1685</v>
      </c>
      <c r="F114" t="s">
        <v>168</v>
      </c>
      <c r="G114" t="s">
        <v>113</v>
      </c>
      <c r="H114" t="s">
        <v>44</v>
      </c>
      <c r="I114" t="s">
        <v>126</v>
      </c>
      <c r="J114" t="s">
        <v>169</v>
      </c>
      <c r="K114" t="s">
        <v>1686</v>
      </c>
      <c r="L114" t="s">
        <v>27</v>
      </c>
    </row>
    <row r="115" spans="5:13">
      <c r="E115" t="s">
        <v>1687</v>
      </c>
      <c r="F115" t="s">
        <v>131</v>
      </c>
      <c r="G115" t="s">
        <v>44</v>
      </c>
      <c r="H115" t="s">
        <v>126</v>
      </c>
      <c r="I115" t="s">
        <v>126</v>
      </c>
      <c r="J115" t="s">
        <v>132</v>
      </c>
      <c r="K115" t="s">
        <v>1688</v>
      </c>
      <c r="L115" t="s">
        <v>27</v>
      </c>
    </row>
    <row r="116" spans="5:13">
      <c r="E116" t="s">
        <v>1689</v>
      </c>
      <c r="F116" t="s">
        <v>727</v>
      </c>
      <c r="G116" t="s">
        <v>233</v>
      </c>
      <c r="H116" t="s">
        <v>84</v>
      </c>
      <c r="I116" t="s">
        <v>126</v>
      </c>
      <c r="J116" t="s">
        <v>728</v>
      </c>
      <c r="K116" t="s">
        <v>1690</v>
      </c>
      <c r="L116" t="s">
        <v>27</v>
      </c>
    </row>
    <row r="117" spans="5:13">
      <c r="E117" t="s">
        <v>1691</v>
      </c>
      <c r="F117" t="s">
        <v>1584</v>
      </c>
      <c r="G117" t="s">
        <v>117</v>
      </c>
      <c r="H117" t="s">
        <v>126</v>
      </c>
      <c r="I117" t="s">
        <v>126</v>
      </c>
      <c r="J117" t="s">
        <v>1585</v>
      </c>
      <c r="K117" t="s">
        <v>1692</v>
      </c>
      <c r="L117" t="s">
        <v>27</v>
      </c>
    </row>
    <row r="118" spans="5:13">
      <c r="E118" t="s">
        <v>1693</v>
      </c>
      <c r="F118" t="s">
        <v>796</v>
      </c>
      <c r="G118" t="s">
        <v>113</v>
      </c>
      <c r="H118" t="s">
        <v>117</v>
      </c>
      <c r="I118" t="s">
        <v>797</v>
      </c>
      <c r="J118" t="s">
        <v>798</v>
      </c>
      <c r="K118" t="s">
        <v>1694</v>
      </c>
      <c r="L118" t="s">
        <v>27</v>
      </c>
    </row>
    <row r="119" spans="5:13">
      <c r="E119" t="s">
        <v>1695</v>
      </c>
      <c r="F119" t="s">
        <v>884</v>
      </c>
      <c r="G119" t="s">
        <v>139</v>
      </c>
      <c r="H119" t="s">
        <v>117</v>
      </c>
      <c r="I119" t="s">
        <v>209</v>
      </c>
      <c r="J119" t="s">
        <v>885</v>
      </c>
      <c r="K119" t="s">
        <v>1696</v>
      </c>
      <c r="L119" t="s">
        <v>27</v>
      </c>
    </row>
    <row r="120" spans="5:13">
      <c r="E120" t="s">
        <v>1697</v>
      </c>
      <c r="F120" t="s">
        <v>802</v>
      </c>
      <c r="G120" t="s">
        <v>113</v>
      </c>
      <c r="H120" t="s">
        <v>160</v>
      </c>
      <c r="I120" t="s">
        <v>191</v>
      </c>
      <c r="J120" t="s">
        <v>803</v>
      </c>
      <c r="K120" t="s">
        <v>1698</v>
      </c>
      <c r="L120" t="s">
        <v>27</v>
      </c>
    </row>
    <row r="121" spans="5:13">
      <c r="E121" t="s">
        <v>1699</v>
      </c>
      <c r="F121" t="s">
        <v>598</v>
      </c>
      <c r="G121" t="s">
        <v>113</v>
      </c>
      <c r="H121" t="s">
        <v>42</v>
      </c>
      <c r="I121" t="s">
        <v>160</v>
      </c>
      <c r="J121" t="s">
        <v>599</v>
      </c>
      <c r="K121" t="s">
        <v>1700</v>
      </c>
      <c r="L121" t="s">
        <v>27</v>
      </c>
      <c r="M121">
        <v>2</v>
      </c>
    </row>
    <row r="122" spans="5:13">
      <c r="E122" t="s">
        <v>1701</v>
      </c>
      <c r="F122" t="s">
        <v>1021</v>
      </c>
      <c r="G122" t="s">
        <v>117</v>
      </c>
      <c r="H122" t="s">
        <v>42</v>
      </c>
      <c r="I122" t="s">
        <v>126</v>
      </c>
      <c r="J122" t="s">
        <v>1022</v>
      </c>
      <c r="K122" t="s">
        <v>1702</v>
      </c>
      <c r="L122" t="s">
        <v>27</v>
      </c>
    </row>
    <row r="123" spans="5:13">
      <c r="E123" t="s">
        <v>1703</v>
      </c>
      <c r="F123" t="s">
        <v>716</v>
      </c>
      <c r="G123" t="s">
        <v>117</v>
      </c>
      <c r="H123" t="s">
        <v>42</v>
      </c>
      <c r="I123" t="s">
        <v>126</v>
      </c>
      <c r="J123" t="s">
        <v>717</v>
      </c>
      <c r="K123" t="s">
        <v>1704</v>
      </c>
      <c r="L123" t="s">
        <v>27</v>
      </c>
    </row>
    <row r="124" spans="5:13">
      <c r="E124" t="s">
        <v>1705</v>
      </c>
      <c r="F124" t="s">
        <v>682</v>
      </c>
      <c r="G124" t="s">
        <v>113</v>
      </c>
      <c r="H124" t="s">
        <v>42</v>
      </c>
      <c r="I124" t="s">
        <v>126</v>
      </c>
      <c r="J124" t="s">
        <v>683</v>
      </c>
      <c r="K124" t="s">
        <v>1706</v>
      </c>
      <c r="L124" t="s">
        <v>27</v>
      </c>
    </row>
    <row r="125" spans="5:13">
      <c r="E125" t="s">
        <v>1707</v>
      </c>
      <c r="F125" t="s">
        <v>1049</v>
      </c>
      <c r="G125" t="s">
        <v>42</v>
      </c>
      <c r="H125" t="s">
        <v>135</v>
      </c>
      <c r="I125" t="s">
        <v>204</v>
      </c>
      <c r="J125" t="s">
        <v>1050</v>
      </c>
      <c r="K125" t="s">
        <v>1708</v>
      </c>
      <c r="L125" t="s">
        <v>27</v>
      </c>
    </row>
    <row r="126" spans="5:13">
      <c r="E126" t="s">
        <v>1709</v>
      </c>
      <c r="F126" t="s">
        <v>1496</v>
      </c>
      <c r="G126" t="s">
        <v>139</v>
      </c>
      <c r="H126" t="s">
        <v>117</v>
      </c>
      <c r="I126" t="s">
        <v>44</v>
      </c>
      <c r="J126" t="s">
        <v>1497</v>
      </c>
      <c r="K126" t="s">
        <v>1710</v>
      </c>
      <c r="L126" t="s">
        <v>27</v>
      </c>
      <c r="M126">
        <v>1</v>
      </c>
    </row>
    <row r="127" spans="5:13">
      <c r="E127" t="s">
        <v>1711</v>
      </c>
      <c r="F127" t="s">
        <v>1012</v>
      </c>
      <c r="G127" t="s">
        <v>139</v>
      </c>
      <c r="H127" t="s">
        <v>117</v>
      </c>
      <c r="I127" t="s">
        <v>176</v>
      </c>
      <c r="J127" t="s">
        <v>1013</v>
      </c>
      <c r="K127" t="s">
        <v>1712</v>
      </c>
      <c r="L127" t="s">
        <v>27</v>
      </c>
    </row>
    <row r="128" spans="5:13">
      <c r="E128" t="s">
        <v>1713</v>
      </c>
      <c r="F128" t="s">
        <v>1287</v>
      </c>
      <c r="G128" t="s">
        <v>117</v>
      </c>
      <c r="H128" t="s">
        <v>42</v>
      </c>
      <c r="I128" t="s">
        <v>126</v>
      </c>
      <c r="J128" t="s">
        <v>1288</v>
      </c>
      <c r="K128" t="s">
        <v>1714</v>
      </c>
      <c r="L128" t="s">
        <v>27</v>
      </c>
    </row>
    <row r="129" spans="5:13">
      <c r="E129" t="s">
        <v>1715</v>
      </c>
      <c r="F129" t="s">
        <v>903</v>
      </c>
      <c r="G129" t="s">
        <v>113</v>
      </c>
      <c r="H129" t="s">
        <v>63</v>
      </c>
      <c r="I129" t="s">
        <v>126</v>
      </c>
      <c r="J129" t="s">
        <v>904</v>
      </c>
      <c r="K129" t="s">
        <v>1716</v>
      </c>
      <c r="L129" t="s">
        <v>27</v>
      </c>
    </row>
    <row r="130" spans="5:13">
      <c r="E130" t="s">
        <v>1717</v>
      </c>
      <c r="F130" t="s">
        <v>601</v>
      </c>
      <c r="G130" t="s">
        <v>113</v>
      </c>
      <c r="H130" t="s">
        <v>139</v>
      </c>
      <c r="I130" t="s">
        <v>117</v>
      </c>
      <c r="J130" t="s">
        <v>602</v>
      </c>
      <c r="K130" t="s">
        <v>1700</v>
      </c>
      <c r="L130" t="s">
        <v>27</v>
      </c>
      <c r="M130">
        <v>4</v>
      </c>
    </row>
    <row r="131" spans="5:13">
      <c r="E131" t="s">
        <v>1718</v>
      </c>
      <c r="F131" t="s">
        <v>1474</v>
      </c>
      <c r="G131" t="s">
        <v>113</v>
      </c>
      <c r="H131" t="s">
        <v>139</v>
      </c>
      <c r="I131" t="s">
        <v>233</v>
      </c>
      <c r="J131" t="s">
        <v>1475</v>
      </c>
      <c r="K131" t="s">
        <v>1719</v>
      </c>
      <c r="L131" t="s">
        <v>27</v>
      </c>
      <c r="M131">
        <v>1</v>
      </c>
    </row>
    <row r="132" spans="5:13">
      <c r="E132" t="s">
        <v>1720</v>
      </c>
      <c r="F132" t="s">
        <v>912</v>
      </c>
      <c r="G132" t="s">
        <v>113</v>
      </c>
      <c r="H132" t="s">
        <v>154</v>
      </c>
      <c r="I132" t="s">
        <v>126</v>
      </c>
      <c r="J132" t="s">
        <v>913</v>
      </c>
      <c r="K132" t="s">
        <v>1721</v>
      </c>
      <c r="L132" t="s">
        <v>27</v>
      </c>
    </row>
    <row r="133" spans="5:13">
      <c r="E133" t="s">
        <v>1722</v>
      </c>
      <c r="F133" t="s">
        <v>1723</v>
      </c>
      <c r="G133" t="s">
        <v>113</v>
      </c>
      <c r="H133" t="s">
        <v>797</v>
      </c>
      <c r="I133" t="s">
        <v>1081</v>
      </c>
      <c r="J133" t="s">
        <v>126</v>
      </c>
      <c r="K133" t="s">
        <v>1666</v>
      </c>
      <c r="L133" t="s">
        <v>27</v>
      </c>
    </row>
    <row r="134" spans="5:13">
      <c r="E134" t="s">
        <v>1724</v>
      </c>
      <c r="F134" t="s">
        <v>1142</v>
      </c>
      <c r="G134" t="s">
        <v>113</v>
      </c>
      <c r="H134" t="s">
        <v>42</v>
      </c>
      <c r="I134" t="s">
        <v>65</v>
      </c>
      <c r="J134" t="s">
        <v>1143</v>
      </c>
      <c r="K134" t="s">
        <v>1725</v>
      </c>
      <c r="L134" t="s">
        <v>27</v>
      </c>
    </row>
    <row r="135" spans="5:13">
      <c r="E135" t="s">
        <v>1726</v>
      </c>
      <c r="F135" t="s">
        <v>488</v>
      </c>
      <c r="G135" t="s">
        <v>125</v>
      </c>
      <c r="H135" t="s">
        <v>126</v>
      </c>
      <c r="I135" t="s">
        <v>126</v>
      </c>
      <c r="J135" t="s">
        <v>489</v>
      </c>
      <c r="K135" t="s">
        <v>1727</v>
      </c>
      <c r="L135" t="s">
        <v>27</v>
      </c>
    </row>
    <row r="136" spans="5:13">
      <c r="E136" t="s">
        <v>1728</v>
      </c>
      <c r="F136" t="s">
        <v>835</v>
      </c>
      <c r="G136" t="s">
        <v>113</v>
      </c>
      <c r="H136" t="s">
        <v>42</v>
      </c>
      <c r="I136" t="s">
        <v>126</v>
      </c>
      <c r="J136" t="s">
        <v>836</v>
      </c>
      <c r="K136" t="s">
        <v>1729</v>
      </c>
      <c r="L136" t="s">
        <v>27</v>
      </c>
    </row>
    <row r="137" spans="5:13">
      <c r="E137" t="s">
        <v>1730</v>
      </c>
      <c r="F137" t="s">
        <v>1203</v>
      </c>
      <c r="G137" t="s">
        <v>113</v>
      </c>
      <c r="H137" t="s">
        <v>117</v>
      </c>
      <c r="I137" t="s">
        <v>44</v>
      </c>
      <c r="J137" t="s">
        <v>1204</v>
      </c>
      <c r="K137" t="s">
        <v>1731</v>
      </c>
      <c r="L137" t="s">
        <v>27</v>
      </c>
      <c r="M137">
        <v>2</v>
      </c>
    </row>
    <row r="138" spans="5:13">
      <c r="E138" t="s">
        <v>1732</v>
      </c>
      <c r="F138" t="s">
        <v>1077</v>
      </c>
      <c r="G138" t="s">
        <v>117</v>
      </c>
      <c r="H138" t="s">
        <v>647</v>
      </c>
      <c r="I138" t="s">
        <v>768</v>
      </c>
      <c r="J138" t="s">
        <v>1078</v>
      </c>
      <c r="K138" t="s">
        <v>1733</v>
      </c>
      <c r="L138" t="s">
        <v>27</v>
      </c>
      <c r="M138">
        <v>1</v>
      </c>
    </row>
    <row r="139" spans="5:13">
      <c r="E139" t="s">
        <v>1734</v>
      </c>
      <c r="F139" t="s">
        <v>937</v>
      </c>
      <c r="G139" t="s">
        <v>113</v>
      </c>
      <c r="H139" t="s">
        <v>511</v>
      </c>
      <c r="I139" t="s">
        <v>938</v>
      </c>
      <c r="J139" t="s">
        <v>939</v>
      </c>
      <c r="K139" t="s">
        <v>1735</v>
      </c>
      <c r="L139" t="s">
        <v>27</v>
      </c>
    </row>
    <row r="140" spans="5:13">
      <c r="E140" t="s">
        <v>1736</v>
      </c>
      <c r="F140" t="s">
        <v>1550</v>
      </c>
      <c r="G140" t="s">
        <v>113</v>
      </c>
      <c r="H140" t="s">
        <v>209</v>
      </c>
      <c r="I140" t="s">
        <v>172</v>
      </c>
      <c r="J140" t="s">
        <v>1551</v>
      </c>
      <c r="K140" t="s">
        <v>1737</v>
      </c>
      <c r="L140" t="s">
        <v>27</v>
      </c>
      <c r="M140">
        <v>2</v>
      </c>
    </row>
    <row r="141" spans="5:13">
      <c r="E141" t="s">
        <v>1738</v>
      </c>
      <c r="F141" t="s">
        <v>878</v>
      </c>
      <c r="G141" t="s">
        <v>233</v>
      </c>
      <c r="H141" t="s">
        <v>117</v>
      </c>
      <c r="I141" t="s">
        <v>160</v>
      </c>
      <c r="J141" t="s">
        <v>879</v>
      </c>
      <c r="K141" t="s">
        <v>1739</v>
      </c>
      <c r="L141" t="s">
        <v>27</v>
      </c>
      <c r="M141">
        <v>1</v>
      </c>
    </row>
    <row r="142" spans="5:13">
      <c r="E142" t="s">
        <v>1740</v>
      </c>
      <c r="F142" t="s">
        <v>1262</v>
      </c>
      <c r="G142" t="s">
        <v>233</v>
      </c>
      <c r="H142" t="s">
        <v>42</v>
      </c>
      <c r="I142" t="s">
        <v>84</v>
      </c>
      <c r="J142" t="s">
        <v>1263</v>
      </c>
      <c r="K142" t="s">
        <v>1676</v>
      </c>
      <c r="L142" t="s">
        <v>27</v>
      </c>
    </row>
    <row r="143" spans="5:13">
      <c r="E143" t="s">
        <v>1741</v>
      </c>
      <c r="F143" t="s">
        <v>779</v>
      </c>
      <c r="G143" t="s">
        <v>113</v>
      </c>
      <c r="H143" t="s">
        <v>208</v>
      </c>
      <c r="I143" t="s">
        <v>209</v>
      </c>
      <c r="J143" t="s">
        <v>780</v>
      </c>
      <c r="K143" t="s">
        <v>1742</v>
      </c>
      <c r="L143" t="s">
        <v>27</v>
      </c>
      <c r="M143">
        <v>2</v>
      </c>
    </row>
    <row r="144" spans="5:13">
      <c r="E144" t="s">
        <v>1743</v>
      </c>
      <c r="F144" t="s">
        <v>1744</v>
      </c>
      <c r="G144" t="s">
        <v>113</v>
      </c>
      <c r="H144" t="s">
        <v>117</v>
      </c>
      <c r="I144" t="s">
        <v>84</v>
      </c>
      <c r="J144" t="s">
        <v>126</v>
      </c>
      <c r="K144" t="s">
        <v>1745</v>
      </c>
      <c r="L144" t="s">
        <v>27</v>
      </c>
    </row>
    <row r="145" spans="5:13">
      <c r="E145" t="s">
        <v>1746</v>
      </c>
      <c r="F145" t="s">
        <v>1208</v>
      </c>
      <c r="G145" t="s">
        <v>125</v>
      </c>
      <c r="H145" t="s">
        <v>126</v>
      </c>
      <c r="I145" t="s">
        <v>126</v>
      </c>
      <c r="J145" t="s">
        <v>1209</v>
      </c>
      <c r="K145" t="s">
        <v>1747</v>
      </c>
      <c r="L145" t="s">
        <v>27</v>
      </c>
    </row>
    <row r="146" spans="5:13">
      <c r="E146" t="s">
        <v>1748</v>
      </c>
      <c r="F146" t="s">
        <v>1749</v>
      </c>
      <c r="G146" t="s">
        <v>113</v>
      </c>
      <c r="H146" t="s">
        <v>42</v>
      </c>
      <c r="I146" t="s">
        <v>126</v>
      </c>
      <c r="J146" t="s">
        <v>1750</v>
      </c>
      <c r="K146" t="s">
        <v>1751</v>
      </c>
      <c r="L146" t="s">
        <v>27</v>
      </c>
    </row>
    <row r="147" spans="5:13">
      <c r="E147" t="s">
        <v>1752</v>
      </c>
      <c r="F147" t="s">
        <v>1753</v>
      </c>
      <c r="G147" t="s">
        <v>113</v>
      </c>
      <c r="H147" t="s">
        <v>117</v>
      </c>
      <c r="I147" t="s">
        <v>136</v>
      </c>
      <c r="J147" t="s">
        <v>1754</v>
      </c>
      <c r="K147" t="s">
        <v>1755</v>
      </c>
      <c r="L147" t="s">
        <v>27</v>
      </c>
      <c r="M147">
        <v>3</v>
      </c>
    </row>
    <row r="148" spans="5:13">
      <c r="E148" t="s">
        <v>1756</v>
      </c>
      <c r="F148" t="s">
        <v>1757</v>
      </c>
      <c r="G148" t="s">
        <v>272</v>
      </c>
      <c r="H148" t="s">
        <v>160</v>
      </c>
      <c r="I148" t="s">
        <v>135</v>
      </c>
      <c r="J148" t="s">
        <v>1758</v>
      </c>
      <c r="K148" t="s">
        <v>1759</v>
      </c>
      <c r="L148" t="s">
        <v>27</v>
      </c>
      <c r="M148">
        <v>4</v>
      </c>
    </row>
    <row r="149" spans="5:13">
      <c r="E149" t="s">
        <v>1760</v>
      </c>
      <c r="F149" t="s">
        <v>1311</v>
      </c>
      <c r="G149" t="s">
        <v>233</v>
      </c>
      <c r="H149" t="s">
        <v>117</v>
      </c>
      <c r="I149" t="s">
        <v>84</v>
      </c>
      <c r="J149" t="s">
        <v>1312</v>
      </c>
      <c r="K149" t="s">
        <v>1761</v>
      </c>
      <c r="L149" t="s">
        <v>27</v>
      </c>
    </row>
    <row r="150" spans="5:13">
      <c r="E150" t="s">
        <v>1762</v>
      </c>
      <c r="F150" t="s">
        <v>1046</v>
      </c>
      <c r="G150" t="s">
        <v>233</v>
      </c>
      <c r="H150" t="s">
        <v>117</v>
      </c>
      <c r="I150" t="s">
        <v>44</v>
      </c>
      <c r="J150" t="s">
        <v>1047</v>
      </c>
      <c r="K150" t="s">
        <v>1763</v>
      </c>
      <c r="L150" t="s">
        <v>27</v>
      </c>
    </row>
    <row r="151" spans="5:13">
      <c r="E151" t="s">
        <v>1764</v>
      </c>
      <c r="F151" t="s">
        <v>588</v>
      </c>
      <c r="G151" t="s">
        <v>272</v>
      </c>
      <c r="H151" t="s">
        <v>155</v>
      </c>
      <c r="I151" t="s">
        <v>172</v>
      </c>
      <c r="J151" t="s">
        <v>589</v>
      </c>
      <c r="K151" t="s">
        <v>1765</v>
      </c>
      <c r="L151" t="s">
        <v>27</v>
      </c>
      <c r="M151">
        <v>2</v>
      </c>
    </row>
    <row r="152" spans="5:13">
      <c r="E152" t="s">
        <v>1766</v>
      </c>
      <c r="F152" t="s">
        <v>1767</v>
      </c>
      <c r="G152" t="s">
        <v>113</v>
      </c>
      <c r="H152" t="s">
        <v>233</v>
      </c>
      <c r="I152" t="s">
        <v>172</v>
      </c>
      <c r="J152" t="s">
        <v>1768</v>
      </c>
      <c r="K152" t="s">
        <v>1769</v>
      </c>
      <c r="L152" t="s">
        <v>27</v>
      </c>
      <c r="M152">
        <v>1</v>
      </c>
    </row>
    <row r="153" spans="5:13">
      <c r="E153" t="s">
        <v>1770</v>
      </c>
      <c r="F153" t="s">
        <v>428</v>
      </c>
      <c r="G153" t="s">
        <v>117</v>
      </c>
      <c r="H153" t="s">
        <v>135</v>
      </c>
      <c r="I153" t="s">
        <v>136</v>
      </c>
      <c r="J153" t="s">
        <v>429</v>
      </c>
      <c r="K153" t="s">
        <v>1771</v>
      </c>
      <c r="L153" t="s">
        <v>27</v>
      </c>
      <c r="M153">
        <v>3</v>
      </c>
    </row>
    <row r="154" spans="5:13">
      <c r="E154" t="s">
        <v>1772</v>
      </c>
      <c r="F154" t="s">
        <v>735</v>
      </c>
      <c r="G154" t="s">
        <v>117</v>
      </c>
      <c r="H154" t="s">
        <v>44</v>
      </c>
      <c r="I154" t="s">
        <v>176</v>
      </c>
      <c r="J154" t="s">
        <v>736</v>
      </c>
      <c r="K154" t="s">
        <v>1773</v>
      </c>
      <c r="L154" t="s">
        <v>27</v>
      </c>
    </row>
    <row r="155" spans="5:13">
      <c r="E155" t="s">
        <v>1774</v>
      </c>
      <c r="F155" t="s">
        <v>1775</v>
      </c>
      <c r="G155" t="s">
        <v>113</v>
      </c>
      <c r="H155" t="s">
        <v>154</v>
      </c>
      <c r="I155" t="s">
        <v>136</v>
      </c>
      <c r="J155" t="s">
        <v>1776</v>
      </c>
      <c r="K155" t="s">
        <v>1777</v>
      </c>
      <c r="L155" t="s">
        <v>27</v>
      </c>
      <c r="M155">
        <v>2</v>
      </c>
    </row>
    <row r="156" spans="5:13">
      <c r="E156" t="s">
        <v>1778</v>
      </c>
      <c r="F156" t="s">
        <v>1779</v>
      </c>
      <c r="G156" t="s">
        <v>113</v>
      </c>
      <c r="H156" t="s">
        <v>139</v>
      </c>
      <c r="I156" t="s">
        <v>180</v>
      </c>
      <c r="J156" t="s">
        <v>1780</v>
      </c>
      <c r="K156" t="s">
        <v>1781</v>
      </c>
      <c r="L156" t="s">
        <v>27</v>
      </c>
    </row>
    <row r="157" spans="5:13">
      <c r="E157" t="s">
        <v>1782</v>
      </c>
      <c r="F157" t="s">
        <v>368</v>
      </c>
      <c r="G157" t="s">
        <v>113</v>
      </c>
      <c r="H157" t="s">
        <v>42</v>
      </c>
      <c r="I157" t="s">
        <v>126</v>
      </c>
      <c r="J157" t="s">
        <v>369</v>
      </c>
      <c r="K157" t="s">
        <v>1783</v>
      </c>
      <c r="L157" t="s">
        <v>27</v>
      </c>
    </row>
    <row r="158" spans="5:13">
      <c r="E158" t="s">
        <v>1784</v>
      </c>
      <c r="F158" t="s">
        <v>973</v>
      </c>
      <c r="G158" t="s">
        <v>113</v>
      </c>
      <c r="H158" t="s">
        <v>154</v>
      </c>
      <c r="I158" t="s">
        <v>511</v>
      </c>
      <c r="J158" t="s">
        <v>974</v>
      </c>
      <c r="K158" t="s">
        <v>1666</v>
      </c>
      <c r="L158" t="s">
        <v>27</v>
      </c>
      <c r="M158">
        <v>4</v>
      </c>
    </row>
    <row r="159" spans="5:13">
      <c r="E159" t="s">
        <v>1785</v>
      </c>
      <c r="F159" t="s">
        <v>1786</v>
      </c>
      <c r="G159" t="s">
        <v>113</v>
      </c>
      <c r="H159" t="s">
        <v>176</v>
      </c>
      <c r="I159" t="s">
        <v>65</v>
      </c>
      <c r="J159" t="s">
        <v>1787</v>
      </c>
      <c r="K159" t="s">
        <v>1788</v>
      </c>
      <c r="L159" t="s">
        <v>27</v>
      </c>
    </row>
    <row r="160" spans="5:13">
      <c r="E160" t="s">
        <v>1789</v>
      </c>
      <c r="F160" t="s">
        <v>1388</v>
      </c>
      <c r="G160" t="s">
        <v>113</v>
      </c>
      <c r="H160" t="s">
        <v>272</v>
      </c>
      <c r="I160" t="s">
        <v>160</v>
      </c>
      <c r="J160" t="s">
        <v>126</v>
      </c>
      <c r="K160" t="s">
        <v>1790</v>
      </c>
      <c r="L160" t="s">
        <v>27</v>
      </c>
      <c r="M160">
        <v>2</v>
      </c>
    </row>
    <row r="161" spans="5:13">
      <c r="E161" t="s">
        <v>1791</v>
      </c>
      <c r="F161" t="s">
        <v>1221</v>
      </c>
      <c r="G161" t="s">
        <v>113</v>
      </c>
      <c r="H161" t="s">
        <v>154</v>
      </c>
      <c r="I161" t="s">
        <v>511</v>
      </c>
      <c r="J161" t="s">
        <v>126</v>
      </c>
      <c r="K161" t="s">
        <v>1792</v>
      </c>
      <c r="L161" t="s">
        <v>27</v>
      </c>
      <c r="M161">
        <v>4</v>
      </c>
    </row>
    <row r="162" spans="5:13">
      <c r="E162" t="s">
        <v>1793</v>
      </c>
      <c r="F162" t="s">
        <v>538</v>
      </c>
      <c r="G162" t="s">
        <v>113</v>
      </c>
      <c r="H162" t="s">
        <v>42</v>
      </c>
      <c r="I162" t="s">
        <v>451</v>
      </c>
      <c r="J162" t="s">
        <v>539</v>
      </c>
      <c r="K162" t="s">
        <v>1794</v>
      </c>
      <c r="L162" t="s">
        <v>27</v>
      </c>
    </row>
    <row r="163" spans="5:13">
      <c r="E163" t="s">
        <v>1795</v>
      </c>
      <c r="F163" t="s">
        <v>575</v>
      </c>
      <c r="G163" t="s">
        <v>113</v>
      </c>
      <c r="H163" t="s">
        <v>63</v>
      </c>
      <c r="I163" t="s">
        <v>126</v>
      </c>
      <c r="J163" t="s">
        <v>576</v>
      </c>
      <c r="K163" t="s">
        <v>1796</v>
      </c>
      <c r="L163" t="s">
        <v>27</v>
      </c>
    </row>
    <row r="164" spans="5:13">
      <c r="E164" t="s">
        <v>1797</v>
      </c>
      <c r="F164" t="s">
        <v>945</v>
      </c>
      <c r="G164" t="s">
        <v>136</v>
      </c>
      <c r="H164" t="s">
        <v>121</v>
      </c>
      <c r="I164" t="s">
        <v>229</v>
      </c>
      <c r="J164" t="s">
        <v>126</v>
      </c>
      <c r="K164" t="s">
        <v>1798</v>
      </c>
      <c r="L164" t="s">
        <v>27</v>
      </c>
    </row>
    <row r="165" spans="5:13">
      <c r="E165" t="s">
        <v>1799</v>
      </c>
      <c r="F165" t="s">
        <v>1396</v>
      </c>
      <c r="G165" t="s">
        <v>113</v>
      </c>
      <c r="H165" t="s">
        <v>233</v>
      </c>
      <c r="I165" t="s">
        <v>624</v>
      </c>
      <c r="J165" t="s">
        <v>126</v>
      </c>
      <c r="K165" t="s">
        <v>1800</v>
      </c>
      <c r="L165" t="s">
        <v>27</v>
      </c>
    </row>
    <row r="166" spans="5:13">
      <c r="E166" t="s">
        <v>1801</v>
      </c>
      <c r="F166" t="s">
        <v>1236</v>
      </c>
      <c r="G166" t="s">
        <v>113</v>
      </c>
      <c r="H166" t="s">
        <v>139</v>
      </c>
      <c r="I166" t="s">
        <v>117</v>
      </c>
      <c r="J166" t="s">
        <v>1237</v>
      </c>
      <c r="K166" t="s">
        <v>1802</v>
      </c>
      <c r="L166" t="s">
        <v>27</v>
      </c>
      <c r="M166">
        <v>1</v>
      </c>
    </row>
    <row r="167" spans="5:13">
      <c r="E167" t="s">
        <v>1803</v>
      </c>
      <c r="F167" t="s">
        <v>374</v>
      </c>
      <c r="G167" t="s">
        <v>154</v>
      </c>
      <c r="H167" t="s">
        <v>155</v>
      </c>
      <c r="I167" t="s">
        <v>86</v>
      </c>
      <c r="J167" t="s">
        <v>375</v>
      </c>
      <c r="K167" t="s">
        <v>1804</v>
      </c>
      <c r="L167" t="s">
        <v>27</v>
      </c>
    </row>
    <row r="168" spans="5:13">
      <c r="E168" t="s">
        <v>1805</v>
      </c>
      <c r="F168" t="s">
        <v>1196</v>
      </c>
      <c r="G168" t="s">
        <v>113</v>
      </c>
      <c r="H168" t="s">
        <v>154</v>
      </c>
      <c r="I168" t="s">
        <v>204</v>
      </c>
      <c r="J168" t="s">
        <v>1197</v>
      </c>
      <c r="K168" t="s">
        <v>1806</v>
      </c>
      <c r="L168" t="s">
        <v>27</v>
      </c>
    </row>
    <row r="169" spans="5:13">
      <c r="E169" t="s">
        <v>1807</v>
      </c>
      <c r="F169" t="s">
        <v>1808</v>
      </c>
      <c r="G169" t="s">
        <v>139</v>
      </c>
      <c r="H169" t="s">
        <v>117</v>
      </c>
      <c r="I169" t="s">
        <v>63</v>
      </c>
      <c r="J169" t="s">
        <v>1809</v>
      </c>
      <c r="K169" t="s">
        <v>1810</v>
      </c>
      <c r="L169" t="s">
        <v>27</v>
      </c>
      <c r="M169">
        <v>3</v>
      </c>
    </row>
    <row r="170" spans="5:13">
      <c r="E170" t="s">
        <v>1811</v>
      </c>
      <c r="F170" t="s">
        <v>892</v>
      </c>
      <c r="G170" t="s">
        <v>113</v>
      </c>
      <c r="H170" t="s">
        <v>154</v>
      </c>
      <c r="I170" t="s">
        <v>65</v>
      </c>
      <c r="J170" t="s">
        <v>893</v>
      </c>
      <c r="K170" t="s">
        <v>1812</v>
      </c>
      <c r="L170" t="s">
        <v>27</v>
      </c>
      <c r="M170">
        <v>2</v>
      </c>
    </row>
    <row r="171" spans="5:13">
      <c r="E171" t="s">
        <v>1813</v>
      </c>
      <c r="F171" t="s">
        <v>1245</v>
      </c>
      <c r="G171" t="s">
        <v>113</v>
      </c>
      <c r="H171" t="s">
        <v>139</v>
      </c>
      <c r="I171" t="s">
        <v>233</v>
      </c>
      <c r="J171" t="s">
        <v>1246</v>
      </c>
      <c r="K171" t="s">
        <v>1814</v>
      </c>
      <c r="L171" t="s">
        <v>27</v>
      </c>
      <c r="M171">
        <v>2</v>
      </c>
    </row>
    <row r="172" spans="5:13">
      <c r="E172" t="s">
        <v>1815</v>
      </c>
      <c r="F172" t="s">
        <v>1293</v>
      </c>
      <c r="G172" t="s">
        <v>113</v>
      </c>
      <c r="H172" t="s">
        <v>550</v>
      </c>
      <c r="I172" t="s">
        <v>126</v>
      </c>
      <c r="J172" t="s">
        <v>126</v>
      </c>
      <c r="K172" t="s">
        <v>1816</v>
      </c>
      <c r="L172" t="s">
        <v>27</v>
      </c>
    </row>
    <row r="173" spans="5:13">
      <c r="E173" t="s">
        <v>1817</v>
      </c>
      <c r="F173" t="s">
        <v>805</v>
      </c>
      <c r="G173" t="s">
        <v>113</v>
      </c>
      <c r="H173" t="s">
        <v>42</v>
      </c>
      <c r="I173" t="s">
        <v>126</v>
      </c>
      <c r="J173" t="s">
        <v>806</v>
      </c>
      <c r="K173" t="s">
        <v>1698</v>
      </c>
      <c r="L173" t="s">
        <v>27</v>
      </c>
    </row>
    <row r="174" spans="5:13">
      <c r="E174" t="s">
        <v>1818</v>
      </c>
      <c r="F174" t="s">
        <v>420</v>
      </c>
      <c r="G174" t="s">
        <v>113</v>
      </c>
      <c r="H174" t="s">
        <v>176</v>
      </c>
      <c r="I174" t="s">
        <v>204</v>
      </c>
      <c r="J174" t="s">
        <v>421</v>
      </c>
      <c r="K174" t="s">
        <v>1819</v>
      </c>
      <c r="L174" t="s">
        <v>27</v>
      </c>
    </row>
    <row r="175" spans="5:13">
      <c r="E175" t="s">
        <v>1820</v>
      </c>
      <c r="F175" t="s">
        <v>467</v>
      </c>
      <c r="G175" t="s">
        <v>113</v>
      </c>
      <c r="H175" t="s">
        <v>154</v>
      </c>
      <c r="I175" t="s">
        <v>217</v>
      </c>
      <c r="J175" t="s">
        <v>468</v>
      </c>
      <c r="K175" t="s">
        <v>1821</v>
      </c>
      <c r="L175" t="s">
        <v>27</v>
      </c>
    </row>
    <row r="176" spans="5:13">
      <c r="E176" t="s">
        <v>1822</v>
      </c>
      <c r="F176" t="s">
        <v>1823</v>
      </c>
      <c r="G176" t="s">
        <v>113</v>
      </c>
      <c r="H176" t="s">
        <v>117</v>
      </c>
      <c r="I176" t="s">
        <v>44</v>
      </c>
      <c r="J176" t="s">
        <v>126</v>
      </c>
      <c r="K176" t="s">
        <v>1781</v>
      </c>
      <c r="L176" t="s">
        <v>27</v>
      </c>
      <c r="M176">
        <v>1</v>
      </c>
    </row>
    <row r="177" spans="5:13">
      <c r="E177" t="s">
        <v>1824</v>
      </c>
      <c r="F177" t="s">
        <v>1655</v>
      </c>
      <c r="G177" t="s">
        <v>117</v>
      </c>
      <c r="H177" t="s">
        <v>63</v>
      </c>
      <c r="I177" t="s">
        <v>184</v>
      </c>
      <c r="J177" t="s">
        <v>126</v>
      </c>
      <c r="K177" t="s">
        <v>1825</v>
      </c>
      <c r="L177" t="s">
        <v>27</v>
      </c>
    </row>
    <row r="178" spans="5:13">
      <c r="E178" t="s">
        <v>1826</v>
      </c>
      <c r="F178" t="s">
        <v>1827</v>
      </c>
      <c r="G178" t="s">
        <v>113</v>
      </c>
      <c r="H178" t="s">
        <v>117</v>
      </c>
      <c r="I178" t="s">
        <v>44</v>
      </c>
      <c r="J178" t="s">
        <v>1828</v>
      </c>
      <c r="K178" t="s">
        <v>1829</v>
      </c>
      <c r="L178" t="s">
        <v>27</v>
      </c>
      <c r="M178">
        <v>1</v>
      </c>
    </row>
    <row r="179" spans="5:13">
      <c r="E179" t="s">
        <v>1830</v>
      </c>
      <c r="F179" t="s">
        <v>1831</v>
      </c>
      <c r="G179" t="s">
        <v>117</v>
      </c>
      <c r="H179" t="s">
        <v>135</v>
      </c>
      <c r="I179" t="s">
        <v>136</v>
      </c>
      <c r="J179" t="s">
        <v>1832</v>
      </c>
      <c r="K179" t="s">
        <v>1833</v>
      </c>
      <c r="L179" t="s">
        <v>27</v>
      </c>
      <c r="M179">
        <v>1</v>
      </c>
    </row>
    <row r="180" spans="5:13">
      <c r="E180" t="s">
        <v>1834</v>
      </c>
      <c r="F180" t="s">
        <v>1835</v>
      </c>
      <c r="G180" t="s">
        <v>135</v>
      </c>
      <c r="H180" t="s">
        <v>136</v>
      </c>
      <c r="I180" t="s">
        <v>217</v>
      </c>
      <c r="J180" t="s">
        <v>1836</v>
      </c>
      <c r="K180" t="s">
        <v>1837</v>
      </c>
      <c r="L180" t="s">
        <v>27</v>
      </c>
    </row>
    <row r="181" spans="5:13">
      <c r="E181" t="s">
        <v>1838</v>
      </c>
      <c r="F181" t="s">
        <v>866</v>
      </c>
      <c r="G181" t="s">
        <v>139</v>
      </c>
      <c r="H181" t="s">
        <v>43</v>
      </c>
      <c r="I181" t="s">
        <v>155</v>
      </c>
      <c r="J181" t="s">
        <v>867</v>
      </c>
      <c r="K181" t="s">
        <v>1839</v>
      </c>
      <c r="L181" t="s">
        <v>27</v>
      </c>
      <c r="M181">
        <v>1</v>
      </c>
    </row>
    <row r="182" spans="5:13">
      <c r="E182" t="s">
        <v>1840</v>
      </c>
      <c r="F182" t="s">
        <v>992</v>
      </c>
      <c r="G182" t="s">
        <v>67</v>
      </c>
      <c r="H182" t="s">
        <v>126</v>
      </c>
      <c r="I182" t="s">
        <v>126</v>
      </c>
      <c r="J182" t="s">
        <v>993</v>
      </c>
      <c r="K182" t="s">
        <v>1841</v>
      </c>
      <c r="L182" t="s">
        <v>27</v>
      </c>
    </row>
    <row r="183" spans="5:13">
      <c r="E183" t="s">
        <v>1842</v>
      </c>
      <c r="F183" t="s">
        <v>543</v>
      </c>
      <c r="G183" t="s">
        <v>113</v>
      </c>
      <c r="H183" t="s">
        <v>42</v>
      </c>
      <c r="I183" t="s">
        <v>126</v>
      </c>
      <c r="J183" t="s">
        <v>544</v>
      </c>
      <c r="K183" t="s">
        <v>1843</v>
      </c>
      <c r="L183" t="s">
        <v>27</v>
      </c>
    </row>
    <row r="184" spans="5:13">
      <c r="E184" t="s">
        <v>1844</v>
      </c>
      <c r="F184" t="s">
        <v>401</v>
      </c>
      <c r="G184" t="s">
        <v>233</v>
      </c>
      <c r="H184" t="s">
        <v>42</v>
      </c>
      <c r="I184" t="s">
        <v>263</v>
      </c>
      <c r="J184" t="s">
        <v>402</v>
      </c>
      <c r="K184" t="s">
        <v>1845</v>
      </c>
      <c r="L184" t="s">
        <v>27</v>
      </c>
    </row>
    <row r="185" spans="5:13">
      <c r="E185" t="s">
        <v>1846</v>
      </c>
      <c r="F185" t="s">
        <v>841</v>
      </c>
      <c r="G185" t="s">
        <v>139</v>
      </c>
      <c r="H185" t="s">
        <v>43</v>
      </c>
      <c r="I185" t="s">
        <v>155</v>
      </c>
      <c r="J185" t="s">
        <v>842</v>
      </c>
      <c r="K185" t="s">
        <v>1847</v>
      </c>
      <c r="L185" t="s">
        <v>27</v>
      </c>
      <c r="M185">
        <v>1</v>
      </c>
    </row>
    <row r="186" spans="5:13">
      <c r="E186" t="s">
        <v>1848</v>
      </c>
      <c r="F186" t="s">
        <v>1849</v>
      </c>
      <c r="G186" t="s">
        <v>113</v>
      </c>
      <c r="H186" t="s">
        <v>42</v>
      </c>
      <c r="I186" t="s">
        <v>217</v>
      </c>
      <c r="J186" t="s">
        <v>1850</v>
      </c>
      <c r="K186" t="s">
        <v>1851</v>
      </c>
      <c r="L186" t="s">
        <v>27</v>
      </c>
    </row>
    <row r="187" spans="5:13">
      <c r="E187" t="s">
        <v>1852</v>
      </c>
      <c r="F187" t="s">
        <v>1400</v>
      </c>
      <c r="G187" t="s">
        <v>117</v>
      </c>
      <c r="H187" t="s">
        <v>42</v>
      </c>
      <c r="I187" t="s">
        <v>126</v>
      </c>
      <c r="J187" t="s">
        <v>1401</v>
      </c>
      <c r="K187" t="s">
        <v>1853</v>
      </c>
      <c r="L187" t="s">
        <v>27</v>
      </c>
    </row>
    <row r="188" spans="5:13">
      <c r="E188" t="s">
        <v>1854</v>
      </c>
      <c r="F188" t="s">
        <v>1855</v>
      </c>
      <c r="G188" t="s">
        <v>117</v>
      </c>
      <c r="H188" t="s">
        <v>42</v>
      </c>
      <c r="I188" t="s">
        <v>126</v>
      </c>
      <c r="J188" t="s">
        <v>126</v>
      </c>
      <c r="K188" t="s">
        <v>1856</v>
      </c>
      <c r="L188" t="s">
        <v>27</v>
      </c>
    </row>
    <row r="189" spans="5:13">
      <c r="E189" t="s">
        <v>1857</v>
      </c>
      <c r="F189" t="s">
        <v>719</v>
      </c>
      <c r="G189" t="s">
        <v>113</v>
      </c>
      <c r="H189" t="s">
        <v>117</v>
      </c>
      <c r="I189" t="s">
        <v>42</v>
      </c>
      <c r="J189" t="s">
        <v>720</v>
      </c>
      <c r="K189" t="s">
        <v>1704</v>
      </c>
      <c r="L189" t="s">
        <v>27</v>
      </c>
      <c r="M189">
        <v>2</v>
      </c>
    </row>
    <row r="190" spans="5:13">
      <c r="E190" t="s">
        <v>1858</v>
      </c>
      <c r="F190" t="s">
        <v>1303</v>
      </c>
      <c r="G190" t="s">
        <v>233</v>
      </c>
      <c r="H190" t="s">
        <v>959</v>
      </c>
      <c r="I190" t="s">
        <v>126</v>
      </c>
      <c r="J190" t="s">
        <v>126</v>
      </c>
      <c r="K190" t="s">
        <v>1859</v>
      </c>
      <c r="L190" t="s">
        <v>27</v>
      </c>
    </row>
    <row r="191" spans="5:13">
      <c r="E191" t="s">
        <v>1860</v>
      </c>
      <c r="F191" t="s">
        <v>1149</v>
      </c>
      <c r="G191" t="s">
        <v>113</v>
      </c>
      <c r="H191" t="s">
        <v>139</v>
      </c>
      <c r="I191" t="s">
        <v>209</v>
      </c>
      <c r="J191" t="s">
        <v>1150</v>
      </c>
      <c r="K191" t="s">
        <v>1861</v>
      </c>
      <c r="L191" t="s">
        <v>27</v>
      </c>
      <c r="M191">
        <v>1</v>
      </c>
    </row>
    <row r="192" spans="5:13">
      <c r="E192" t="s">
        <v>1862</v>
      </c>
      <c r="F192" t="s">
        <v>976</v>
      </c>
      <c r="G192" t="s">
        <v>233</v>
      </c>
      <c r="H192" t="s">
        <v>154</v>
      </c>
      <c r="I192" t="s">
        <v>126</v>
      </c>
      <c r="J192" t="s">
        <v>126</v>
      </c>
      <c r="K192" t="s">
        <v>1863</v>
      </c>
      <c r="L192" t="s">
        <v>27</v>
      </c>
    </row>
    <row r="193" spans="5:13">
      <c r="E193" t="s">
        <v>1864</v>
      </c>
      <c r="F193" t="s">
        <v>1376</v>
      </c>
      <c r="G193" t="s">
        <v>117</v>
      </c>
      <c r="H193" t="s">
        <v>42</v>
      </c>
      <c r="I193" t="s">
        <v>160</v>
      </c>
      <c r="J193" t="s">
        <v>126</v>
      </c>
      <c r="K193" t="s">
        <v>1865</v>
      </c>
      <c r="L193" t="s">
        <v>27</v>
      </c>
      <c r="M193">
        <v>2</v>
      </c>
    </row>
    <row r="194" spans="5:13">
      <c r="E194" t="s">
        <v>1866</v>
      </c>
      <c r="F194" t="s">
        <v>1867</v>
      </c>
      <c r="G194" t="s">
        <v>44</v>
      </c>
      <c r="H194" t="s">
        <v>1081</v>
      </c>
      <c r="I194" t="s">
        <v>126</v>
      </c>
      <c r="J194" t="s">
        <v>1868</v>
      </c>
      <c r="K194" t="s">
        <v>1869</v>
      </c>
      <c r="L194" t="s">
        <v>27</v>
      </c>
    </row>
    <row r="195" spans="5:13">
      <c r="E195" t="s">
        <v>1870</v>
      </c>
      <c r="F195" t="s">
        <v>1390</v>
      </c>
      <c r="G195" t="s">
        <v>113</v>
      </c>
      <c r="H195" t="s">
        <v>154</v>
      </c>
      <c r="I195" t="s">
        <v>511</v>
      </c>
      <c r="J195" t="s">
        <v>1391</v>
      </c>
      <c r="K195" t="s">
        <v>1871</v>
      </c>
      <c r="L195" t="s">
        <v>27</v>
      </c>
      <c r="M195">
        <v>4</v>
      </c>
    </row>
    <row r="196" spans="5:13">
      <c r="E196" t="s">
        <v>1872</v>
      </c>
      <c r="F196" t="s">
        <v>1873</v>
      </c>
      <c r="G196" t="s">
        <v>113</v>
      </c>
      <c r="H196" t="s">
        <v>117</v>
      </c>
      <c r="I196" t="s">
        <v>136</v>
      </c>
      <c r="J196" t="s">
        <v>1874</v>
      </c>
      <c r="K196" t="s">
        <v>1875</v>
      </c>
      <c r="L196" t="s">
        <v>27</v>
      </c>
      <c r="M196">
        <v>5</v>
      </c>
    </row>
    <row r="197" spans="5:13">
      <c r="E197" t="s">
        <v>1876</v>
      </c>
      <c r="F197" t="s">
        <v>585</v>
      </c>
      <c r="G197" t="s">
        <v>113</v>
      </c>
      <c r="H197" t="s">
        <v>63</v>
      </c>
      <c r="I197" t="s">
        <v>172</v>
      </c>
      <c r="J197" t="s">
        <v>586</v>
      </c>
      <c r="K197" t="s">
        <v>1877</v>
      </c>
      <c r="L197" t="s">
        <v>27</v>
      </c>
      <c r="M197">
        <v>1</v>
      </c>
    </row>
    <row r="198" spans="5:13">
      <c r="E198" t="s">
        <v>1878</v>
      </c>
      <c r="F198" t="s">
        <v>413</v>
      </c>
      <c r="G198" t="s">
        <v>117</v>
      </c>
      <c r="H198" t="s">
        <v>42</v>
      </c>
      <c r="I198" t="s">
        <v>204</v>
      </c>
      <c r="J198" t="s">
        <v>414</v>
      </c>
      <c r="K198" t="s">
        <v>1879</v>
      </c>
      <c r="L198" t="s">
        <v>27</v>
      </c>
    </row>
    <row r="199" spans="5:13">
      <c r="E199" t="s">
        <v>1880</v>
      </c>
      <c r="F199" t="s">
        <v>995</v>
      </c>
      <c r="G199" t="s">
        <v>113</v>
      </c>
      <c r="H199" t="s">
        <v>63</v>
      </c>
      <c r="I199" t="s">
        <v>126</v>
      </c>
      <c r="J199" t="s">
        <v>996</v>
      </c>
      <c r="K199" t="s">
        <v>1841</v>
      </c>
      <c r="L199" t="s">
        <v>27</v>
      </c>
    </row>
    <row r="200" spans="5:13">
      <c r="E200" t="s">
        <v>1881</v>
      </c>
      <c r="F200" t="s">
        <v>1882</v>
      </c>
      <c r="G200" t="s">
        <v>113</v>
      </c>
      <c r="H200" t="s">
        <v>117</v>
      </c>
      <c r="I200" t="s">
        <v>63</v>
      </c>
      <c r="J200" t="s">
        <v>1883</v>
      </c>
      <c r="K200" t="s">
        <v>1884</v>
      </c>
      <c r="L200" t="s">
        <v>27</v>
      </c>
      <c r="M200">
        <v>2</v>
      </c>
    </row>
    <row r="201" spans="5:13">
      <c r="E201" t="s">
        <v>1885</v>
      </c>
      <c r="F201" t="s">
        <v>753</v>
      </c>
      <c r="G201" t="s">
        <v>113</v>
      </c>
      <c r="H201" t="s">
        <v>42</v>
      </c>
      <c r="I201" t="s">
        <v>256</v>
      </c>
      <c r="J201" t="s">
        <v>754</v>
      </c>
      <c r="K201" t="s">
        <v>1886</v>
      </c>
      <c r="L201" t="s">
        <v>27</v>
      </c>
    </row>
    <row r="202" spans="5:13">
      <c r="E202" t="s">
        <v>1887</v>
      </c>
      <c r="F202" t="s">
        <v>1888</v>
      </c>
      <c r="G202" t="s">
        <v>113</v>
      </c>
      <c r="H202" t="s">
        <v>139</v>
      </c>
      <c r="I202" t="s">
        <v>213</v>
      </c>
      <c r="J202" t="s">
        <v>1889</v>
      </c>
      <c r="K202" t="s">
        <v>1890</v>
      </c>
      <c r="L202" t="s">
        <v>27</v>
      </c>
    </row>
    <row r="203" spans="5:13">
      <c r="E203" t="s">
        <v>1891</v>
      </c>
      <c r="F203" t="s">
        <v>514</v>
      </c>
      <c r="G203" t="s">
        <v>42</v>
      </c>
      <c r="H203" t="s">
        <v>126</v>
      </c>
      <c r="I203" t="s">
        <v>126</v>
      </c>
      <c r="J203" t="s">
        <v>515</v>
      </c>
      <c r="K203" t="s">
        <v>1670</v>
      </c>
      <c r="L203" t="s">
        <v>27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0B673-593F-43B9-A778-41603ADF55E8}">
  <sheetPr codeName="Sheet18"/>
  <dimension ref="A1:G101"/>
  <sheetViews>
    <sheetView workbookViewId="0">
      <selection activeCell="C6" sqref="C6"/>
    </sheetView>
  </sheetViews>
  <sheetFormatPr defaultRowHeight="14.5"/>
  <cols>
    <col min="1" max="1" width="64.453125" bestFit="1" customWidth="1"/>
    <col min="2" max="2" width="65.7265625" bestFit="1" customWidth="1"/>
    <col min="3" max="5" width="19.1796875" bestFit="1" customWidth="1"/>
    <col min="6" max="6" width="13" bestFit="1" customWidth="1"/>
    <col min="7" max="7" width="7.26953125" bestFit="1" customWidth="1"/>
  </cols>
  <sheetData>
    <row r="1" spans="1:7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110</v>
      </c>
      <c r="G1" t="s">
        <v>1664</v>
      </c>
    </row>
    <row r="2" spans="1:7">
      <c r="A2" t="s">
        <v>3027</v>
      </c>
      <c r="B2" t="s">
        <v>858</v>
      </c>
      <c r="C2" t="s">
        <v>113</v>
      </c>
      <c r="D2" t="s">
        <v>139</v>
      </c>
      <c r="E2" t="s">
        <v>82</v>
      </c>
      <c r="F2">
        <v>1</v>
      </c>
      <c r="G2" t="s">
        <v>2526</v>
      </c>
    </row>
    <row r="3" spans="1:7">
      <c r="A3" t="s">
        <v>3028</v>
      </c>
      <c r="B3" t="s">
        <v>1447</v>
      </c>
      <c r="C3" t="s">
        <v>113</v>
      </c>
      <c r="D3" t="s">
        <v>154</v>
      </c>
      <c r="E3" t="s">
        <v>160</v>
      </c>
      <c r="F3">
        <v>4</v>
      </c>
      <c r="G3" t="s">
        <v>2511</v>
      </c>
    </row>
    <row r="4" spans="1:7">
      <c r="A4" t="s">
        <v>3029</v>
      </c>
      <c r="B4" t="s">
        <v>677</v>
      </c>
      <c r="C4" t="s">
        <v>113</v>
      </c>
      <c r="D4" t="s">
        <v>42</v>
      </c>
      <c r="E4" t="s">
        <v>126</v>
      </c>
      <c r="G4" t="s">
        <v>3030</v>
      </c>
    </row>
    <row r="5" spans="1:7">
      <c r="A5" t="s">
        <v>3031</v>
      </c>
      <c r="B5" t="s">
        <v>486</v>
      </c>
      <c r="C5" t="s">
        <v>113</v>
      </c>
      <c r="D5" t="s">
        <v>160</v>
      </c>
      <c r="E5" t="s">
        <v>172</v>
      </c>
      <c r="F5">
        <v>1</v>
      </c>
      <c r="G5" t="s">
        <v>3032</v>
      </c>
    </row>
    <row r="6" spans="1:7">
      <c r="A6" t="s">
        <v>2790</v>
      </c>
      <c r="B6" t="s">
        <v>2791</v>
      </c>
      <c r="C6" t="s">
        <v>125</v>
      </c>
      <c r="D6" t="s">
        <v>126</v>
      </c>
      <c r="E6" t="s">
        <v>126</v>
      </c>
      <c r="G6" t="s">
        <v>1733</v>
      </c>
    </row>
    <row r="7" spans="1:7">
      <c r="A7" t="s">
        <v>2792</v>
      </c>
      <c r="B7" t="s">
        <v>2793</v>
      </c>
      <c r="C7" t="s">
        <v>126</v>
      </c>
      <c r="D7" t="s">
        <v>126</v>
      </c>
      <c r="E7" t="s">
        <v>126</v>
      </c>
      <c r="G7" t="s">
        <v>1953</v>
      </c>
    </row>
    <row r="8" spans="1:7">
      <c r="A8" t="s">
        <v>2794</v>
      </c>
      <c r="B8" t="s">
        <v>2795</v>
      </c>
      <c r="C8" t="s">
        <v>126</v>
      </c>
      <c r="D8" t="s">
        <v>126</v>
      </c>
      <c r="E8" t="s">
        <v>126</v>
      </c>
      <c r="G8" t="s">
        <v>2345</v>
      </c>
    </row>
    <row r="9" spans="1:7">
      <c r="A9" t="s">
        <v>2796</v>
      </c>
      <c r="B9" t="s">
        <v>2797</v>
      </c>
      <c r="C9" t="s">
        <v>126</v>
      </c>
      <c r="D9" t="s">
        <v>126</v>
      </c>
      <c r="E9" t="s">
        <v>126</v>
      </c>
      <c r="G9" t="s">
        <v>2798</v>
      </c>
    </row>
    <row r="10" spans="1:7">
      <c r="A10" t="s">
        <v>3033</v>
      </c>
      <c r="B10" t="s">
        <v>862</v>
      </c>
      <c r="C10" t="s">
        <v>113</v>
      </c>
      <c r="D10" t="s">
        <v>139</v>
      </c>
      <c r="E10" t="s">
        <v>86</v>
      </c>
      <c r="G10" t="s">
        <v>1978</v>
      </c>
    </row>
    <row r="11" spans="1:7">
      <c r="A11" t="s">
        <v>3034</v>
      </c>
      <c r="B11" t="s">
        <v>1175</v>
      </c>
      <c r="C11" t="s">
        <v>113</v>
      </c>
      <c r="D11" t="s">
        <v>139</v>
      </c>
      <c r="E11" t="s">
        <v>117</v>
      </c>
      <c r="F11">
        <v>1</v>
      </c>
      <c r="G11" t="s">
        <v>3035</v>
      </c>
    </row>
    <row r="12" spans="1:7">
      <c r="A12" t="s">
        <v>3036</v>
      </c>
      <c r="B12" t="s">
        <v>1595</v>
      </c>
      <c r="C12" t="s">
        <v>113</v>
      </c>
      <c r="D12" t="s">
        <v>233</v>
      </c>
      <c r="E12" t="s">
        <v>154</v>
      </c>
      <c r="F12">
        <v>2</v>
      </c>
      <c r="G12" t="s">
        <v>3037</v>
      </c>
    </row>
    <row r="13" spans="1:7">
      <c r="A13" t="s">
        <v>3038</v>
      </c>
      <c r="B13" t="s">
        <v>775</v>
      </c>
      <c r="C13" t="s">
        <v>42</v>
      </c>
      <c r="D13" t="s">
        <v>82</v>
      </c>
      <c r="E13" t="s">
        <v>217</v>
      </c>
      <c r="G13" t="s">
        <v>2694</v>
      </c>
    </row>
    <row r="14" spans="1:7">
      <c r="A14" t="s">
        <v>2799</v>
      </c>
      <c r="B14" t="s">
        <v>2800</v>
      </c>
      <c r="C14" t="s">
        <v>511</v>
      </c>
      <c r="D14" t="s">
        <v>135</v>
      </c>
      <c r="E14" t="s">
        <v>204</v>
      </c>
      <c r="G14" t="s">
        <v>1951</v>
      </c>
    </row>
    <row r="15" spans="1:7">
      <c r="A15" t="s">
        <v>2801</v>
      </c>
      <c r="B15" t="s">
        <v>2802</v>
      </c>
      <c r="C15" t="s">
        <v>126</v>
      </c>
      <c r="D15" t="s">
        <v>126</v>
      </c>
      <c r="E15" t="s">
        <v>126</v>
      </c>
      <c r="G15" t="s">
        <v>2803</v>
      </c>
    </row>
    <row r="16" spans="1:7">
      <c r="A16" t="s">
        <v>3039</v>
      </c>
      <c r="B16" t="s">
        <v>1480</v>
      </c>
      <c r="C16" t="s">
        <v>117</v>
      </c>
      <c r="D16" t="s">
        <v>42</v>
      </c>
      <c r="E16" t="s">
        <v>126</v>
      </c>
      <c r="G16" t="s">
        <v>3040</v>
      </c>
    </row>
    <row r="17" spans="1:7">
      <c r="A17" t="s">
        <v>3041</v>
      </c>
      <c r="B17" t="s">
        <v>1488</v>
      </c>
      <c r="C17" t="s">
        <v>113</v>
      </c>
      <c r="D17" t="s">
        <v>42</v>
      </c>
      <c r="E17" t="s">
        <v>172</v>
      </c>
      <c r="G17" t="s">
        <v>3042</v>
      </c>
    </row>
    <row r="18" spans="1:7">
      <c r="A18" t="s">
        <v>3043</v>
      </c>
      <c r="B18" t="s">
        <v>1364</v>
      </c>
      <c r="C18" t="s">
        <v>113</v>
      </c>
      <c r="D18" t="s">
        <v>139</v>
      </c>
      <c r="E18" t="s">
        <v>160</v>
      </c>
      <c r="F18">
        <v>3</v>
      </c>
      <c r="G18" t="s">
        <v>2061</v>
      </c>
    </row>
    <row r="19" spans="1:7">
      <c r="A19" t="s">
        <v>2804</v>
      </c>
      <c r="B19" t="s">
        <v>2805</v>
      </c>
      <c r="C19" t="s">
        <v>113</v>
      </c>
      <c r="D19" t="s">
        <v>176</v>
      </c>
      <c r="E19" t="s">
        <v>65</v>
      </c>
      <c r="G19" t="s">
        <v>2297</v>
      </c>
    </row>
    <row r="20" spans="1:7">
      <c r="A20" t="s">
        <v>3044</v>
      </c>
      <c r="B20" t="s">
        <v>1366</v>
      </c>
      <c r="C20" t="s">
        <v>113</v>
      </c>
      <c r="D20" t="s">
        <v>233</v>
      </c>
      <c r="E20" t="s">
        <v>160</v>
      </c>
      <c r="F20">
        <v>4</v>
      </c>
      <c r="G20" t="s">
        <v>2061</v>
      </c>
    </row>
    <row r="21" spans="1:7">
      <c r="A21" t="s">
        <v>2806</v>
      </c>
      <c r="B21" t="s">
        <v>2807</v>
      </c>
      <c r="C21" t="s">
        <v>113</v>
      </c>
      <c r="D21" t="s">
        <v>154</v>
      </c>
      <c r="E21" t="s">
        <v>172</v>
      </c>
      <c r="F21">
        <v>1</v>
      </c>
      <c r="G21" t="s">
        <v>2568</v>
      </c>
    </row>
    <row r="22" spans="1:7">
      <c r="A22" t="s">
        <v>3045</v>
      </c>
      <c r="B22" t="s">
        <v>1603</v>
      </c>
      <c r="C22" t="s">
        <v>233</v>
      </c>
      <c r="D22" t="s">
        <v>42</v>
      </c>
      <c r="E22" t="s">
        <v>126</v>
      </c>
      <c r="G22" t="s">
        <v>3046</v>
      </c>
    </row>
    <row r="23" spans="1:7">
      <c r="A23" t="s">
        <v>3047</v>
      </c>
      <c r="B23" t="s">
        <v>1372</v>
      </c>
      <c r="C23" t="s">
        <v>113</v>
      </c>
      <c r="D23" t="s">
        <v>63</v>
      </c>
      <c r="E23" t="s">
        <v>82</v>
      </c>
      <c r="G23" t="s">
        <v>3012</v>
      </c>
    </row>
    <row r="24" spans="1:7">
      <c r="A24" t="s">
        <v>3048</v>
      </c>
      <c r="B24" t="s">
        <v>1410</v>
      </c>
      <c r="C24" t="s">
        <v>113</v>
      </c>
      <c r="D24" t="s">
        <v>42</v>
      </c>
      <c r="E24" t="s">
        <v>82</v>
      </c>
      <c r="G24" t="s">
        <v>2733</v>
      </c>
    </row>
    <row r="25" spans="1:7">
      <c r="A25" t="s">
        <v>3049</v>
      </c>
      <c r="B25" t="s">
        <v>1449</v>
      </c>
      <c r="C25" t="s">
        <v>139</v>
      </c>
      <c r="D25" t="s">
        <v>233</v>
      </c>
      <c r="E25" t="s">
        <v>117</v>
      </c>
      <c r="F25">
        <v>2</v>
      </c>
      <c r="G25" t="s">
        <v>2511</v>
      </c>
    </row>
    <row r="26" spans="1:7">
      <c r="A26" t="s">
        <v>3050</v>
      </c>
      <c r="B26" t="s">
        <v>933</v>
      </c>
      <c r="C26" t="s">
        <v>113</v>
      </c>
      <c r="D26" t="s">
        <v>135</v>
      </c>
      <c r="E26" t="s">
        <v>121</v>
      </c>
      <c r="F26">
        <v>1</v>
      </c>
      <c r="G26" t="s">
        <v>2347</v>
      </c>
    </row>
    <row r="27" spans="1:7">
      <c r="A27" t="s">
        <v>3051</v>
      </c>
      <c r="B27" t="s">
        <v>1427</v>
      </c>
      <c r="C27" t="s">
        <v>233</v>
      </c>
      <c r="D27" t="s">
        <v>117</v>
      </c>
      <c r="E27" t="s">
        <v>42</v>
      </c>
      <c r="F27">
        <v>1</v>
      </c>
      <c r="G27" t="s">
        <v>2912</v>
      </c>
    </row>
    <row r="28" spans="1:7">
      <c r="A28" t="s">
        <v>3052</v>
      </c>
      <c r="B28" t="s">
        <v>462</v>
      </c>
      <c r="C28" t="s">
        <v>42</v>
      </c>
      <c r="D28" t="s">
        <v>136</v>
      </c>
      <c r="E28" t="s">
        <v>204</v>
      </c>
      <c r="G28" t="s">
        <v>2000</v>
      </c>
    </row>
    <row r="29" spans="1:7">
      <c r="A29" t="s">
        <v>3053</v>
      </c>
      <c r="B29" t="s">
        <v>956</v>
      </c>
      <c r="C29" t="s">
        <v>113</v>
      </c>
      <c r="D29" t="s">
        <v>233</v>
      </c>
      <c r="E29" t="s">
        <v>58</v>
      </c>
      <c r="G29" t="s">
        <v>2273</v>
      </c>
    </row>
    <row r="30" spans="1:7">
      <c r="A30" t="s">
        <v>3054</v>
      </c>
      <c r="B30" t="s">
        <v>1271</v>
      </c>
      <c r="C30" t="s">
        <v>233</v>
      </c>
      <c r="D30" t="s">
        <v>42</v>
      </c>
      <c r="E30" t="s">
        <v>135</v>
      </c>
      <c r="F30">
        <v>2</v>
      </c>
      <c r="G30" t="s">
        <v>2303</v>
      </c>
    </row>
    <row r="31" spans="1:7">
      <c r="A31" t="s">
        <v>2808</v>
      </c>
      <c r="B31" t="s">
        <v>2809</v>
      </c>
      <c r="C31" t="s">
        <v>113</v>
      </c>
      <c r="D31" t="s">
        <v>233</v>
      </c>
      <c r="E31" t="s">
        <v>272</v>
      </c>
      <c r="F31">
        <v>3</v>
      </c>
      <c r="G31" t="s">
        <v>2810</v>
      </c>
    </row>
    <row r="32" spans="1:7">
      <c r="A32" t="s">
        <v>3055</v>
      </c>
      <c r="B32" t="s">
        <v>193</v>
      </c>
      <c r="C32" t="s">
        <v>135</v>
      </c>
      <c r="D32" t="s">
        <v>136</v>
      </c>
      <c r="E32" t="s">
        <v>126</v>
      </c>
      <c r="G32" t="s">
        <v>3056</v>
      </c>
    </row>
    <row r="33" spans="1:7">
      <c r="A33" t="s">
        <v>3057</v>
      </c>
      <c r="B33" t="s">
        <v>1345</v>
      </c>
      <c r="C33" t="s">
        <v>42</v>
      </c>
      <c r="D33" t="s">
        <v>121</v>
      </c>
      <c r="E33" t="s">
        <v>256</v>
      </c>
      <c r="G33" t="s">
        <v>1674</v>
      </c>
    </row>
    <row r="34" spans="1:7">
      <c r="A34" t="s">
        <v>3058</v>
      </c>
      <c r="B34" t="s">
        <v>864</v>
      </c>
      <c r="C34" t="s">
        <v>113</v>
      </c>
      <c r="D34" t="s">
        <v>139</v>
      </c>
      <c r="E34" t="s">
        <v>63</v>
      </c>
      <c r="F34">
        <v>1</v>
      </c>
      <c r="G34" t="s">
        <v>1978</v>
      </c>
    </row>
    <row r="35" spans="1:7">
      <c r="A35" t="s">
        <v>3059</v>
      </c>
      <c r="B35" t="s">
        <v>1571</v>
      </c>
      <c r="C35" t="s">
        <v>113</v>
      </c>
      <c r="D35" t="s">
        <v>139</v>
      </c>
      <c r="E35" t="s">
        <v>42</v>
      </c>
      <c r="F35">
        <v>1</v>
      </c>
      <c r="G35" t="s">
        <v>3060</v>
      </c>
    </row>
    <row r="36" spans="1:7">
      <c r="A36" t="s">
        <v>3061</v>
      </c>
      <c r="B36" t="s">
        <v>1257</v>
      </c>
      <c r="C36" t="s">
        <v>272</v>
      </c>
      <c r="D36" t="s">
        <v>117</v>
      </c>
      <c r="E36" t="s">
        <v>42</v>
      </c>
      <c r="G36" t="s">
        <v>2066</v>
      </c>
    </row>
    <row r="37" spans="1:7">
      <c r="A37" t="s">
        <v>2811</v>
      </c>
      <c r="B37" t="s">
        <v>2812</v>
      </c>
      <c r="C37" t="s">
        <v>233</v>
      </c>
      <c r="D37" t="s">
        <v>42</v>
      </c>
      <c r="E37" t="s">
        <v>263</v>
      </c>
      <c r="G37" t="s">
        <v>2813</v>
      </c>
    </row>
    <row r="38" spans="1:7">
      <c r="A38" t="s">
        <v>3062</v>
      </c>
      <c r="B38" t="s">
        <v>1569</v>
      </c>
      <c r="C38" t="s">
        <v>113</v>
      </c>
      <c r="D38" t="s">
        <v>42</v>
      </c>
      <c r="E38" t="s">
        <v>204</v>
      </c>
      <c r="G38" t="s">
        <v>3063</v>
      </c>
    </row>
    <row r="39" spans="1:7">
      <c r="A39" t="s">
        <v>3064</v>
      </c>
      <c r="B39" t="s">
        <v>1230</v>
      </c>
      <c r="C39" t="s">
        <v>113</v>
      </c>
      <c r="D39" t="s">
        <v>42</v>
      </c>
      <c r="E39" t="s">
        <v>147</v>
      </c>
      <c r="G39" t="s">
        <v>2251</v>
      </c>
    </row>
    <row r="40" spans="1:7">
      <c r="A40" t="s">
        <v>2814</v>
      </c>
      <c r="B40" t="s">
        <v>2815</v>
      </c>
      <c r="C40" t="s">
        <v>113</v>
      </c>
      <c r="D40" t="s">
        <v>300</v>
      </c>
      <c r="E40" t="s">
        <v>156</v>
      </c>
      <c r="G40" t="s">
        <v>2031</v>
      </c>
    </row>
    <row r="41" spans="1:7">
      <c r="A41" t="s">
        <v>3065</v>
      </c>
      <c r="B41" t="s">
        <v>1540</v>
      </c>
      <c r="C41" t="s">
        <v>113</v>
      </c>
      <c r="D41" t="s">
        <v>154</v>
      </c>
      <c r="E41" t="s">
        <v>217</v>
      </c>
      <c r="G41" t="s">
        <v>2556</v>
      </c>
    </row>
    <row r="42" spans="1:7">
      <c r="A42" t="s">
        <v>2816</v>
      </c>
      <c r="B42" t="s">
        <v>2817</v>
      </c>
      <c r="C42" t="s">
        <v>233</v>
      </c>
      <c r="D42" t="s">
        <v>263</v>
      </c>
      <c r="E42" t="s">
        <v>126</v>
      </c>
      <c r="G42" t="s">
        <v>1721</v>
      </c>
    </row>
    <row r="43" spans="1:7">
      <c r="A43" t="s">
        <v>3066</v>
      </c>
      <c r="B43" t="s">
        <v>352</v>
      </c>
      <c r="C43" t="s">
        <v>113</v>
      </c>
      <c r="D43" t="s">
        <v>63</v>
      </c>
      <c r="E43" t="s">
        <v>172</v>
      </c>
      <c r="F43">
        <v>2</v>
      </c>
      <c r="G43" t="s">
        <v>2268</v>
      </c>
    </row>
    <row r="44" spans="1:7">
      <c r="A44" t="s">
        <v>3067</v>
      </c>
      <c r="B44" t="s">
        <v>1431</v>
      </c>
      <c r="C44" t="s">
        <v>113</v>
      </c>
      <c r="D44" t="s">
        <v>139</v>
      </c>
      <c r="E44" t="s">
        <v>82</v>
      </c>
      <c r="F44">
        <v>2</v>
      </c>
      <c r="G44" t="s">
        <v>3068</v>
      </c>
    </row>
    <row r="45" spans="1:7">
      <c r="A45" t="s">
        <v>3069</v>
      </c>
      <c r="B45" t="s">
        <v>593</v>
      </c>
      <c r="C45" t="s">
        <v>113</v>
      </c>
      <c r="D45" t="s">
        <v>154</v>
      </c>
      <c r="E45" t="s">
        <v>160</v>
      </c>
      <c r="F45">
        <v>4</v>
      </c>
      <c r="G45" t="s">
        <v>1765</v>
      </c>
    </row>
    <row r="46" spans="1:7">
      <c r="A46" t="s">
        <v>2818</v>
      </c>
      <c r="B46" t="s">
        <v>2819</v>
      </c>
      <c r="C46" t="s">
        <v>113</v>
      </c>
      <c r="D46" t="s">
        <v>233</v>
      </c>
      <c r="E46" t="s">
        <v>154</v>
      </c>
      <c r="F46">
        <v>1</v>
      </c>
      <c r="G46" t="s">
        <v>2431</v>
      </c>
    </row>
    <row r="47" spans="1:7">
      <c r="A47" t="s">
        <v>3070</v>
      </c>
      <c r="B47" t="s">
        <v>1629</v>
      </c>
      <c r="C47" t="s">
        <v>113</v>
      </c>
      <c r="D47" t="s">
        <v>154</v>
      </c>
      <c r="E47" t="s">
        <v>938</v>
      </c>
      <c r="G47" t="s">
        <v>2963</v>
      </c>
    </row>
    <row r="48" spans="1:7">
      <c r="A48" t="s">
        <v>3071</v>
      </c>
      <c r="B48" t="s">
        <v>1511</v>
      </c>
      <c r="C48" t="s">
        <v>139</v>
      </c>
      <c r="D48" t="s">
        <v>233</v>
      </c>
      <c r="E48" t="s">
        <v>117</v>
      </c>
      <c r="F48">
        <v>2</v>
      </c>
      <c r="G48" t="s">
        <v>3072</v>
      </c>
    </row>
    <row r="49" spans="1:7">
      <c r="A49" t="s">
        <v>3073</v>
      </c>
      <c r="B49" t="s">
        <v>1482</v>
      </c>
      <c r="C49" t="s">
        <v>139</v>
      </c>
      <c r="D49" t="s">
        <v>117</v>
      </c>
      <c r="E49" t="s">
        <v>209</v>
      </c>
      <c r="G49" t="s">
        <v>3074</v>
      </c>
    </row>
    <row r="50" spans="1:7">
      <c r="A50" t="s">
        <v>3075</v>
      </c>
      <c r="B50" t="s">
        <v>1267</v>
      </c>
      <c r="C50" t="s">
        <v>113</v>
      </c>
      <c r="D50" t="s">
        <v>233</v>
      </c>
      <c r="E50" t="s">
        <v>263</v>
      </c>
      <c r="G50" t="s">
        <v>1676</v>
      </c>
    </row>
    <row r="51" spans="1:7">
      <c r="A51" t="s">
        <v>3076</v>
      </c>
      <c r="B51" t="s">
        <v>659</v>
      </c>
      <c r="C51" t="s">
        <v>82</v>
      </c>
      <c r="D51" t="s">
        <v>121</v>
      </c>
      <c r="E51" t="s">
        <v>217</v>
      </c>
      <c r="G51" t="s">
        <v>3077</v>
      </c>
    </row>
    <row r="52" spans="1:7">
      <c r="A52" t="s">
        <v>3078</v>
      </c>
      <c r="B52" t="s">
        <v>777</v>
      </c>
      <c r="C52" t="s">
        <v>113</v>
      </c>
      <c r="D52" t="s">
        <v>139</v>
      </c>
      <c r="E52" t="s">
        <v>233</v>
      </c>
      <c r="F52">
        <v>1</v>
      </c>
      <c r="G52" t="s">
        <v>2694</v>
      </c>
    </row>
    <row r="53" spans="1:7">
      <c r="A53" t="s">
        <v>3079</v>
      </c>
      <c r="B53" t="s">
        <v>1201</v>
      </c>
      <c r="C53" t="s">
        <v>113</v>
      </c>
      <c r="D53" t="s">
        <v>154</v>
      </c>
      <c r="E53" t="s">
        <v>209</v>
      </c>
      <c r="F53">
        <v>2</v>
      </c>
      <c r="G53" t="s">
        <v>3080</v>
      </c>
    </row>
    <row r="54" spans="1:7">
      <c r="A54" t="s">
        <v>2820</v>
      </c>
      <c r="B54" t="s">
        <v>2821</v>
      </c>
      <c r="C54" t="s">
        <v>113</v>
      </c>
      <c r="D54" t="s">
        <v>42</v>
      </c>
      <c r="E54" t="s">
        <v>208</v>
      </c>
      <c r="F54">
        <v>2</v>
      </c>
      <c r="G54" t="s">
        <v>2822</v>
      </c>
    </row>
    <row r="55" spans="1:7">
      <c r="A55" t="s">
        <v>3081</v>
      </c>
      <c r="B55" t="s">
        <v>1105</v>
      </c>
      <c r="C55" t="s">
        <v>113</v>
      </c>
      <c r="D55" t="s">
        <v>272</v>
      </c>
      <c r="E55" t="s">
        <v>154</v>
      </c>
      <c r="G55" t="s">
        <v>2317</v>
      </c>
    </row>
    <row r="56" spans="1:7">
      <c r="A56" t="s">
        <v>3082</v>
      </c>
      <c r="B56" t="s">
        <v>1223</v>
      </c>
      <c r="C56" t="s">
        <v>42</v>
      </c>
      <c r="D56" t="s">
        <v>135</v>
      </c>
      <c r="E56" t="s">
        <v>217</v>
      </c>
      <c r="G56" t="s">
        <v>1755</v>
      </c>
    </row>
    <row r="57" spans="1:7">
      <c r="A57" t="s">
        <v>3083</v>
      </c>
      <c r="B57" t="s">
        <v>1517</v>
      </c>
      <c r="C57" t="s">
        <v>113</v>
      </c>
      <c r="D57" t="s">
        <v>117</v>
      </c>
      <c r="E57" t="s">
        <v>42</v>
      </c>
      <c r="F57">
        <v>3</v>
      </c>
      <c r="G57" t="s">
        <v>2534</v>
      </c>
    </row>
    <row r="58" spans="1:7">
      <c r="A58" t="s">
        <v>3084</v>
      </c>
      <c r="B58" t="s">
        <v>1524</v>
      </c>
      <c r="C58" t="s">
        <v>139</v>
      </c>
      <c r="D58" t="s">
        <v>117</v>
      </c>
      <c r="E58" t="s">
        <v>213</v>
      </c>
      <c r="G58" t="s">
        <v>2037</v>
      </c>
    </row>
    <row r="59" spans="1:7">
      <c r="A59" t="s">
        <v>2823</v>
      </c>
      <c r="B59" t="s">
        <v>2824</v>
      </c>
      <c r="C59" t="s">
        <v>125</v>
      </c>
      <c r="D59" t="s">
        <v>126</v>
      </c>
      <c r="E59" t="s">
        <v>126</v>
      </c>
      <c r="G59" t="s">
        <v>2825</v>
      </c>
    </row>
    <row r="60" spans="1:7">
      <c r="A60" t="s">
        <v>2826</v>
      </c>
      <c r="B60" t="s">
        <v>2827</v>
      </c>
      <c r="C60" t="s">
        <v>125</v>
      </c>
      <c r="D60" t="s">
        <v>126</v>
      </c>
      <c r="E60" t="s">
        <v>126</v>
      </c>
      <c r="G60" t="s">
        <v>2828</v>
      </c>
    </row>
    <row r="61" spans="1:7">
      <c r="A61" t="s">
        <v>2829</v>
      </c>
      <c r="B61" t="s">
        <v>2830</v>
      </c>
      <c r="C61" t="s">
        <v>125</v>
      </c>
      <c r="D61" t="s">
        <v>126</v>
      </c>
      <c r="E61" t="s">
        <v>126</v>
      </c>
      <c r="G61" t="s">
        <v>2831</v>
      </c>
    </row>
    <row r="62" spans="1:7">
      <c r="A62" t="s">
        <v>3085</v>
      </c>
      <c r="B62" t="s">
        <v>1505</v>
      </c>
      <c r="C62" t="s">
        <v>233</v>
      </c>
      <c r="D62" t="s">
        <v>117</v>
      </c>
      <c r="E62" t="s">
        <v>42</v>
      </c>
      <c r="G62" t="s">
        <v>3086</v>
      </c>
    </row>
    <row r="63" spans="1:7">
      <c r="A63" t="s">
        <v>3087</v>
      </c>
      <c r="B63" t="s">
        <v>1494</v>
      </c>
      <c r="C63" t="s">
        <v>117</v>
      </c>
      <c r="D63" t="s">
        <v>42</v>
      </c>
      <c r="E63" t="s">
        <v>204</v>
      </c>
      <c r="G63" t="s">
        <v>3088</v>
      </c>
    </row>
    <row r="64" spans="1:7">
      <c r="A64" t="s">
        <v>3089</v>
      </c>
      <c r="B64" t="s">
        <v>1519</v>
      </c>
      <c r="C64" t="s">
        <v>272</v>
      </c>
      <c r="D64" t="s">
        <v>117</v>
      </c>
      <c r="E64" t="s">
        <v>154</v>
      </c>
      <c r="F64">
        <v>3</v>
      </c>
      <c r="G64" t="s">
        <v>2534</v>
      </c>
    </row>
    <row r="65" spans="1:7">
      <c r="A65" t="s">
        <v>2832</v>
      </c>
      <c r="B65" t="s">
        <v>2833</v>
      </c>
      <c r="C65" t="s">
        <v>113</v>
      </c>
      <c r="D65" t="s">
        <v>233</v>
      </c>
      <c r="E65" t="s">
        <v>300</v>
      </c>
      <c r="F65">
        <v>1</v>
      </c>
      <c r="G65" t="s">
        <v>2834</v>
      </c>
    </row>
    <row r="66" spans="1:7">
      <c r="A66" t="s">
        <v>3090</v>
      </c>
      <c r="B66" t="s">
        <v>1414</v>
      </c>
      <c r="C66" t="s">
        <v>113</v>
      </c>
      <c r="D66" t="s">
        <v>139</v>
      </c>
      <c r="E66" t="s">
        <v>209</v>
      </c>
      <c r="F66">
        <v>1</v>
      </c>
      <c r="G66" t="s">
        <v>2954</v>
      </c>
    </row>
    <row r="67" spans="1:7">
      <c r="A67" t="s">
        <v>3091</v>
      </c>
      <c r="B67" t="s">
        <v>1582</v>
      </c>
      <c r="C67" t="s">
        <v>121</v>
      </c>
      <c r="D67" t="s">
        <v>213</v>
      </c>
      <c r="E67" t="s">
        <v>126</v>
      </c>
      <c r="G67" t="s">
        <v>2485</v>
      </c>
    </row>
    <row r="68" spans="1:7">
      <c r="A68" t="s">
        <v>2835</v>
      </c>
      <c r="B68" t="s">
        <v>2836</v>
      </c>
      <c r="C68" t="s">
        <v>113</v>
      </c>
      <c r="D68" t="s">
        <v>42</v>
      </c>
      <c r="E68" t="s">
        <v>126</v>
      </c>
      <c r="G68" t="s">
        <v>2768</v>
      </c>
    </row>
    <row r="69" spans="1:7">
      <c r="A69" t="s">
        <v>3092</v>
      </c>
      <c r="B69" t="s">
        <v>1423</v>
      </c>
      <c r="C69" t="s">
        <v>113</v>
      </c>
      <c r="D69" t="s">
        <v>63</v>
      </c>
      <c r="E69" t="s">
        <v>82</v>
      </c>
      <c r="G69" t="s">
        <v>2777</v>
      </c>
    </row>
    <row r="70" spans="1:7">
      <c r="A70" t="s">
        <v>3093</v>
      </c>
      <c r="B70" t="s">
        <v>800</v>
      </c>
      <c r="C70" t="s">
        <v>113</v>
      </c>
      <c r="D70" t="s">
        <v>233</v>
      </c>
      <c r="E70" t="s">
        <v>624</v>
      </c>
      <c r="F70">
        <v>2</v>
      </c>
      <c r="G70" t="s">
        <v>3094</v>
      </c>
    </row>
    <row r="71" spans="1:7">
      <c r="A71" t="s">
        <v>3095</v>
      </c>
      <c r="B71" t="s">
        <v>1285</v>
      </c>
      <c r="C71" t="s">
        <v>117</v>
      </c>
      <c r="D71" t="s">
        <v>647</v>
      </c>
      <c r="E71" t="s">
        <v>768</v>
      </c>
      <c r="F71">
        <v>1</v>
      </c>
      <c r="G71" t="s">
        <v>3096</v>
      </c>
    </row>
    <row r="72" spans="1:7">
      <c r="A72" t="s">
        <v>3097</v>
      </c>
      <c r="B72" t="s">
        <v>1368</v>
      </c>
      <c r="C72" t="s">
        <v>113</v>
      </c>
      <c r="D72" t="s">
        <v>647</v>
      </c>
      <c r="E72" t="s">
        <v>768</v>
      </c>
      <c r="F72">
        <v>1</v>
      </c>
      <c r="G72" t="s">
        <v>2061</v>
      </c>
    </row>
    <row r="73" spans="1:7">
      <c r="A73" t="s">
        <v>2837</v>
      </c>
      <c r="B73" t="s">
        <v>2838</v>
      </c>
      <c r="C73" t="s">
        <v>113</v>
      </c>
      <c r="D73" t="s">
        <v>209</v>
      </c>
      <c r="E73" t="s">
        <v>647</v>
      </c>
      <c r="F73">
        <v>2</v>
      </c>
      <c r="G73" t="s">
        <v>2839</v>
      </c>
    </row>
    <row r="74" spans="1:7">
      <c r="A74" t="s">
        <v>3098</v>
      </c>
      <c r="B74" t="s">
        <v>1412</v>
      </c>
      <c r="C74" t="s">
        <v>113</v>
      </c>
      <c r="D74" t="s">
        <v>42</v>
      </c>
      <c r="E74" t="s">
        <v>172</v>
      </c>
      <c r="G74" t="s">
        <v>3099</v>
      </c>
    </row>
    <row r="75" spans="1:7">
      <c r="A75" t="s">
        <v>3100</v>
      </c>
      <c r="B75" t="s">
        <v>1484</v>
      </c>
      <c r="C75" t="s">
        <v>113</v>
      </c>
      <c r="D75" t="s">
        <v>117</v>
      </c>
      <c r="E75" t="s">
        <v>67</v>
      </c>
      <c r="F75">
        <v>3</v>
      </c>
      <c r="G75" t="s">
        <v>3074</v>
      </c>
    </row>
    <row r="76" spans="1:7">
      <c r="A76" t="s">
        <v>3101</v>
      </c>
      <c r="B76" t="s">
        <v>1587</v>
      </c>
      <c r="C76" t="s">
        <v>113</v>
      </c>
      <c r="D76" t="s">
        <v>154</v>
      </c>
      <c r="E76" t="s">
        <v>63</v>
      </c>
      <c r="F76">
        <v>1</v>
      </c>
      <c r="G76" t="s">
        <v>1692</v>
      </c>
    </row>
    <row r="77" spans="1:7">
      <c r="A77" t="s">
        <v>2840</v>
      </c>
      <c r="B77" t="s">
        <v>2841</v>
      </c>
      <c r="C77" t="s">
        <v>125</v>
      </c>
      <c r="D77" t="s">
        <v>126</v>
      </c>
      <c r="E77" t="s">
        <v>126</v>
      </c>
      <c r="G77" t="s">
        <v>2842</v>
      </c>
    </row>
    <row r="78" spans="1:7">
      <c r="A78" t="s">
        <v>2843</v>
      </c>
      <c r="B78" t="s">
        <v>2844</v>
      </c>
      <c r="C78" t="s">
        <v>125</v>
      </c>
      <c r="D78" t="s">
        <v>126</v>
      </c>
      <c r="E78" t="s">
        <v>126</v>
      </c>
      <c r="G78" t="s">
        <v>2845</v>
      </c>
    </row>
    <row r="79" spans="1:7">
      <c r="A79" t="s">
        <v>2846</v>
      </c>
      <c r="B79" t="s">
        <v>2847</v>
      </c>
      <c r="C79" t="s">
        <v>125</v>
      </c>
      <c r="D79" t="s">
        <v>126</v>
      </c>
      <c r="E79" t="s">
        <v>126</v>
      </c>
      <c r="G79" t="s">
        <v>1781</v>
      </c>
    </row>
    <row r="80" spans="1:7">
      <c r="A80" t="s">
        <v>2848</v>
      </c>
      <c r="B80" t="s">
        <v>2849</v>
      </c>
      <c r="C80" t="s">
        <v>125</v>
      </c>
      <c r="D80" t="s">
        <v>126</v>
      </c>
      <c r="E80" t="s">
        <v>126</v>
      </c>
      <c r="G80" t="s">
        <v>2106</v>
      </c>
    </row>
    <row r="81" spans="1:7">
      <c r="A81" t="s">
        <v>3102</v>
      </c>
      <c r="B81" t="s">
        <v>242</v>
      </c>
      <c r="C81" t="s">
        <v>113</v>
      </c>
      <c r="D81" t="s">
        <v>42</v>
      </c>
      <c r="E81" t="s">
        <v>63</v>
      </c>
      <c r="F81">
        <v>3</v>
      </c>
      <c r="G81" t="s">
        <v>2371</v>
      </c>
    </row>
    <row r="82" spans="1:7">
      <c r="A82" t="s">
        <v>3103</v>
      </c>
      <c r="B82" t="s">
        <v>1486</v>
      </c>
      <c r="C82" t="s">
        <v>113</v>
      </c>
      <c r="D82" t="s">
        <v>300</v>
      </c>
      <c r="E82" t="s">
        <v>156</v>
      </c>
      <c r="F82">
        <v>1</v>
      </c>
      <c r="G82" t="s">
        <v>3074</v>
      </c>
    </row>
    <row r="83" spans="1:7">
      <c r="A83" t="s">
        <v>3104</v>
      </c>
      <c r="B83" t="s">
        <v>1499</v>
      </c>
      <c r="C83" t="s">
        <v>113</v>
      </c>
      <c r="D83" t="s">
        <v>42</v>
      </c>
      <c r="E83" t="s">
        <v>213</v>
      </c>
      <c r="G83" t="s">
        <v>1710</v>
      </c>
    </row>
    <row r="84" spans="1:7">
      <c r="A84" t="s">
        <v>3105</v>
      </c>
      <c r="B84" t="s">
        <v>1219</v>
      </c>
      <c r="C84" t="s">
        <v>113</v>
      </c>
      <c r="D84" t="s">
        <v>42</v>
      </c>
      <c r="E84" t="s">
        <v>126</v>
      </c>
      <c r="G84" t="s">
        <v>3106</v>
      </c>
    </row>
    <row r="85" spans="1:7">
      <c r="A85" t="s">
        <v>3107</v>
      </c>
      <c r="B85" t="s">
        <v>1565</v>
      </c>
      <c r="C85" t="s">
        <v>113</v>
      </c>
      <c r="D85" t="s">
        <v>63</v>
      </c>
      <c r="E85" t="s">
        <v>209</v>
      </c>
      <c r="F85">
        <v>1</v>
      </c>
      <c r="G85" t="s">
        <v>3108</v>
      </c>
    </row>
    <row r="86" spans="1:7">
      <c r="A86" t="s">
        <v>2850</v>
      </c>
      <c r="B86" t="s">
        <v>2851</v>
      </c>
      <c r="C86" t="s">
        <v>117</v>
      </c>
      <c r="D86" t="s">
        <v>63</v>
      </c>
      <c r="E86" t="s">
        <v>172</v>
      </c>
      <c r="F86">
        <v>1</v>
      </c>
      <c r="G86" t="s">
        <v>2160</v>
      </c>
    </row>
    <row r="87" spans="1:7">
      <c r="A87" t="s">
        <v>3109</v>
      </c>
      <c r="B87" t="s">
        <v>1179</v>
      </c>
      <c r="C87" t="s">
        <v>113</v>
      </c>
      <c r="D87" t="s">
        <v>117</v>
      </c>
      <c r="E87" t="s">
        <v>67</v>
      </c>
      <c r="G87" t="s">
        <v>3110</v>
      </c>
    </row>
    <row r="88" spans="1:7">
      <c r="A88" t="s">
        <v>3111</v>
      </c>
      <c r="B88" t="s">
        <v>1534</v>
      </c>
      <c r="C88" t="s">
        <v>113</v>
      </c>
      <c r="D88" t="s">
        <v>42</v>
      </c>
      <c r="E88" t="s">
        <v>172</v>
      </c>
      <c r="G88" t="s">
        <v>2930</v>
      </c>
    </row>
    <row r="89" spans="1:7">
      <c r="A89" t="s">
        <v>3112</v>
      </c>
      <c r="B89" t="s">
        <v>1398</v>
      </c>
      <c r="C89" t="s">
        <v>113</v>
      </c>
      <c r="D89" t="s">
        <v>233</v>
      </c>
      <c r="E89" t="s">
        <v>624</v>
      </c>
      <c r="F89">
        <v>2</v>
      </c>
      <c r="G89" t="s">
        <v>3113</v>
      </c>
    </row>
    <row r="90" spans="1:7">
      <c r="A90" t="s">
        <v>2852</v>
      </c>
      <c r="B90" t="s">
        <v>2853</v>
      </c>
      <c r="C90" t="s">
        <v>125</v>
      </c>
      <c r="D90" t="s">
        <v>126</v>
      </c>
      <c r="E90" t="s">
        <v>126</v>
      </c>
      <c r="G90" t="s">
        <v>2421</v>
      </c>
    </row>
    <row r="91" spans="1:7">
      <c r="A91" t="s">
        <v>2854</v>
      </c>
      <c r="B91" t="s">
        <v>2855</v>
      </c>
      <c r="C91" t="s">
        <v>139</v>
      </c>
      <c r="D91" t="s">
        <v>117</v>
      </c>
      <c r="E91" t="s">
        <v>154</v>
      </c>
      <c r="F91">
        <v>1</v>
      </c>
      <c r="G91" t="s">
        <v>2444</v>
      </c>
    </row>
    <row r="92" spans="1:7">
      <c r="A92" t="s">
        <v>3114</v>
      </c>
      <c r="B92" t="s">
        <v>860</v>
      </c>
      <c r="C92" t="s">
        <v>113</v>
      </c>
      <c r="D92" t="s">
        <v>82</v>
      </c>
      <c r="E92" t="s">
        <v>180</v>
      </c>
      <c r="F92">
        <v>1</v>
      </c>
      <c r="G92" t="s">
        <v>2526</v>
      </c>
    </row>
    <row r="93" spans="1:7">
      <c r="A93" t="s">
        <v>3115</v>
      </c>
      <c r="B93" t="s">
        <v>1433</v>
      </c>
      <c r="C93" t="s">
        <v>113</v>
      </c>
      <c r="D93" t="s">
        <v>154</v>
      </c>
      <c r="E93" t="s">
        <v>160</v>
      </c>
      <c r="F93">
        <v>1</v>
      </c>
      <c r="G93" t="s">
        <v>3116</v>
      </c>
    </row>
    <row r="94" spans="1:7">
      <c r="A94" t="s">
        <v>3117</v>
      </c>
      <c r="B94" t="s">
        <v>1625</v>
      </c>
      <c r="C94" t="s">
        <v>113</v>
      </c>
      <c r="D94" t="s">
        <v>233</v>
      </c>
      <c r="E94" t="s">
        <v>154</v>
      </c>
      <c r="F94">
        <v>3</v>
      </c>
      <c r="G94" t="s">
        <v>3118</v>
      </c>
    </row>
    <row r="95" spans="1:7">
      <c r="A95" t="s">
        <v>3119</v>
      </c>
      <c r="B95" t="s">
        <v>1492</v>
      </c>
      <c r="C95" t="s">
        <v>113</v>
      </c>
      <c r="D95" t="s">
        <v>154</v>
      </c>
      <c r="E95" t="s">
        <v>147</v>
      </c>
      <c r="G95" t="s">
        <v>2638</v>
      </c>
    </row>
    <row r="96" spans="1:7">
      <c r="A96" t="s">
        <v>3120</v>
      </c>
      <c r="B96" t="s">
        <v>833</v>
      </c>
      <c r="C96" t="s">
        <v>136</v>
      </c>
      <c r="D96" t="s">
        <v>176</v>
      </c>
      <c r="E96" t="s">
        <v>217</v>
      </c>
      <c r="G96" t="s">
        <v>3121</v>
      </c>
    </row>
    <row r="97" spans="1:7">
      <c r="A97" t="s">
        <v>3122</v>
      </c>
      <c r="B97" t="s">
        <v>1503</v>
      </c>
      <c r="C97" t="s">
        <v>42</v>
      </c>
      <c r="D97" t="s">
        <v>213</v>
      </c>
      <c r="E97" t="s">
        <v>126</v>
      </c>
      <c r="G97" t="s">
        <v>3123</v>
      </c>
    </row>
    <row r="98" spans="1:7">
      <c r="A98" t="s">
        <v>3124</v>
      </c>
      <c r="B98" t="s">
        <v>1465</v>
      </c>
      <c r="C98" t="s">
        <v>113</v>
      </c>
      <c r="D98" t="s">
        <v>139</v>
      </c>
      <c r="E98" t="s">
        <v>154</v>
      </c>
      <c r="F98">
        <v>1</v>
      </c>
      <c r="G98" t="s">
        <v>3125</v>
      </c>
    </row>
    <row r="99" spans="1:7">
      <c r="A99" t="s">
        <v>3126</v>
      </c>
      <c r="B99" t="s">
        <v>1621</v>
      </c>
      <c r="C99" t="s">
        <v>113</v>
      </c>
      <c r="D99" t="s">
        <v>63</v>
      </c>
      <c r="E99" t="s">
        <v>959</v>
      </c>
      <c r="G99" t="s">
        <v>3024</v>
      </c>
    </row>
    <row r="100" spans="1:7">
      <c r="A100" t="s">
        <v>2856</v>
      </c>
      <c r="B100" t="s">
        <v>2857</v>
      </c>
      <c r="C100" t="s">
        <v>113</v>
      </c>
      <c r="D100" t="s">
        <v>82</v>
      </c>
      <c r="E100" t="s">
        <v>176</v>
      </c>
      <c r="G100" t="s">
        <v>2858</v>
      </c>
    </row>
    <row r="101" spans="1:7">
      <c r="A101" t="s">
        <v>3127</v>
      </c>
      <c r="B101" t="s">
        <v>1559</v>
      </c>
      <c r="C101" t="s">
        <v>113</v>
      </c>
      <c r="D101" t="s">
        <v>154</v>
      </c>
      <c r="E101" t="s">
        <v>82</v>
      </c>
      <c r="G101" t="s">
        <v>3128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BDB4-96B6-4A93-BD75-D7501052DE08}">
  <sheetPr codeName="Sheet19"/>
  <dimension ref="A1:G99"/>
  <sheetViews>
    <sheetView workbookViewId="0">
      <selection activeCell="C6" sqref="C6"/>
    </sheetView>
  </sheetViews>
  <sheetFormatPr defaultRowHeight="14.5"/>
  <cols>
    <col min="1" max="1" width="64.1796875" bestFit="1" customWidth="1"/>
    <col min="2" max="2" width="65.7265625" bestFit="1" customWidth="1"/>
    <col min="3" max="5" width="19.1796875" bestFit="1" customWidth="1"/>
    <col min="6" max="6" width="7.26953125" bestFit="1" customWidth="1"/>
    <col min="7" max="7" width="13" bestFit="1" customWidth="1"/>
  </cols>
  <sheetData>
    <row r="1" spans="1:7">
      <c r="A1" t="s">
        <v>101</v>
      </c>
      <c r="B1" t="s">
        <v>103</v>
      </c>
      <c r="C1" t="s">
        <v>104</v>
      </c>
      <c r="D1" t="s">
        <v>105</v>
      </c>
      <c r="E1" t="s">
        <v>106</v>
      </c>
      <c r="F1" t="s">
        <v>1664</v>
      </c>
      <c r="G1" t="s">
        <v>110</v>
      </c>
    </row>
    <row r="2" spans="1:7">
      <c r="A2" t="s">
        <v>2904</v>
      </c>
      <c r="B2" t="s">
        <v>1561</v>
      </c>
      <c r="C2" t="s">
        <v>113</v>
      </c>
      <c r="D2" t="s">
        <v>42</v>
      </c>
      <c r="E2" t="s">
        <v>204</v>
      </c>
      <c r="F2" t="s">
        <v>2905</v>
      </c>
    </row>
    <row r="3" spans="1:7">
      <c r="A3" t="s">
        <v>2906</v>
      </c>
      <c r="B3" t="s">
        <v>1234</v>
      </c>
      <c r="C3" t="s">
        <v>233</v>
      </c>
      <c r="D3" t="s">
        <v>42</v>
      </c>
      <c r="E3" t="s">
        <v>217</v>
      </c>
      <c r="F3" t="s">
        <v>2742</v>
      </c>
    </row>
    <row r="4" spans="1:7">
      <c r="A4" t="s">
        <v>2859</v>
      </c>
      <c r="B4" t="s">
        <v>2860</v>
      </c>
      <c r="C4" t="s">
        <v>125</v>
      </c>
      <c r="D4" t="s">
        <v>126</v>
      </c>
      <c r="E4" t="s">
        <v>126</v>
      </c>
      <c r="F4" t="s">
        <v>1927</v>
      </c>
    </row>
    <row r="5" spans="1:7">
      <c r="A5" t="s">
        <v>2907</v>
      </c>
      <c r="B5" t="s">
        <v>1639</v>
      </c>
      <c r="C5" t="s">
        <v>113</v>
      </c>
      <c r="D5" t="s">
        <v>154</v>
      </c>
      <c r="E5" t="s">
        <v>300</v>
      </c>
      <c r="F5" t="s">
        <v>2908</v>
      </c>
      <c r="G5">
        <v>1</v>
      </c>
    </row>
    <row r="6" spans="1:7">
      <c r="A6" t="s">
        <v>2909</v>
      </c>
      <c r="B6" t="s">
        <v>1637</v>
      </c>
      <c r="C6" t="s">
        <v>113</v>
      </c>
      <c r="D6" t="s">
        <v>511</v>
      </c>
      <c r="E6" t="s">
        <v>204</v>
      </c>
      <c r="F6" t="s">
        <v>2910</v>
      </c>
    </row>
    <row r="7" spans="1:7">
      <c r="A7" t="s">
        <v>2911</v>
      </c>
      <c r="B7" t="s">
        <v>1429</v>
      </c>
      <c r="C7" t="s">
        <v>113</v>
      </c>
      <c r="D7" t="s">
        <v>154</v>
      </c>
      <c r="E7" t="s">
        <v>82</v>
      </c>
      <c r="F7" t="s">
        <v>2912</v>
      </c>
      <c r="G7">
        <v>1</v>
      </c>
    </row>
    <row r="8" spans="1:7">
      <c r="A8" t="s">
        <v>2913</v>
      </c>
      <c r="B8" t="s">
        <v>1542</v>
      </c>
      <c r="C8" t="s">
        <v>113</v>
      </c>
      <c r="D8" t="s">
        <v>139</v>
      </c>
      <c r="E8" t="s">
        <v>42</v>
      </c>
      <c r="F8" t="s">
        <v>2914</v>
      </c>
    </row>
    <row r="9" spans="1:7">
      <c r="A9" t="s">
        <v>2915</v>
      </c>
      <c r="B9" t="s">
        <v>1589</v>
      </c>
      <c r="C9" t="s">
        <v>113</v>
      </c>
      <c r="D9" t="s">
        <v>42</v>
      </c>
      <c r="E9" t="s">
        <v>82</v>
      </c>
      <c r="F9" t="s">
        <v>2916</v>
      </c>
    </row>
    <row r="10" spans="1:7">
      <c r="A10" t="s">
        <v>2917</v>
      </c>
      <c r="B10" t="s">
        <v>1509</v>
      </c>
      <c r="C10" t="s">
        <v>113</v>
      </c>
      <c r="D10" t="s">
        <v>300</v>
      </c>
      <c r="E10" t="s">
        <v>156</v>
      </c>
      <c r="F10" t="s">
        <v>2558</v>
      </c>
    </row>
    <row r="11" spans="1:7">
      <c r="A11" t="s">
        <v>2861</v>
      </c>
      <c r="B11" t="s">
        <v>2862</v>
      </c>
      <c r="C11" t="s">
        <v>125</v>
      </c>
      <c r="D11" t="s">
        <v>126</v>
      </c>
      <c r="E11" t="s">
        <v>126</v>
      </c>
      <c r="F11" t="s">
        <v>1861</v>
      </c>
    </row>
    <row r="12" spans="1:7">
      <c r="A12" t="s">
        <v>2918</v>
      </c>
      <c r="B12" t="s">
        <v>1334</v>
      </c>
      <c r="C12" t="s">
        <v>113</v>
      </c>
      <c r="D12" t="s">
        <v>42</v>
      </c>
      <c r="E12" t="s">
        <v>126</v>
      </c>
      <c r="F12" t="s">
        <v>2919</v>
      </c>
    </row>
    <row r="13" spans="1:7">
      <c r="A13" t="s">
        <v>2920</v>
      </c>
      <c r="B13" t="s">
        <v>1243</v>
      </c>
      <c r="C13" t="s">
        <v>113</v>
      </c>
      <c r="D13" t="s">
        <v>65</v>
      </c>
      <c r="E13" t="s">
        <v>959</v>
      </c>
      <c r="F13" t="s">
        <v>2603</v>
      </c>
    </row>
    <row r="14" spans="1:7">
      <c r="A14" t="s">
        <v>2921</v>
      </c>
      <c r="B14" t="s">
        <v>438</v>
      </c>
      <c r="C14" t="s">
        <v>135</v>
      </c>
      <c r="D14" t="s">
        <v>136</v>
      </c>
      <c r="E14" t="s">
        <v>204</v>
      </c>
      <c r="F14" t="s">
        <v>2922</v>
      </c>
    </row>
    <row r="15" spans="1:7">
      <c r="A15" t="s">
        <v>2923</v>
      </c>
      <c r="B15" t="s">
        <v>1316</v>
      </c>
      <c r="C15" t="s">
        <v>113</v>
      </c>
      <c r="D15" t="s">
        <v>154</v>
      </c>
      <c r="E15" t="s">
        <v>82</v>
      </c>
      <c r="F15" t="s">
        <v>2924</v>
      </c>
      <c r="G15">
        <v>1</v>
      </c>
    </row>
    <row r="16" spans="1:7">
      <c r="A16" t="s">
        <v>2925</v>
      </c>
      <c r="B16" t="s">
        <v>1599</v>
      </c>
      <c r="C16" t="s">
        <v>113</v>
      </c>
      <c r="D16" t="s">
        <v>117</v>
      </c>
      <c r="E16" t="s">
        <v>42</v>
      </c>
      <c r="F16" t="s">
        <v>2926</v>
      </c>
      <c r="G16">
        <v>1</v>
      </c>
    </row>
    <row r="17" spans="1:7">
      <c r="A17" t="s">
        <v>2863</v>
      </c>
      <c r="B17" t="s">
        <v>2864</v>
      </c>
      <c r="C17" t="s">
        <v>125</v>
      </c>
      <c r="D17" t="s">
        <v>126</v>
      </c>
      <c r="E17" t="s">
        <v>126</v>
      </c>
      <c r="F17" t="s">
        <v>1765</v>
      </c>
    </row>
    <row r="18" spans="1:7">
      <c r="A18" t="s">
        <v>2927</v>
      </c>
      <c r="B18" t="s">
        <v>525</v>
      </c>
      <c r="C18" t="s">
        <v>113</v>
      </c>
      <c r="D18" t="s">
        <v>63</v>
      </c>
      <c r="E18" t="s">
        <v>172</v>
      </c>
      <c r="F18" t="s">
        <v>2928</v>
      </c>
    </row>
    <row r="19" spans="1:7">
      <c r="A19" t="s">
        <v>2929</v>
      </c>
      <c r="B19" t="s">
        <v>1536</v>
      </c>
      <c r="C19" t="s">
        <v>113</v>
      </c>
      <c r="D19" t="s">
        <v>42</v>
      </c>
      <c r="E19" t="s">
        <v>65</v>
      </c>
      <c r="F19" t="s">
        <v>2930</v>
      </c>
      <c r="G19">
        <v>1</v>
      </c>
    </row>
    <row r="20" spans="1:7">
      <c r="A20" t="s">
        <v>2931</v>
      </c>
      <c r="B20" t="s">
        <v>1169</v>
      </c>
      <c r="C20" t="s">
        <v>113</v>
      </c>
      <c r="D20" t="s">
        <v>42</v>
      </c>
      <c r="E20" t="s">
        <v>160</v>
      </c>
      <c r="F20" t="s">
        <v>2740</v>
      </c>
      <c r="G20">
        <v>2</v>
      </c>
    </row>
    <row r="21" spans="1:7">
      <c r="A21" t="s">
        <v>2865</v>
      </c>
      <c r="B21" t="s">
        <v>2866</v>
      </c>
      <c r="C21" t="s">
        <v>113</v>
      </c>
      <c r="D21" t="s">
        <v>154</v>
      </c>
      <c r="E21" t="s">
        <v>126</v>
      </c>
      <c r="F21" t="s">
        <v>2690</v>
      </c>
    </row>
    <row r="22" spans="1:7">
      <c r="A22" t="s">
        <v>2932</v>
      </c>
      <c r="B22" t="s">
        <v>1513</v>
      </c>
      <c r="C22" t="s">
        <v>113</v>
      </c>
      <c r="D22" t="s">
        <v>233</v>
      </c>
      <c r="E22" t="s">
        <v>136</v>
      </c>
      <c r="F22" t="s">
        <v>2933</v>
      </c>
      <c r="G22">
        <v>3</v>
      </c>
    </row>
    <row r="23" spans="1:7">
      <c r="A23" t="s">
        <v>2867</v>
      </c>
      <c r="B23" t="s">
        <v>2868</v>
      </c>
      <c r="C23" t="s">
        <v>125</v>
      </c>
      <c r="D23" t="s">
        <v>126</v>
      </c>
      <c r="E23" t="s">
        <v>126</v>
      </c>
      <c r="F23" t="s">
        <v>2545</v>
      </c>
    </row>
    <row r="24" spans="1:7">
      <c r="A24" t="s">
        <v>2934</v>
      </c>
      <c r="B24" t="s">
        <v>1530</v>
      </c>
      <c r="C24" t="s">
        <v>42</v>
      </c>
      <c r="D24" t="s">
        <v>135</v>
      </c>
      <c r="E24" t="s">
        <v>204</v>
      </c>
      <c r="F24" t="s">
        <v>2935</v>
      </c>
    </row>
    <row r="25" spans="1:7">
      <c r="A25" t="s">
        <v>2936</v>
      </c>
      <c r="B25" t="s">
        <v>1528</v>
      </c>
      <c r="C25" t="s">
        <v>113</v>
      </c>
      <c r="D25" t="s">
        <v>63</v>
      </c>
      <c r="E25" t="s">
        <v>121</v>
      </c>
      <c r="F25" t="s">
        <v>2937</v>
      </c>
      <c r="G25">
        <v>1</v>
      </c>
    </row>
    <row r="26" spans="1:7">
      <c r="A26" t="s">
        <v>2938</v>
      </c>
      <c r="B26" t="s">
        <v>1653</v>
      </c>
      <c r="C26" t="s">
        <v>113</v>
      </c>
      <c r="D26" t="s">
        <v>300</v>
      </c>
      <c r="E26" t="s">
        <v>126</v>
      </c>
      <c r="F26" t="s">
        <v>2939</v>
      </c>
    </row>
    <row r="27" spans="1:7">
      <c r="A27" t="s">
        <v>2940</v>
      </c>
      <c r="B27" t="s">
        <v>826</v>
      </c>
      <c r="C27" t="s">
        <v>113</v>
      </c>
      <c r="D27" t="s">
        <v>233</v>
      </c>
      <c r="E27" t="s">
        <v>42</v>
      </c>
      <c r="F27" t="s">
        <v>1896</v>
      </c>
      <c r="G27">
        <v>2</v>
      </c>
    </row>
    <row r="28" spans="1:7">
      <c r="A28" t="s">
        <v>2941</v>
      </c>
      <c r="B28" t="s">
        <v>1557</v>
      </c>
      <c r="C28" t="s">
        <v>113</v>
      </c>
      <c r="D28" t="s">
        <v>233</v>
      </c>
      <c r="E28" t="s">
        <v>42</v>
      </c>
      <c r="F28" t="s">
        <v>2942</v>
      </c>
      <c r="G28">
        <v>2</v>
      </c>
    </row>
    <row r="29" spans="1:7">
      <c r="A29" t="s">
        <v>2943</v>
      </c>
      <c r="B29" t="s">
        <v>1651</v>
      </c>
      <c r="C29" t="s">
        <v>113</v>
      </c>
      <c r="D29" t="s">
        <v>42</v>
      </c>
      <c r="E29" t="s">
        <v>65</v>
      </c>
      <c r="F29" t="s">
        <v>2944</v>
      </c>
      <c r="G29">
        <v>1</v>
      </c>
    </row>
    <row r="30" spans="1:7">
      <c r="A30" t="s">
        <v>2945</v>
      </c>
      <c r="B30" t="s">
        <v>1501</v>
      </c>
      <c r="C30" t="s">
        <v>113</v>
      </c>
      <c r="D30" t="s">
        <v>42</v>
      </c>
      <c r="E30" t="s">
        <v>65</v>
      </c>
      <c r="F30" t="s">
        <v>1710</v>
      </c>
      <c r="G30">
        <v>1</v>
      </c>
    </row>
    <row r="31" spans="1:7">
      <c r="A31" t="s">
        <v>2946</v>
      </c>
      <c r="B31" t="s">
        <v>1649</v>
      </c>
      <c r="C31" t="s">
        <v>233</v>
      </c>
      <c r="D31" t="s">
        <v>117</v>
      </c>
      <c r="E31" t="s">
        <v>42</v>
      </c>
      <c r="F31" t="s">
        <v>2947</v>
      </c>
      <c r="G31">
        <v>2</v>
      </c>
    </row>
    <row r="32" spans="1:7">
      <c r="A32" t="s">
        <v>2948</v>
      </c>
      <c r="B32" t="s">
        <v>1567</v>
      </c>
      <c r="C32" t="s">
        <v>113</v>
      </c>
      <c r="D32" t="s">
        <v>117</v>
      </c>
      <c r="E32" t="s">
        <v>154</v>
      </c>
      <c r="F32" t="s">
        <v>2949</v>
      </c>
      <c r="G32">
        <v>2</v>
      </c>
    </row>
    <row r="33" spans="1:7">
      <c r="A33" t="s">
        <v>2950</v>
      </c>
      <c r="B33" t="s">
        <v>1661</v>
      </c>
      <c r="C33" t="s">
        <v>113</v>
      </c>
      <c r="D33" t="s">
        <v>184</v>
      </c>
      <c r="E33" t="s">
        <v>797</v>
      </c>
      <c r="F33" t="s">
        <v>2951</v>
      </c>
    </row>
    <row r="34" spans="1:7">
      <c r="A34" t="s">
        <v>2952</v>
      </c>
      <c r="B34" t="s">
        <v>1577</v>
      </c>
      <c r="C34" t="s">
        <v>113</v>
      </c>
      <c r="D34" t="s">
        <v>139</v>
      </c>
      <c r="E34" t="s">
        <v>172</v>
      </c>
      <c r="F34" t="s">
        <v>2509</v>
      </c>
      <c r="G34">
        <v>2</v>
      </c>
    </row>
    <row r="35" spans="1:7">
      <c r="A35" t="s">
        <v>2869</v>
      </c>
      <c r="B35" t="s">
        <v>2870</v>
      </c>
      <c r="C35" t="s">
        <v>125</v>
      </c>
      <c r="D35" t="s">
        <v>126</v>
      </c>
      <c r="E35" t="s">
        <v>126</v>
      </c>
      <c r="F35" t="s">
        <v>2150</v>
      </c>
    </row>
    <row r="36" spans="1:7">
      <c r="A36" t="s">
        <v>2871</v>
      </c>
      <c r="B36" t="s">
        <v>2872</v>
      </c>
      <c r="C36" t="s">
        <v>113</v>
      </c>
      <c r="D36" t="s">
        <v>42</v>
      </c>
      <c r="E36" t="s">
        <v>126</v>
      </c>
      <c r="F36" t="s">
        <v>2111</v>
      </c>
    </row>
    <row r="37" spans="1:7">
      <c r="A37" t="s">
        <v>2953</v>
      </c>
      <c r="B37" t="s">
        <v>1416</v>
      </c>
      <c r="C37" t="s">
        <v>139</v>
      </c>
      <c r="D37" t="s">
        <v>233</v>
      </c>
      <c r="E37" t="s">
        <v>263</v>
      </c>
      <c r="F37" t="s">
        <v>2954</v>
      </c>
      <c r="G37">
        <v>1</v>
      </c>
    </row>
    <row r="38" spans="1:7">
      <c r="A38" t="s">
        <v>2955</v>
      </c>
      <c r="B38" t="s">
        <v>1165</v>
      </c>
      <c r="C38" t="s">
        <v>113</v>
      </c>
      <c r="D38" t="s">
        <v>63</v>
      </c>
      <c r="E38" t="s">
        <v>172</v>
      </c>
      <c r="F38" t="s">
        <v>2956</v>
      </c>
    </row>
    <row r="39" spans="1:7">
      <c r="A39" t="s">
        <v>2957</v>
      </c>
      <c r="B39" t="s">
        <v>1657</v>
      </c>
      <c r="C39" t="s">
        <v>113</v>
      </c>
      <c r="D39" t="s">
        <v>42</v>
      </c>
      <c r="E39" t="s">
        <v>217</v>
      </c>
      <c r="F39" t="s">
        <v>2958</v>
      </c>
    </row>
    <row r="40" spans="1:7">
      <c r="A40" t="s">
        <v>2959</v>
      </c>
      <c r="B40" t="s">
        <v>926</v>
      </c>
      <c r="C40" t="s">
        <v>113</v>
      </c>
      <c r="D40" t="s">
        <v>42</v>
      </c>
      <c r="E40" t="s">
        <v>126</v>
      </c>
      <c r="F40" t="s">
        <v>1788</v>
      </c>
    </row>
    <row r="41" spans="1:7">
      <c r="A41" t="s">
        <v>2873</v>
      </c>
      <c r="B41" t="s">
        <v>2874</v>
      </c>
      <c r="C41" t="s">
        <v>113</v>
      </c>
      <c r="D41" t="s">
        <v>139</v>
      </c>
      <c r="E41" t="s">
        <v>117</v>
      </c>
      <c r="F41" t="s">
        <v>2376</v>
      </c>
      <c r="G41">
        <v>3</v>
      </c>
    </row>
    <row r="42" spans="1:7">
      <c r="A42" t="s">
        <v>2960</v>
      </c>
      <c r="B42" t="s">
        <v>1351</v>
      </c>
      <c r="C42" t="s">
        <v>113</v>
      </c>
      <c r="D42" t="s">
        <v>233</v>
      </c>
      <c r="E42" t="s">
        <v>82</v>
      </c>
      <c r="F42" t="s">
        <v>2255</v>
      </c>
      <c r="G42">
        <v>3</v>
      </c>
    </row>
    <row r="43" spans="1:7">
      <c r="A43" t="s">
        <v>2961</v>
      </c>
      <c r="B43" t="s">
        <v>1617</v>
      </c>
      <c r="C43" t="s">
        <v>113</v>
      </c>
      <c r="D43" t="s">
        <v>42</v>
      </c>
      <c r="E43" t="s">
        <v>82</v>
      </c>
      <c r="F43" t="s">
        <v>2355</v>
      </c>
    </row>
    <row r="44" spans="1:7">
      <c r="A44" t="s">
        <v>2962</v>
      </c>
      <c r="B44" t="s">
        <v>1631</v>
      </c>
      <c r="C44" t="s">
        <v>113</v>
      </c>
      <c r="D44" t="s">
        <v>154</v>
      </c>
      <c r="E44" t="s">
        <v>172</v>
      </c>
      <c r="F44" t="s">
        <v>2963</v>
      </c>
    </row>
    <row r="45" spans="1:7">
      <c r="A45" t="s">
        <v>2964</v>
      </c>
      <c r="B45" t="s">
        <v>1619</v>
      </c>
      <c r="C45" t="s">
        <v>113</v>
      </c>
      <c r="D45" t="s">
        <v>117</v>
      </c>
      <c r="E45" t="s">
        <v>154</v>
      </c>
      <c r="F45" t="s">
        <v>2965</v>
      </c>
      <c r="G45">
        <v>5</v>
      </c>
    </row>
    <row r="46" spans="1:7">
      <c r="A46" t="s">
        <v>2966</v>
      </c>
      <c r="B46" t="s">
        <v>440</v>
      </c>
      <c r="C46" t="s">
        <v>139</v>
      </c>
      <c r="D46" t="s">
        <v>117</v>
      </c>
      <c r="E46" t="s">
        <v>209</v>
      </c>
      <c r="F46" t="s">
        <v>2922</v>
      </c>
    </row>
    <row r="47" spans="1:7">
      <c r="A47" t="s">
        <v>2875</v>
      </c>
      <c r="B47" t="s">
        <v>2876</v>
      </c>
      <c r="C47" t="s">
        <v>113</v>
      </c>
      <c r="D47" t="s">
        <v>139</v>
      </c>
      <c r="E47" t="s">
        <v>42</v>
      </c>
      <c r="F47" t="s">
        <v>1916</v>
      </c>
    </row>
    <row r="48" spans="1:7">
      <c r="A48" t="s">
        <v>2967</v>
      </c>
      <c r="B48" t="s">
        <v>1659</v>
      </c>
      <c r="C48" t="s">
        <v>117</v>
      </c>
      <c r="D48" t="s">
        <v>768</v>
      </c>
      <c r="E48" t="s">
        <v>126</v>
      </c>
      <c r="F48" t="s">
        <v>2968</v>
      </c>
    </row>
    <row r="49" spans="1:7">
      <c r="A49" t="s">
        <v>2969</v>
      </c>
      <c r="B49" t="s">
        <v>1435</v>
      </c>
      <c r="C49" t="s">
        <v>233</v>
      </c>
      <c r="D49" t="s">
        <v>82</v>
      </c>
      <c r="E49" t="s">
        <v>84</v>
      </c>
      <c r="F49" t="s">
        <v>2970</v>
      </c>
    </row>
    <row r="50" spans="1:7">
      <c r="A50" t="s">
        <v>2971</v>
      </c>
      <c r="B50" t="s">
        <v>1425</v>
      </c>
      <c r="C50" t="s">
        <v>113</v>
      </c>
      <c r="D50" t="s">
        <v>139</v>
      </c>
      <c r="E50" t="s">
        <v>121</v>
      </c>
      <c r="F50" t="s">
        <v>2777</v>
      </c>
      <c r="G50">
        <v>1</v>
      </c>
    </row>
    <row r="51" spans="1:7">
      <c r="A51" t="s">
        <v>2972</v>
      </c>
      <c r="B51" t="s">
        <v>1601</v>
      </c>
      <c r="C51" t="s">
        <v>113</v>
      </c>
      <c r="D51" t="s">
        <v>139</v>
      </c>
      <c r="E51" t="s">
        <v>233</v>
      </c>
      <c r="F51" t="s">
        <v>2973</v>
      </c>
      <c r="G51">
        <v>5</v>
      </c>
    </row>
    <row r="52" spans="1:7">
      <c r="A52" t="s">
        <v>2877</v>
      </c>
      <c r="B52" t="s">
        <v>2878</v>
      </c>
      <c r="C52" t="s">
        <v>135</v>
      </c>
      <c r="D52" t="s">
        <v>136</v>
      </c>
      <c r="E52" t="s">
        <v>126</v>
      </c>
      <c r="F52" t="s">
        <v>1742</v>
      </c>
    </row>
    <row r="53" spans="1:7">
      <c r="A53" t="s">
        <v>2974</v>
      </c>
      <c r="B53" t="s">
        <v>1188</v>
      </c>
      <c r="C53" t="s">
        <v>233</v>
      </c>
      <c r="D53" t="s">
        <v>42</v>
      </c>
      <c r="E53" t="s">
        <v>263</v>
      </c>
      <c r="F53" t="s">
        <v>1994</v>
      </c>
    </row>
    <row r="54" spans="1:7">
      <c r="A54" t="s">
        <v>2975</v>
      </c>
      <c r="B54" t="s">
        <v>1370</v>
      </c>
      <c r="C54" t="s">
        <v>117</v>
      </c>
      <c r="D54" t="s">
        <v>42</v>
      </c>
      <c r="E54" t="s">
        <v>126</v>
      </c>
      <c r="F54" t="s">
        <v>2061</v>
      </c>
    </row>
    <row r="55" spans="1:7">
      <c r="A55" t="s">
        <v>2976</v>
      </c>
      <c r="B55" t="s">
        <v>1643</v>
      </c>
      <c r="C55" t="s">
        <v>113</v>
      </c>
      <c r="D55" t="s">
        <v>139</v>
      </c>
      <c r="E55" t="s">
        <v>209</v>
      </c>
      <c r="F55" t="s">
        <v>2977</v>
      </c>
      <c r="G55">
        <v>1</v>
      </c>
    </row>
    <row r="56" spans="1:7">
      <c r="A56" t="s">
        <v>2978</v>
      </c>
      <c r="B56" t="s">
        <v>1597</v>
      </c>
      <c r="C56" t="s">
        <v>113</v>
      </c>
      <c r="D56" t="s">
        <v>139</v>
      </c>
      <c r="E56" t="s">
        <v>117</v>
      </c>
      <c r="F56" t="s">
        <v>2979</v>
      </c>
      <c r="G56">
        <v>3</v>
      </c>
    </row>
    <row r="57" spans="1:7">
      <c r="A57" t="s">
        <v>2879</v>
      </c>
      <c r="B57" t="s">
        <v>2880</v>
      </c>
      <c r="C57" t="s">
        <v>139</v>
      </c>
      <c r="D57" t="s">
        <v>117</v>
      </c>
      <c r="E57" t="s">
        <v>209</v>
      </c>
      <c r="F57" t="s">
        <v>2881</v>
      </c>
    </row>
    <row r="58" spans="1:7">
      <c r="A58" t="s">
        <v>2980</v>
      </c>
      <c r="B58" t="s">
        <v>1645</v>
      </c>
      <c r="C58" t="s">
        <v>117</v>
      </c>
      <c r="D58" t="s">
        <v>42</v>
      </c>
      <c r="E58" t="s">
        <v>213</v>
      </c>
      <c r="F58" t="s">
        <v>2981</v>
      </c>
    </row>
    <row r="59" spans="1:7">
      <c r="A59" t="s">
        <v>2982</v>
      </c>
      <c r="B59" t="s">
        <v>1154</v>
      </c>
      <c r="C59" t="s">
        <v>113</v>
      </c>
      <c r="D59" t="s">
        <v>233</v>
      </c>
      <c r="E59" t="s">
        <v>42</v>
      </c>
      <c r="F59" t="s">
        <v>1861</v>
      </c>
      <c r="G59">
        <v>1</v>
      </c>
    </row>
    <row r="60" spans="1:7">
      <c r="A60" t="s">
        <v>2983</v>
      </c>
      <c r="B60" t="s">
        <v>1353</v>
      </c>
      <c r="C60" t="s">
        <v>139</v>
      </c>
      <c r="D60" t="s">
        <v>233</v>
      </c>
      <c r="E60" t="s">
        <v>117</v>
      </c>
      <c r="F60" t="s">
        <v>2255</v>
      </c>
      <c r="G60">
        <v>2</v>
      </c>
    </row>
    <row r="61" spans="1:7">
      <c r="A61" t="s">
        <v>2984</v>
      </c>
      <c r="B61" t="s">
        <v>1641</v>
      </c>
      <c r="C61" t="s">
        <v>233</v>
      </c>
      <c r="D61" t="s">
        <v>117</v>
      </c>
      <c r="E61" t="s">
        <v>42</v>
      </c>
      <c r="F61" t="s">
        <v>2908</v>
      </c>
      <c r="G61">
        <v>1</v>
      </c>
    </row>
    <row r="62" spans="1:7">
      <c r="A62" t="s">
        <v>2985</v>
      </c>
      <c r="B62" t="s">
        <v>1147</v>
      </c>
      <c r="C62" t="s">
        <v>113</v>
      </c>
      <c r="D62" t="s">
        <v>154</v>
      </c>
      <c r="E62" t="s">
        <v>209</v>
      </c>
      <c r="F62" t="s">
        <v>2986</v>
      </c>
      <c r="G62">
        <v>2</v>
      </c>
    </row>
    <row r="63" spans="1:7">
      <c r="A63" t="s">
        <v>2987</v>
      </c>
      <c r="B63" t="s">
        <v>1663</v>
      </c>
      <c r="C63" t="s">
        <v>233</v>
      </c>
      <c r="D63" t="s">
        <v>117</v>
      </c>
      <c r="E63" t="s">
        <v>44</v>
      </c>
      <c r="F63" t="s">
        <v>2988</v>
      </c>
      <c r="G63">
        <v>2</v>
      </c>
    </row>
    <row r="64" spans="1:7">
      <c r="A64" t="s">
        <v>2989</v>
      </c>
      <c r="B64" t="s">
        <v>1439</v>
      </c>
      <c r="C64" t="s">
        <v>113</v>
      </c>
      <c r="D64" t="s">
        <v>139</v>
      </c>
      <c r="E64" t="s">
        <v>42</v>
      </c>
      <c r="F64" t="s">
        <v>2589</v>
      </c>
    </row>
    <row r="65" spans="1:7">
      <c r="A65" t="s">
        <v>2990</v>
      </c>
      <c r="B65" t="s">
        <v>1467</v>
      </c>
      <c r="C65" t="s">
        <v>233</v>
      </c>
      <c r="D65" t="s">
        <v>117</v>
      </c>
      <c r="E65" t="s">
        <v>42</v>
      </c>
      <c r="F65" t="s">
        <v>2991</v>
      </c>
      <c r="G65">
        <v>1</v>
      </c>
    </row>
    <row r="66" spans="1:7">
      <c r="A66" t="s">
        <v>2992</v>
      </c>
      <c r="B66" t="s">
        <v>1647</v>
      </c>
      <c r="C66" t="s">
        <v>113</v>
      </c>
      <c r="D66" t="s">
        <v>154</v>
      </c>
      <c r="E66" t="s">
        <v>63</v>
      </c>
      <c r="F66" t="s">
        <v>2993</v>
      </c>
    </row>
    <row r="67" spans="1:7">
      <c r="A67" t="s">
        <v>2882</v>
      </c>
      <c r="B67" t="s">
        <v>2883</v>
      </c>
      <c r="C67" t="s">
        <v>113</v>
      </c>
      <c r="D67" t="s">
        <v>160</v>
      </c>
      <c r="E67" t="s">
        <v>65</v>
      </c>
      <c r="F67" t="s">
        <v>2046</v>
      </c>
      <c r="G67">
        <v>1</v>
      </c>
    </row>
    <row r="68" spans="1:7">
      <c r="A68" t="s">
        <v>2994</v>
      </c>
      <c r="B68" t="s">
        <v>1075</v>
      </c>
      <c r="C68" t="s">
        <v>113</v>
      </c>
      <c r="D68" t="s">
        <v>42</v>
      </c>
      <c r="E68" t="s">
        <v>65</v>
      </c>
      <c r="F68" t="s">
        <v>2310</v>
      </c>
    </row>
    <row r="69" spans="1:7">
      <c r="A69" t="s">
        <v>2995</v>
      </c>
      <c r="B69" t="s">
        <v>1443</v>
      </c>
      <c r="C69" t="s">
        <v>42</v>
      </c>
      <c r="D69" t="s">
        <v>135</v>
      </c>
      <c r="E69" t="s">
        <v>136</v>
      </c>
      <c r="F69" t="s">
        <v>2570</v>
      </c>
    </row>
    <row r="70" spans="1:7">
      <c r="A70" t="s">
        <v>2884</v>
      </c>
      <c r="B70" t="s">
        <v>2885</v>
      </c>
      <c r="C70" t="s">
        <v>125</v>
      </c>
      <c r="D70" t="s">
        <v>126</v>
      </c>
      <c r="E70" t="s">
        <v>126</v>
      </c>
      <c r="F70" t="s">
        <v>2886</v>
      </c>
    </row>
    <row r="71" spans="1:7">
      <c r="A71" t="s">
        <v>2887</v>
      </c>
      <c r="B71" t="s">
        <v>2888</v>
      </c>
      <c r="C71" t="s">
        <v>139</v>
      </c>
      <c r="D71" t="s">
        <v>154</v>
      </c>
      <c r="E71" t="s">
        <v>155</v>
      </c>
      <c r="F71" t="s">
        <v>1790</v>
      </c>
      <c r="G71">
        <v>4</v>
      </c>
    </row>
    <row r="72" spans="1:7">
      <c r="A72" t="s">
        <v>2996</v>
      </c>
      <c r="B72" t="s">
        <v>445</v>
      </c>
      <c r="C72" t="s">
        <v>135</v>
      </c>
      <c r="D72" t="s">
        <v>136</v>
      </c>
      <c r="E72" t="s">
        <v>176</v>
      </c>
      <c r="F72" t="s">
        <v>2177</v>
      </c>
    </row>
    <row r="73" spans="1:7">
      <c r="A73" t="s">
        <v>2997</v>
      </c>
      <c r="B73" t="s">
        <v>124</v>
      </c>
      <c r="C73" t="s">
        <v>125</v>
      </c>
      <c r="D73" t="s">
        <v>126</v>
      </c>
      <c r="E73" t="s">
        <v>126</v>
      </c>
      <c r="F73" t="s">
        <v>2803</v>
      </c>
    </row>
    <row r="74" spans="1:7">
      <c r="A74" t="s">
        <v>2998</v>
      </c>
      <c r="B74" t="s">
        <v>1469</v>
      </c>
      <c r="C74" t="s">
        <v>113</v>
      </c>
      <c r="D74" t="s">
        <v>139</v>
      </c>
      <c r="E74" t="s">
        <v>233</v>
      </c>
      <c r="F74" t="s">
        <v>2991</v>
      </c>
      <c r="G74">
        <v>2</v>
      </c>
    </row>
    <row r="75" spans="1:7">
      <c r="A75" t="s">
        <v>2999</v>
      </c>
      <c r="B75" t="s">
        <v>1591</v>
      </c>
      <c r="C75" t="s">
        <v>113</v>
      </c>
      <c r="D75" t="s">
        <v>233</v>
      </c>
      <c r="E75" t="s">
        <v>300</v>
      </c>
      <c r="F75" t="s">
        <v>3000</v>
      </c>
      <c r="G75">
        <v>3</v>
      </c>
    </row>
    <row r="76" spans="1:7">
      <c r="A76" t="s">
        <v>2889</v>
      </c>
      <c r="B76" t="s">
        <v>2890</v>
      </c>
      <c r="C76" t="s">
        <v>113</v>
      </c>
      <c r="D76" t="s">
        <v>136</v>
      </c>
      <c r="E76" t="s">
        <v>147</v>
      </c>
      <c r="F76" t="s">
        <v>2265</v>
      </c>
    </row>
    <row r="77" spans="1:7">
      <c r="A77" t="s">
        <v>2891</v>
      </c>
      <c r="B77" t="s">
        <v>2892</v>
      </c>
      <c r="C77" t="s">
        <v>125</v>
      </c>
      <c r="D77" t="s">
        <v>126</v>
      </c>
      <c r="E77" t="s">
        <v>126</v>
      </c>
      <c r="F77" t="s">
        <v>2893</v>
      </c>
    </row>
    <row r="78" spans="1:7">
      <c r="A78" t="s">
        <v>2894</v>
      </c>
      <c r="B78" t="s">
        <v>2895</v>
      </c>
      <c r="C78" t="s">
        <v>113</v>
      </c>
      <c r="D78" t="s">
        <v>136</v>
      </c>
      <c r="E78" t="s">
        <v>121</v>
      </c>
      <c r="F78" t="s">
        <v>1908</v>
      </c>
    </row>
    <row r="79" spans="1:7">
      <c r="A79" t="s">
        <v>3001</v>
      </c>
      <c r="B79" t="s">
        <v>1548</v>
      </c>
      <c r="C79" t="s">
        <v>139</v>
      </c>
      <c r="D79" t="s">
        <v>117</v>
      </c>
      <c r="E79" t="s">
        <v>42</v>
      </c>
      <c r="F79" t="s">
        <v>3002</v>
      </c>
      <c r="G79">
        <v>2</v>
      </c>
    </row>
    <row r="80" spans="1:7">
      <c r="A80" t="s">
        <v>2896</v>
      </c>
      <c r="B80" t="s">
        <v>2897</v>
      </c>
      <c r="C80" t="s">
        <v>125</v>
      </c>
      <c r="D80" t="s">
        <v>126</v>
      </c>
      <c r="E80" t="s">
        <v>126</v>
      </c>
      <c r="F80" t="s">
        <v>1886</v>
      </c>
    </row>
    <row r="81" spans="1:7">
      <c r="A81" t="s">
        <v>3003</v>
      </c>
      <c r="B81" t="s">
        <v>1627</v>
      </c>
      <c r="C81" t="s">
        <v>113</v>
      </c>
      <c r="D81" t="s">
        <v>139</v>
      </c>
      <c r="E81" t="s">
        <v>233</v>
      </c>
      <c r="F81" t="s">
        <v>3004</v>
      </c>
      <c r="G81">
        <v>1</v>
      </c>
    </row>
    <row r="82" spans="1:7">
      <c r="A82" t="s">
        <v>3005</v>
      </c>
      <c r="B82" t="s">
        <v>1605</v>
      </c>
      <c r="C82" t="s">
        <v>113</v>
      </c>
      <c r="D82" t="s">
        <v>154</v>
      </c>
      <c r="E82" t="s">
        <v>959</v>
      </c>
      <c r="F82" t="s">
        <v>3006</v>
      </c>
    </row>
    <row r="83" spans="1:7">
      <c r="A83" t="s">
        <v>3007</v>
      </c>
      <c r="B83" t="s">
        <v>908</v>
      </c>
      <c r="C83" t="s">
        <v>117</v>
      </c>
      <c r="D83" t="s">
        <v>154</v>
      </c>
      <c r="E83" t="s">
        <v>126</v>
      </c>
      <c r="F83" t="s">
        <v>1716</v>
      </c>
    </row>
    <row r="84" spans="1:7">
      <c r="A84" t="s">
        <v>2898</v>
      </c>
      <c r="B84" t="s">
        <v>2899</v>
      </c>
      <c r="C84" t="s">
        <v>125</v>
      </c>
      <c r="D84" t="s">
        <v>126</v>
      </c>
      <c r="E84" t="s">
        <v>126</v>
      </c>
      <c r="F84" t="s">
        <v>2086</v>
      </c>
    </row>
    <row r="85" spans="1:7">
      <c r="A85" t="s">
        <v>3008</v>
      </c>
      <c r="B85" t="s">
        <v>1199</v>
      </c>
      <c r="C85" t="s">
        <v>233</v>
      </c>
      <c r="D85" t="s">
        <v>263</v>
      </c>
      <c r="E85" t="s">
        <v>126</v>
      </c>
      <c r="F85" t="s">
        <v>1806</v>
      </c>
    </row>
    <row r="86" spans="1:7">
      <c r="A86" t="s">
        <v>2900</v>
      </c>
      <c r="B86" t="s">
        <v>2901</v>
      </c>
      <c r="C86" t="s">
        <v>272</v>
      </c>
      <c r="D86" t="s">
        <v>117</v>
      </c>
      <c r="E86" t="s">
        <v>126</v>
      </c>
      <c r="F86" t="s">
        <v>1796</v>
      </c>
    </row>
    <row r="87" spans="1:7">
      <c r="A87" t="s">
        <v>3009</v>
      </c>
      <c r="B87" t="s">
        <v>1611</v>
      </c>
      <c r="C87" t="s">
        <v>113</v>
      </c>
      <c r="D87" t="s">
        <v>42</v>
      </c>
      <c r="E87" t="s">
        <v>156</v>
      </c>
      <c r="F87" t="s">
        <v>3010</v>
      </c>
    </row>
    <row r="88" spans="1:7">
      <c r="A88" t="s">
        <v>3011</v>
      </c>
      <c r="B88" t="s">
        <v>1374</v>
      </c>
      <c r="C88" t="s">
        <v>113</v>
      </c>
      <c r="D88" t="s">
        <v>154</v>
      </c>
      <c r="E88" t="s">
        <v>204</v>
      </c>
      <c r="F88" t="s">
        <v>3012</v>
      </c>
    </row>
    <row r="89" spans="1:7">
      <c r="A89" t="s">
        <v>2902</v>
      </c>
      <c r="B89" t="s">
        <v>2903</v>
      </c>
      <c r="C89" t="s">
        <v>113</v>
      </c>
      <c r="D89" t="s">
        <v>139</v>
      </c>
      <c r="E89" t="s">
        <v>233</v>
      </c>
      <c r="F89" t="s">
        <v>1729</v>
      </c>
      <c r="G89">
        <v>1</v>
      </c>
    </row>
    <row r="90" spans="1:7">
      <c r="A90" t="s">
        <v>3013</v>
      </c>
      <c r="B90" t="s">
        <v>1593</v>
      </c>
      <c r="C90" t="s">
        <v>113</v>
      </c>
      <c r="D90" t="s">
        <v>160</v>
      </c>
      <c r="E90" t="s">
        <v>156</v>
      </c>
      <c r="F90" t="s">
        <v>3014</v>
      </c>
      <c r="G90">
        <v>4</v>
      </c>
    </row>
    <row r="91" spans="1:7">
      <c r="A91" t="s">
        <v>3015</v>
      </c>
      <c r="B91" t="s">
        <v>1607</v>
      </c>
      <c r="C91" t="s">
        <v>113</v>
      </c>
      <c r="D91" t="s">
        <v>139</v>
      </c>
      <c r="E91" t="s">
        <v>135</v>
      </c>
      <c r="F91" t="s">
        <v>3016</v>
      </c>
      <c r="G91">
        <v>2</v>
      </c>
    </row>
    <row r="92" spans="1:7">
      <c r="A92" t="s">
        <v>3017</v>
      </c>
      <c r="B92" t="s">
        <v>1280</v>
      </c>
      <c r="C92" t="s">
        <v>233</v>
      </c>
      <c r="D92" t="s">
        <v>263</v>
      </c>
      <c r="E92" t="s">
        <v>126</v>
      </c>
      <c r="F92" t="s">
        <v>2715</v>
      </c>
    </row>
    <row r="93" spans="1:7">
      <c r="A93" t="s">
        <v>3018</v>
      </c>
      <c r="B93" t="s">
        <v>1555</v>
      </c>
      <c r="C93" t="s">
        <v>113</v>
      </c>
      <c r="D93" t="s">
        <v>233</v>
      </c>
      <c r="E93" t="s">
        <v>160</v>
      </c>
      <c r="F93" t="s">
        <v>1737</v>
      </c>
      <c r="G93">
        <v>1</v>
      </c>
    </row>
    <row r="94" spans="1:7">
      <c r="A94" t="s">
        <v>3019</v>
      </c>
      <c r="B94" t="s">
        <v>1563</v>
      </c>
      <c r="C94" t="s">
        <v>113</v>
      </c>
      <c r="D94" t="s">
        <v>117</v>
      </c>
      <c r="E94" t="s">
        <v>82</v>
      </c>
      <c r="F94" t="s">
        <v>2905</v>
      </c>
      <c r="G94">
        <v>3</v>
      </c>
    </row>
    <row r="95" spans="1:7">
      <c r="A95" t="s">
        <v>3020</v>
      </c>
      <c r="B95" t="s">
        <v>1635</v>
      </c>
      <c r="C95" t="s">
        <v>117</v>
      </c>
      <c r="D95" t="s">
        <v>42</v>
      </c>
      <c r="E95" t="s">
        <v>126</v>
      </c>
      <c r="F95" t="s">
        <v>2747</v>
      </c>
    </row>
    <row r="96" spans="1:7">
      <c r="A96" t="s">
        <v>3021</v>
      </c>
      <c r="B96" t="s">
        <v>1544</v>
      </c>
      <c r="C96" t="s">
        <v>113</v>
      </c>
      <c r="D96" t="s">
        <v>233</v>
      </c>
      <c r="E96" t="s">
        <v>42</v>
      </c>
      <c r="F96" t="s">
        <v>2914</v>
      </c>
      <c r="G96">
        <v>3</v>
      </c>
    </row>
    <row r="97" spans="1:7">
      <c r="A97" t="s">
        <v>3022</v>
      </c>
      <c r="B97" t="s">
        <v>1613</v>
      </c>
      <c r="C97" t="s">
        <v>117</v>
      </c>
      <c r="D97" t="s">
        <v>209</v>
      </c>
      <c r="E97" t="s">
        <v>959</v>
      </c>
      <c r="F97" t="s">
        <v>3010</v>
      </c>
      <c r="G97">
        <v>1</v>
      </c>
    </row>
    <row r="98" spans="1:7">
      <c r="A98" t="s">
        <v>3023</v>
      </c>
      <c r="B98" t="s">
        <v>1623</v>
      </c>
      <c r="C98" t="s">
        <v>117</v>
      </c>
      <c r="D98" t="s">
        <v>42</v>
      </c>
      <c r="E98" t="s">
        <v>126</v>
      </c>
      <c r="F98" t="s">
        <v>3024</v>
      </c>
    </row>
    <row r="99" spans="1:7">
      <c r="A99" t="s">
        <v>3025</v>
      </c>
      <c r="B99" t="s">
        <v>1573</v>
      </c>
      <c r="C99" t="s">
        <v>113</v>
      </c>
      <c r="D99" t="s">
        <v>154</v>
      </c>
      <c r="E99" t="s">
        <v>63</v>
      </c>
      <c r="F99" t="s">
        <v>3026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15C76-6A97-4B8B-A6A8-32C1F50E4BCE}">
  <sheetPr codeName="Sheet20"/>
  <dimension ref="A1"/>
  <sheetViews>
    <sheetView workbookViewId="0">
      <selection activeCell="C6" sqref="C6"/>
    </sheetView>
  </sheetViews>
  <sheetFormatPr defaultRowHeight="14.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352890E9D8BC0459B999060E273FED1" ma:contentTypeVersion="15" ma:contentTypeDescription="Skapa ett nytt dokument." ma:contentTypeScope="" ma:versionID="af7132a3e74f1ee6813d3f7db8ddaf64">
  <xsd:schema xmlns:xsd="http://www.w3.org/2001/XMLSchema" xmlns:xs="http://www.w3.org/2001/XMLSchema" xmlns:p="http://schemas.microsoft.com/office/2006/metadata/properties" xmlns:ns3="119293a0-18b1-4068-adb0-a2093c294278" xmlns:ns4="9157fed8-8a43-41fd-90b8-3d97529c6827" targetNamespace="http://schemas.microsoft.com/office/2006/metadata/properties" ma:root="true" ma:fieldsID="e057e49814efde3fbf71408d70486c88" ns3:_="" ns4:_="">
    <xsd:import namespace="119293a0-18b1-4068-adb0-a2093c294278"/>
    <xsd:import namespace="9157fed8-8a43-41fd-90b8-3d97529c682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bjectDetectorVersions" minOccurs="0"/>
                <xsd:element ref="ns3:MediaServiceLocation" minOccurs="0"/>
                <xsd:element ref="ns3:MediaLengthInSecond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9293a0-18b1-4068-adb0-a2093c2942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57fed8-8a43-41fd-90b8-3d97529c682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Delar tips,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19293a0-18b1-4068-adb0-a2093c294278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D5401E-FD3E-429C-9520-22FF03A726D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455C969-B645-4B0A-AC7F-FB64978A85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9293a0-18b1-4068-adb0-a2093c294278"/>
    <ds:schemaRef ds:uri="9157fed8-8a43-41fd-90b8-3d97529c68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7954446-A91C-4E70-81D5-40A4E9C512BA}">
  <ds:schemaRefs>
    <ds:schemaRef ds:uri="9157fed8-8a43-41fd-90b8-3d97529c6827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119293a0-18b1-4068-adb0-a2093c294278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F0B653B3-EE7D-4110-9FA9-77CD52C865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Overview</vt:lpstr>
      <vt:lpstr>p-value</vt:lpstr>
      <vt:lpstr>Interval</vt:lpstr>
      <vt:lpstr>Post-experiment unsolved </vt:lpstr>
      <vt:lpstr>Main experiment Unsolved </vt:lpstr>
      <vt:lpstr>Dataset1 Only hard check </vt:lpstr>
      <vt:lpstr>Experiment o1</vt:lpstr>
      <vt:lpstr>Experiment 4o</vt:lpstr>
      <vt:lpstr>Kuhail's experiment 3.5</vt:lpstr>
      <vt:lpstr>Post-experiment o1</vt:lpstr>
      <vt:lpstr>Post-experiment 4o</vt:lpstr>
      <vt:lpstr>https___leetcode com_problemse</vt:lpstr>
      <vt:lpstr>https___leetcode com_problemse </vt:lpstr>
      <vt:lpstr>https___leetcode com_proble (2)</vt:lpstr>
      <vt:lpstr>https___leetcode com_proble (3)</vt:lpstr>
      <vt:lpstr>https___leetcode com_proble (4)</vt:lpstr>
      <vt:lpstr>https___leetcode com_proble (5)</vt:lpstr>
      <vt:lpstr>Append4</vt:lpstr>
      <vt:lpstr>Append3</vt:lpstr>
      <vt:lpstr>https___leetcode com_proble (9)</vt:lpstr>
      <vt:lpstr>https___leetcode com_proble (8)</vt:lpstr>
      <vt:lpstr>Found</vt:lpstr>
      <vt:lpstr>Append2</vt:lpstr>
      <vt:lpstr>Append1</vt:lpstr>
      <vt:lpstr>https___leetcode com_proble (6)</vt:lpstr>
      <vt:lpstr>https___leetcode com_proble (7)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Beilan Guo0002</dc:creator>
  <cp:keywords/>
  <dc:description/>
  <cp:lastModifiedBy>Beilan Guo0002</cp:lastModifiedBy>
  <cp:revision/>
  <dcterms:created xsi:type="dcterms:W3CDTF">2025-02-11T19:24:48Z</dcterms:created>
  <dcterms:modified xsi:type="dcterms:W3CDTF">2025-05-05T18:03:13Z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0x0101000352890E9D8BC0459B999060E273FED1</vt:lpwstr>
  </property>
</Properties>
</file>